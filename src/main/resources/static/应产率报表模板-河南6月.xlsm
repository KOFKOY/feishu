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86BBA186-0847-400D-B254-286FCD12EE06}" xr6:coauthVersionLast="45" xr6:coauthVersionMax="47" xr10:uidLastSave="{00000000-0000-0000-0000-000000000000}"/>
  <bookViews>
    <workbookView xWindow="-120" yWindow="-120" windowWidth="29040" windowHeight="15840" activeTab="1" xr2:uid="{1F2DC888-6D45-4C55-B22E-D04819F2045D}"/>
  </bookViews>
  <sheets>
    <sheet name="应产率辅助表" sheetId="1" r:id="rId1"/>
    <sheet name="应产率报表" sheetId="2" r:id="rId2"/>
    <sheet name="产品销售数量" sheetId="3" r:id="rId3"/>
    <sheet name="盘点表" sheetId="4" r:id="rId4"/>
  </sheets>
  <definedNames>
    <definedName name="_xlnm._FilterDatabase" localSheetId="3" hidden="1">盘点表!$A$1:$WWG$1368</definedName>
    <definedName name="_xlnm._FilterDatabase" localSheetId="1" hidden="1">应产率报表!$A$6:$JW$6</definedName>
    <definedName name="_xlnm._FilterDatabase" localSheetId="0" hidden="1">应产率辅助表!$A$61:$AP$86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2" l="1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DT29" i="3"/>
  <c r="AW11" i="2" l="1"/>
  <c r="DO12" i="2" l="1"/>
  <c r="HP8" i="2" l="1"/>
  <c r="HP9" i="2"/>
  <c r="HP10" i="2"/>
  <c r="HP11" i="2"/>
  <c r="HP12" i="2"/>
  <c r="HP13" i="2"/>
  <c r="HP14" i="2"/>
  <c r="HP15" i="2"/>
  <c r="HP16" i="2"/>
  <c r="HP17" i="2"/>
  <c r="HP18" i="2"/>
  <c r="HP7" i="2"/>
  <c r="HQ7" i="2" l="1"/>
  <c r="DY7" i="2" l="1"/>
  <c r="DY8" i="2"/>
  <c r="DY9" i="2"/>
  <c r="DY10" i="2"/>
  <c r="DY11" i="2"/>
  <c r="DY12" i="2"/>
  <c r="DY13" i="2"/>
  <c r="DY14" i="2"/>
  <c r="DY15" i="2"/>
  <c r="DY16" i="2"/>
  <c r="DY17" i="2"/>
  <c r="DY18" i="2"/>
  <c r="DY6" i="2"/>
  <c r="DR7" i="2"/>
  <c r="DR8" i="2"/>
  <c r="DR9" i="2"/>
  <c r="DR10" i="2"/>
  <c r="DR11" i="2"/>
  <c r="DR12" i="2"/>
  <c r="DR13" i="2"/>
  <c r="DR14" i="2"/>
  <c r="DR15" i="2"/>
  <c r="DR16" i="2"/>
  <c r="DR17" i="2"/>
  <c r="DR18" i="2"/>
  <c r="DR6" i="2"/>
  <c r="BN8" i="2"/>
  <c r="BN9" i="2"/>
  <c r="BN10" i="2"/>
  <c r="BN11" i="2"/>
  <c r="BN12" i="2"/>
  <c r="BN13" i="2"/>
  <c r="BN14" i="2"/>
  <c r="BN15" i="2"/>
  <c r="BN16" i="2"/>
  <c r="BN17" i="2"/>
  <c r="BN18" i="2"/>
  <c r="BN6" i="2"/>
  <c r="BO6" i="2" s="1"/>
  <c r="BN7" i="2"/>
  <c r="A834" i="4" l="1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L7" i="2"/>
  <c r="AL8" i="2"/>
  <c r="AL9" i="2"/>
  <c r="AL10" i="2"/>
  <c r="AL11" i="2"/>
  <c r="AL12" i="2"/>
  <c r="AL13" i="2"/>
  <c r="AL14" i="2"/>
  <c r="AL15" i="2"/>
  <c r="AL16" i="2"/>
  <c r="AL17" i="2"/>
  <c r="AL18" i="2"/>
  <c r="AL6" i="2"/>
  <c r="DF29" i="3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BF42" i="2"/>
  <c r="BF43" i="2"/>
  <c r="BF44" i="2"/>
  <c r="BF45" i="2"/>
  <c r="BF46" i="2"/>
  <c r="BF47" i="2"/>
  <c r="BF48" i="2"/>
  <c r="BF49" i="2"/>
  <c r="BF50" i="2"/>
  <c r="BF51" i="2"/>
  <c r="BF52" i="2"/>
  <c r="BF53" i="2"/>
  <c r="BF54" i="2"/>
  <c r="BF55" i="2"/>
  <c r="BF56" i="2"/>
  <c r="BF57" i="2"/>
  <c r="BF58" i="2"/>
  <c r="BF59" i="2"/>
  <c r="BF60" i="2"/>
  <c r="BF61" i="2"/>
  <c r="BF62" i="2"/>
  <c r="BM42" i="2"/>
  <c r="BM43" i="2"/>
  <c r="BM44" i="2"/>
  <c r="BM45" i="2"/>
  <c r="BM46" i="2"/>
  <c r="BM47" i="2"/>
  <c r="BM48" i="2"/>
  <c r="BM49" i="2"/>
  <c r="BM50" i="2"/>
  <c r="BM51" i="2"/>
  <c r="BM52" i="2"/>
  <c r="BM53" i="2"/>
  <c r="BM54" i="2"/>
  <c r="BM55" i="2"/>
  <c r="BM56" i="2"/>
  <c r="BM57" i="2"/>
  <c r="BM58" i="2"/>
  <c r="BM59" i="2"/>
  <c r="BM60" i="2"/>
  <c r="BM61" i="2"/>
  <c r="BM62" i="2"/>
  <c r="BT42" i="2"/>
  <c r="BT43" i="2"/>
  <c r="BT44" i="2"/>
  <c r="BT45" i="2"/>
  <c r="BT46" i="2"/>
  <c r="BT47" i="2"/>
  <c r="BT48" i="2"/>
  <c r="BT49" i="2"/>
  <c r="BT50" i="2"/>
  <c r="BT51" i="2"/>
  <c r="BT52" i="2"/>
  <c r="BT53" i="2"/>
  <c r="BT54" i="2"/>
  <c r="BT55" i="2"/>
  <c r="BT56" i="2"/>
  <c r="BT57" i="2"/>
  <c r="BT58" i="2"/>
  <c r="BT59" i="2"/>
  <c r="BT60" i="2"/>
  <c r="BT61" i="2"/>
  <c r="BT62" i="2"/>
  <c r="CA42" i="2"/>
  <c r="CA43" i="2"/>
  <c r="CA44" i="2"/>
  <c r="CA45" i="2"/>
  <c r="CA46" i="2"/>
  <c r="CA47" i="2"/>
  <c r="CA48" i="2"/>
  <c r="CA49" i="2"/>
  <c r="CA50" i="2"/>
  <c r="CA51" i="2"/>
  <c r="CA52" i="2"/>
  <c r="CA53" i="2"/>
  <c r="CA54" i="2"/>
  <c r="CA55" i="2"/>
  <c r="CA56" i="2"/>
  <c r="CA57" i="2"/>
  <c r="CA58" i="2"/>
  <c r="CA59" i="2"/>
  <c r="CA60" i="2"/>
  <c r="CA61" i="2"/>
  <c r="CA62" i="2"/>
  <c r="CH42" i="2"/>
  <c r="CH43" i="2"/>
  <c r="CH44" i="2"/>
  <c r="CH45" i="2"/>
  <c r="CH46" i="2"/>
  <c r="CH47" i="2"/>
  <c r="CH48" i="2"/>
  <c r="CH49" i="2"/>
  <c r="CH50" i="2"/>
  <c r="CH51" i="2"/>
  <c r="CH52" i="2"/>
  <c r="CH53" i="2"/>
  <c r="CH54" i="2"/>
  <c r="CH55" i="2"/>
  <c r="CH56" i="2"/>
  <c r="CH57" i="2"/>
  <c r="CH58" i="2"/>
  <c r="CH59" i="2"/>
  <c r="CH60" i="2"/>
  <c r="CH61" i="2"/>
  <c r="CH62" i="2"/>
  <c r="CO42" i="2"/>
  <c r="CO43" i="2"/>
  <c r="CO44" i="2"/>
  <c r="CO45" i="2"/>
  <c r="CO46" i="2"/>
  <c r="CO47" i="2"/>
  <c r="CO48" i="2"/>
  <c r="CO49" i="2"/>
  <c r="CO50" i="2"/>
  <c r="CO51" i="2"/>
  <c r="CO52" i="2"/>
  <c r="CO53" i="2"/>
  <c r="CO54" i="2"/>
  <c r="CO55" i="2"/>
  <c r="CO56" i="2"/>
  <c r="CO57" i="2"/>
  <c r="CO58" i="2"/>
  <c r="CO59" i="2"/>
  <c r="CO60" i="2"/>
  <c r="CO61" i="2"/>
  <c r="CO62" i="2"/>
  <c r="CV42" i="2"/>
  <c r="CV43" i="2"/>
  <c r="CV44" i="2"/>
  <c r="CV45" i="2"/>
  <c r="CV46" i="2"/>
  <c r="CV47" i="2"/>
  <c r="CV48" i="2"/>
  <c r="CV49" i="2"/>
  <c r="CV50" i="2"/>
  <c r="CV51" i="2"/>
  <c r="CV52" i="2"/>
  <c r="CV53" i="2"/>
  <c r="CV54" i="2"/>
  <c r="CV55" i="2"/>
  <c r="CV56" i="2"/>
  <c r="CV57" i="2"/>
  <c r="CV58" i="2"/>
  <c r="CV59" i="2"/>
  <c r="CV60" i="2"/>
  <c r="CV61" i="2"/>
  <c r="CV62" i="2"/>
  <c r="DJ42" i="2"/>
  <c r="DJ43" i="2"/>
  <c r="DJ44" i="2"/>
  <c r="DJ45" i="2"/>
  <c r="DJ46" i="2"/>
  <c r="DJ47" i="2"/>
  <c r="DJ48" i="2"/>
  <c r="DJ49" i="2"/>
  <c r="DJ50" i="2"/>
  <c r="DJ51" i="2"/>
  <c r="DJ52" i="2"/>
  <c r="DJ53" i="2"/>
  <c r="DJ54" i="2"/>
  <c r="DJ55" i="2"/>
  <c r="DJ56" i="2"/>
  <c r="DJ57" i="2"/>
  <c r="DJ58" i="2"/>
  <c r="DJ59" i="2"/>
  <c r="DJ60" i="2"/>
  <c r="DJ61" i="2"/>
  <c r="DJ62" i="2"/>
  <c r="DX42" i="2"/>
  <c r="DX43" i="2"/>
  <c r="DX44" i="2"/>
  <c r="DX45" i="2"/>
  <c r="DX46" i="2"/>
  <c r="DX47" i="2"/>
  <c r="DX48" i="2"/>
  <c r="DX49" i="2"/>
  <c r="DX50" i="2"/>
  <c r="DX51" i="2"/>
  <c r="DX52" i="2"/>
  <c r="DX53" i="2"/>
  <c r="DX54" i="2"/>
  <c r="DX55" i="2"/>
  <c r="DX56" i="2"/>
  <c r="DX57" i="2"/>
  <c r="DX58" i="2"/>
  <c r="DX59" i="2"/>
  <c r="DX60" i="2"/>
  <c r="DX61" i="2"/>
  <c r="DX62" i="2"/>
  <c r="EE42" i="2"/>
  <c r="EE43" i="2"/>
  <c r="EE44" i="2"/>
  <c r="EE45" i="2"/>
  <c r="EE46" i="2"/>
  <c r="EE47" i="2"/>
  <c r="EE48" i="2"/>
  <c r="EE49" i="2"/>
  <c r="EE50" i="2"/>
  <c r="EE51" i="2"/>
  <c r="EE52" i="2"/>
  <c r="EE53" i="2"/>
  <c r="EE54" i="2"/>
  <c r="EE55" i="2"/>
  <c r="EE56" i="2"/>
  <c r="EE57" i="2"/>
  <c r="EE58" i="2"/>
  <c r="EE59" i="2"/>
  <c r="EE60" i="2"/>
  <c r="EE61" i="2"/>
  <c r="EE62" i="2"/>
  <c r="EL42" i="2"/>
  <c r="EL43" i="2"/>
  <c r="EL44" i="2"/>
  <c r="EL45" i="2"/>
  <c r="EL46" i="2"/>
  <c r="EL47" i="2"/>
  <c r="EL48" i="2"/>
  <c r="EL49" i="2"/>
  <c r="EL50" i="2"/>
  <c r="EL51" i="2"/>
  <c r="EL52" i="2"/>
  <c r="EL53" i="2"/>
  <c r="EL54" i="2"/>
  <c r="EL55" i="2"/>
  <c r="EL56" i="2"/>
  <c r="EL57" i="2"/>
  <c r="EL58" i="2"/>
  <c r="EL59" i="2"/>
  <c r="EL60" i="2"/>
  <c r="EL61" i="2"/>
  <c r="EL62" i="2"/>
  <c r="ES42" i="2"/>
  <c r="ES43" i="2"/>
  <c r="ES44" i="2"/>
  <c r="ES45" i="2"/>
  <c r="ES46" i="2"/>
  <c r="ES47" i="2"/>
  <c r="ES48" i="2"/>
  <c r="ES49" i="2"/>
  <c r="ES50" i="2"/>
  <c r="ES51" i="2"/>
  <c r="ES52" i="2"/>
  <c r="ES53" i="2"/>
  <c r="ES54" i="2"/>
  <c r="ES55" i="2"/>
  <c r="ES56" i="2"/>
  <c r="ES57" i="2"/>
  <c r="ES58" i="2"/>
  <c r="ES59" i="2"/>
  <c r="ES60" i="2"/>
  <c r="ES61" i="2"/>
  <c r="ES62" i="2"/>
  <c r="EZ42" i="2"/>
  <c r="EZ43" i="2"/>
  <c r="EZ44" i="2"/>
  <c r="EZ45" i="2"/>
  <c r="EZ46" i="2"/>
  <c r="EZ47" i="2"/>
  <c r="EZ48" i="2"/>
  <c r="EZ49" i="2"/>
  <c r="EZ50" i="2"/>
  <c r="EZ51" i="2"/>
  <c r="EZ52" i="2"/>
  <c r="EZ53" i="2"/>
  <c r="EZ54" i="2"/>
  <c r="EZ55" i="2"/>
  <c r="EZ56" i="2"/>
  <c r="EZ57" i="2"/>
  <c r="EZ58" i="2"/>
  <c r="EZ59" i="2"/>
  <c r="EZ60" i="2"/>
  <c r="EZ61" i="2"/>
  <c r="EZ62" i="2"/>
  <c r="FG42" i="2"/>
  <c r="FG43" i="2"/>
  <c r="FG44" i="2"/>
  <c r="FG45" i="2"/>
  <c r="FG46" i="2"/>
  <c r="FG47" i="2"/>
  <c r="FG48" i="2"/>
  <c r="FG49" i="2"/>
  <c r="FG50" i="2"/>
  <c r="FG51" i="2"/>
  <c r="FG52" i="2"/>
  <c r="FG53" i="2"/>
  <c r="FG54" i="2"/>
  <c r="FG55" i="2"/>
  <c r="FG56" i="2"/>
  <c r="FG57" i="2"/>
  <c r="FG58" i="2"/>
  <c r="FG59" i="2"/>
  <c r="FG60" i="2"/>
  <c r="FG61" i="2"/>
  <c r="FG62" i="2"/>
  <c r="FU42" i="2"/>
  <c r="FU43" i="2"/>
  <c r="FU44" i="2"/>
  <c r="FU45" i="2"/>
  <c r="FU46" i="2"/>
  <c r="FU47" i="2"/>
  <c r="FU48" i="2"/>
  <c r="FU49" i="2"/>
  <c r="FU50" i="2"/>
  <c r="FU51" i="2"/>
  <c r="FU52" i="2"/>
  <c r="FU53" i="2"/>
  <c r="FU54" i="2"/>
  <c r="FU55" i="2"/>
  <c r="FU56" i="2"/>
  <c r="FU57" i="2"/>
  <c r="FU58" i="2"/>
  <c r="FU59" i="2"/>
  <c r="FU60" i="2"/>
  <c r="FU61" i="2"/>
  <c r="FU62" i="2"/>
  <c r="FZ42" i="2"/>
  <c r="FZ43" i="2"/>
  <c r="FZ44" i="2"/>
  <c r="FZ45" i="2"/>
  <c r="FZ46" i="2"/>
  <c r="FZ47" i="2"/>
  <c r="FZ48" i="2"/>
  <c r="FZ49" i="2"/>
  <c r="FZ50" i="2"/>
  <c r="FZ51" i="2"/>
  <c r="FZ52" i="2"/>
  <c r="FZ53" i="2"/>
  <c r="FZ54" i="2"/>
  <c r="FZ55" i="2"/>
  <c r="FZ56" i="2"/>
  <c r="FZ57" i="2"/>
  <c r="FZ58" i="2"/>
  <c r="FZ59" i="2"/>
  <c r="FZ60" i="2"/>
  <c r="FZ61" i="2"/>
  <c r="FZ62" i="2"/>
  <c r="GD42" i="2"/>
  <c r="GD43" i="2"/>
  <c r="GD44" i="2"/>
  <c r="GD45" i="2"/>
  <c r="GD46" i="2"/>
  <c r="GD47" i="2"/>
  <c r="GD48" i="2"/>
  <c r="GD49" i="2"/>
  <c r="GD50" i="2"/>
  <c r="GD51" i="2"/>
  <c r="GD52" i="2"/>
  <c r="GD53" i="2"/>
  <c r="GD54" i="2"/>
  <c r="GD55" i="2"/>
  <c r="GD56" i="2"/>
  <c r="GD57" i="2"/>
  <c r="GD58" i="2"/>
  <c r="GD59" i="2"/>
  <c r="GD60" i="2"/>
  <c r="GD61" i="2"/>
  <c r="GD62" i="2"/>
  <c r="GM42" i="2"/>
  <c r="GM43" i="2"/>
  <c r="GM44" i="2"/>
  <c r="GM45" i="2"/>
  <c r="GM46" i="2"/>
  <c r="GM47" i="2"/>
  <c r="GM48" i="2"/>
  <c r="GM49" i="2"/>
  <c r="GM50" i="2"/>
  <c r="GM51" i="2"/>
  <c r="GM52" i="2"/>
  <c r="GM53" i="2"/>
  <c r="GM54" i="2"/>
  <c r="GM55" i="2"/>
  <c r="GM56" i="2"/>
  <c r="GM57" i="2"/>
  <c r="GM58" i="2"/>
  <c r="GM59" i="2"/>
  <c r="GM60" i="2"/>
  <c r="GM61" i="2"/>
  <c r="GM62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CW7" i="2" l="1"/>
  <c r="CW8" i="2"/>
  <c r="CW9" i="2"/>
  <c r="CW10" i="2"/>
  <c r="CW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6" i="2"/>
  <c r="DS29" i="3" l="1"/>
  <c r="AC38" i="2" l="1"/>
  <c r="AC39" i="2"/>
  <c r="AC40" i="2"/>
  <c r="AC41" i="2"/>
  <c r="V38" i="2"/>
  <c r="V39" i="2"/>
  <c r="V40" i="2"/>
  <c r="V41" i="2"/>
  <c r="O38" i="2"/>
  <c r="O39" i="2"/>
  <c r="O40" i="2"/>
  <c r="O41" i="2"/>
  <c r="H38" i="2"/>
  <c r="H39" i="2"/>
  <c r="H40" i="2"/>
  <c r="H41" i="2"/>
  <c r="A833" i="4" l="1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U15" i="2"/>
  <c r="GV15" i="2"/>
  <c r="GU16" i="2"/>
  <c r="GV16" i="2"/>
  <c r="GU17" i="2"/>
  <c r="GV17" i="2"/>
  <c r="GU18" i="2"/>
  <c r="GV18" i="2"/>
  <c r="GU19" i="2"/>
  <c r="GV19" i="2"/>
  <c r="GU20" i="2"/>
  <c r="GV20" i="2"/>
  <c r="GU21" i="2"/>
  <c r="GV21" i="2"/>
  <c r="GU22" i="2"/>
  <c r="GV22" i="2"/>
  <c r="GU23" i="2"/>
  <c r="GV23" i="2"/>
  <c r="GU24" i="2"/>
  <c r="GV24" i="2"/>
  <c r="GU25" i="2"/>
  <c r="GV25" i="2"/>
  <c r="GU26" i="2"/>
  <c r="GV26" i="2"/>
  <c r="GU27" i="2"/>
  <c r="GV27" i="2"/>
  <c r="GU28" i="2"/>
  <c r="GV28" i="2"/>
  <c r="GU29" i="2"/>
  <c r="GV29" i="2"/>
  <c r="GU30" i="2"/>
  <c r="GV30" i="2"/>
  <c r="GU31" i="2"/>
  <c r="GV31" i="2"/>
  <c r="GU32" i="2"/>
  <c r="GV32" i="2"/>
  <c r="JW11" i="2"/>
  <c r="JW12" i="2"/>
  <c r="JW13" i="2"/>
  <c r="JW14" i="2"/>
  <c r="T7" i="2"/>
  <c r="U7" i="2"/>
  <c r="C62" i="1"/>
  <c r="AZ47" i="2" l="1"/>
  <c r="AZ55" i="2"/>
  <c r="BG42" i="2"/>
  <c r="BG44" i="2"/>
  <c r="BG46" i="2"/>
  <c r="BG48" i="2"/>
  <c r="BG50" i="2"/>
  <c r="BG52" i="2"/>
  <c r="BG54" i="2"/>
  <c r="BG56" i="2"/>
  <c r="BG58" i="2"/>
  <c r="BG60" i="2"/>
  <c r="BG62" i="2"/>
  <c r="BN43" i="2"/>
  <c r="BN45" i="2"/>
  <c r="BN47" i="2"/>
  <c r="BN49" i="2"/>
  <c r="BN51" i="2"/>
  <c r="BN53" i="2"/>
  <c r="BN55" i="2"/>
  <c r="BN57" i="2"/>
  <c r="BN59" i="2"/>
  <c r="BN61" i="2"/>
  <c r="BU42" i="2"/>
  <c r="BU44" i="2"/>
  <c r="BU46" i="2"/>
  <c r="BU48" i="2"/>
  <c r="BU50" i="2"/>
  <c r="BU52" i="2"/>
  <c r="BU54" i="2"/>
  <c r="BU56" i="2"/>
  <c r="BU58" i="2"/>
  <c r="BU60" i="2"/>
  <c r="BU62" i="2"/>
  <c r="CB43" i="2"/>
  <c r="CB45" i="2"/>
  <c r="CB47" i="2"/>
  <c r="CB49" i="2"/>
  <c r="CB51" i="2"/>
  <c r="CB53" i="2"/>
  <c r="CB55" i="2"/>
  <c r="CB57" i="2"/>
  <c r="CB59" i="2"/>
  <c r="CB61" i="2"/>
  <c r="CI43" i="2"/>
  <c r="CI47" i="2"/>
  <c r="CI51" i="2"/>
  <c r="CI55" i="2"/>
  <c r="CI59" i="2"/>
  <c r="CP45" i="2"/>
  <c r="CP49" i="2"/>
  <c r="CP53" i="2"/>
  <c r="CP57" i="2"/>
  <c r="CP61" i="2"/>
  <c r="CW43" i="2"/>
  <c r="CW47" i="2"/>
  <c r="CW51" i="2"/>
  <c r="CW55" i="2"/>
  <c r="CW59" i="2"/>
  <c r="DK45" i="2"/>
  <c r="DK49" i="2"/>
  <c r="DK53" i="2"/>
  <c r="DK57" i="2"/>
  <c r="DK61" i="2"/>
  <c r="DY42" i="2"/>
  <c r="DY48" i="2"/>
  <c r="DY60" i="2"/>
  <c r="EF43" i="2"/>
  <c r="EF48" i="2"/>
  <c r="EF58" i="2"/>
  <c r="EM47" i="2"/>
  <c r="EM54" i="2"/>
  <c r="EM60" i="2"/>
  <c r="ET43" i="2"/>
  <c r="AZ53" i="2"/>
  <c r="AZ59" i="2"/>
  <c r="BG49" i="2"/>
  <c r="BG57" i="2"/>
  <c r="BN44" i="2"/>
  <c r="BN52" i="2"/>
  <c r="BN60" i="2"/>
  <c r="BU47" i="2"/>
  <c r="BU55" i="2"/>
  <c r="CB42" i="2"/>
  <c r="CB50" i="2"/>
  <c r="CB58" i="2"/>
  <c r="CI44" i="2"/>
  <c r="CI49" i="2"/>
  <c r="CI54" i="2"/>
  <c r="CI60" i="2"/>
  <c r="CP42" i="2"/>
  <c r="CP47" i="2"/>
  <c r="CP52" i="2"/>
  <c r="CP58" i="2"/>
  <c r="CW46" i="2"/>
  <c r="CW52" i="2"/>
  <c r="CW57" i="2"/>
  <c r="CW62" i="2"/>
  <c r="DK44" i="2"/>
  <c r="DK50" i="2"/>
  <c r="DK55" i="2"/>
  <c r="DK60" i="2"/>
  <c r="DY44" i="2"/>
  <c r="DY56" i="2"/>
  <c r="EF42" i="2"/>
  <c r="EF50" i="2"/>
  <c r="EF60" i="2"/>
  <c r="EM44" i="2"/>
  <c r="EM52" i="2"/>
  <c r="EM62" i="2"/>
  <c r="ET46" i="2"/>
  <c r="ET54" i="2"/>
  <c r="ET60" i="2"/>
  <c r="FA43" i="2"/>
  <c r="FA48" i="2"/>
  <c r="FA58" i="2"/>
  <c r="FH46" i="2"/>
  <c r="FH54" i="2"/>
  <c r="FH60" i="2"/>
  <c r="FV43" i="2"/>
  <c r="FV48" i="2"/>
  <c r="FV58" i="2"/>
  <c r="GA46" i="2"/>
  <c r="GA54" i="2"/>
  <c r="GA60" i="2"/>
  <c r="GE53" i="2"/>
  <c r="GN62" i="2"/>
  <c r="P45" i="2"/>
  <c r="P49" i="2"/>
  <c r="P53" i="2"/>
  <c r="P57" i="2"/>
  <c r="P61" i="2"/>
  <c r="I43" i="2"/>
  <c r="I47" i="2"/>
  <c r="I51" i="2"/>
  <c r="I55" i="2"/>
  <c r="I59" i="2"/>
  <c r="W42" i="2"/>
  <c r="W44" i="2"/>
  <c r="W46" i="2"/>
  <c r="W48" i="2"/>
  <c r="W50" i="2"/>
  <c r="W52" i="2"/>
  <c r="W54" i="2"/>
  <c r="W56" i="2"/>
  <c r="W58" i="2"/>
  <c r="W60" i="2"/>
  <c r="W62" i="2"/>
  <c r="AD43" i="2"/>
  <c r="AD45" i="2"/>
  <c r="AD47" i="2"/>
  <c r="AD49" i="2"/>
  <c r="AD51" i="2"/>
  <c r="AD53" i="2"/>
  <c r="AD55" i="2"/>
  <c r="AD57" i="2"/>
  <c r="AD59" i="2"/>
  <c r="AD61" i="2"/>
  <c r="AK42" i="2"/>
  <c r="AK44" i="2"/>
  <c r="AK46" i="2"/>
  <c r="AK48" i="2"/>
  <c r="AK50" i="2"/>
  <c r="AK52" i="2"/>
  <c r="AK54" i="2"/>
  <c r="AK56" i="2"/>
  <c r="AK58" i="2"/>
  <c r="AK60" i="2"/>
  <c r="AK62" i="2"/>
  <c r="AR43" i="2"/>
  <c r="AR45" i="2"/>
  <c r="AR47" i="2"/>
  <c r="AR49" i="2"/>
  <c r="AR51" i="2"/>
  <c r="AR53" i="2"/>
  <c r="AR55" i="2"/>
  <c r="AR57" i="2"/>
  <c r="AR59" i="2"/>
  <c r="AR61" i="2"/>
  <c r="AZ45" i="2"/>
  <c r="AZ51" i="2"/>
  <c r="AZ57" i="2"/>
  <c r="BG47" i="2"/>
  <c r="BG55" i="2"/>
  <c r="BN42" i="2"/>
  <c r="BN50" i="2"/>
  <c r="BN58" i="2"/>
  <c r="BU45" i="2"/>
  <c r="BU53" i="2"/>
  <c r="BU61" i="2"/>
  <c r="CB48" i="2"/>
  <c r="CB56" i="2"/>
  <c r="CI45" i="2"/>
  <c r="CI50" i="2"/>
  <c r="CI56" i="2"/>
  <c r="CI61" i="2"/>
  <c r="CP43" i="2"/>
  <c r="CP48" i="2"/>
  <c r="CP54" i="2"/>
  <c r="CP59" i="2"/>
  <c r="CW42" i="2"/>
  <c r="CW48" i="2"/>
  <c r="CW53" i="2"/>
  <c r="CW58" i="2"/>
  <c r="DK46" i="2"/>
  <c r="DK51" i="2"/>
  <c r="DK56" i="2"/>
  <c r="DK62" i="2"/>
  <c r="DY46" i="2"/>
  <c r="DY58" i="2"/>
  <c r="EF44" i="2"/>
  <c r="EF54" i="2"/>
  <c r="EF62" i="2"/>
  <c r="EM46" i="2"/>
  <c r="EM55" i="2"/>
  <c r="ET47" i="2"/>
  <c r="ET55" i="2"/>
  <c r="ET62" i="2"/>
  <c r="W47" i="2"/>
  <c r="W55" i="2"/>
  <c r="AD42" i="2"/>
  <c r="AD50" i="2"/>
  <c r="AD58" i="2"/>
  <c r="AK45" i="2"/>
  <c r="AK53" i="2"/>
  <c r="AK61" i="2"/>
  <c r="AR48" i="2"/>
  <c r="AR56" i="2"/>
  <c r="AZ43" i="2"/>
  <c r="AZ61" i="2"/>
  <c r="BG43" i="2"/>
  <c r="BG59" i="2"/>
  <c r="BN54" i="2"/>
  <c r="BU49" i="2"/>
  <c r="CB44" i="2"/>
  <c r="CB60" i="2"/>
  <c r="CI42" i="2"/>
  <c r="CI53" i="2"/>
  <c r="CP51" i="2"/>
  <c r="CP62" i="2"/>
  <c r="CW49" i="2"/>
  <c r="CW60" i="2"/>
  <c r="DK43" i="2"/>
  <c r="DK54" i="2"/>
  <c r="EF59" i="2"/>
  <c r="EM50" i="2"/>
  <c r="ET42" i="2"/>
  <c r="ET58" i="2"/>
  <c r="FA44" i="2"/>
  <c r="FA54" i="2"/>
  <c r="FA62" i="2"/>
  <c r="FH44" i="2"/>
  <c r="FH55" i="2"/>
  <c r="FV47" i="2"/>
  <c r="FV59" i="2"/>
  <c r="GA42" i="2"/>
  <c r="GA48" i="2"/>
  <c r="GA59" i="2"/>
  <c r="GE57" i="2"/>
  <c r="GN59" i="2"/>
  <c r="P43" i="2"/>
  <c r="P48" i="2"/>
  <c r="P54" i="2"/>
  <c r="P59" i="2"/>
  <c r="I42" i="2"/>
  <c r="I48" i="2"/>
  <c r="I53" i="2"/>
  <c r="I58" i="2"/>
  <c r="W45" i="2"/>
  <c r="W53" i="2"/>
  <c r="W61" i="2"/>
  <c r="AD48" i="2"/>
  <c r="AD56" i="2"/>
  <c r="AK43" i="2"/>
  <c r="AK51" i="2"/>
  <c r="AK59" i="2"/>
  <c r="AR46" i="2"/>
  <c r="AR54" i="2"/>
  <c r="AR62" i="2"/>
  <c r="BG53" i="2"/>
  <c r="BN48" i="2"/>
  <c r="BU43" i="2"/>
  <c r="BU59" i="2"/>
  <c r="CB54" i="2"/>
  <c r="CI46" i="2"/>
  <c r="CI57" i="2"/>
  <c r="CP44" i="2"/>
  <c r="CP55" i="2"/>
  <c r="CW50" i="2"/>
  <c r="CW61" i="2"/>
  <c r="DK47" i="2"/>
  <c r="DK58" i="2"/>
  <c r="DY47" i="2"/>
  <c r="EF46" i="2"/>
  <c r="EM56" i="2"/>
  <c r="ET44" i="2"/>
  <c r="ET59" i="2"/>
  <c r="FA46" i="2"/>
  <c r="FA55" i="2"/>
  <c r="FH47" i="2"/>
  <c r="FH58" i="2"/>
  <c r="FV42" i="2"/>
  <c r="FV50" i="2"/>
  <c r="FV60" i="2"/>
  <c r="GA43" i="2"/>
  <c r="GA50" i="2"/>
  <c r="GA62" i="2"/>
  <c r="GE61" i="2"/>
  <c r="GN60" i="2"/>
  <c r="P44" i="2"/>
  <c r="P50" i="2"/>
  <c r="P55" i="2"/>
  <c r="P60" i="2"/>
  <c r="I44" i="2"/>
  <c r="I49" i="2"/>
  <c r="I54" i="2"/>
  <c r="I60" i="2"/>
  <c r="W43" i="2"/>
  <c r="W51" i="2"/>
  <c r="W59" i="2"/>
  <c r="AD46" i="2"/>
  <c r="AD54" i="2"/>
  <c r="AD62" i="2"/>
  <c r="AK49" i="2"/>
  <c r="AK57" i="2"/>
  <c r="AR44" i="2"/>
  <c r="AR52" i="2"/>
  <c r="AR60" i="2"/>
  <c r="BG51" i="2"/>
  <c r="BN46" i="2"/>
  <c r="BN62" i="2"/>
  <c r="BU57" i="2"/>
  <c r="CB52" i="2"/>
  <c r="CI48" i="2"/>
  <c r="CI58" i="2"/>
  <c r="CP46" i="2"/>
  <c r="CP56" i="2"/>
  <c r="CW44" i="2"/>
  <c r="CW54" i="2"/>
  <c r="DK48" i="2"/>
  <c r="DK59" i="2"/>
  <c r="DY52" i="2"/>
  <c r="EF47" i="2"/>
  <c r="EM42" i="2"/>
  <c r="EM58" i="2"/>
  <c r="ET48" i="2"/>
  <c r="FA47" i="2"/>
  <c r="FA59" i="2"/>
  <c r="FH42" i="2"/>
  <c r="FH48" i="2"/>
  <c r="FH59" i="2"/>
  <c r="FV44" i="2"/>
  <c r="FV54" i="2"/>
  <c r="FV62" i="2"/>
  <c r="GA44" i="2"/>
  <c r="GA55" i="2"/>
  <c r="GE45" i="2"/>
  <c r="GN61" i="2"/>
  <c r="P46" i="2"/>
  <c r="P51" i="2"/>
  <c r="P56" i="2"/>
  <c r="P62" i="2"/>
  <c r="I45" i="2"/>
  <c r="I50" i="2"/>
  <c r="I56" i="2"/>
  <c r="I61" i="2"/>
  <c r="W49" i="2"/>
  <c r="W57" i="2"/>
  <c r="AD44" i="2"/>
  <c r="AD52" i="2"/>
  <c r="AD60" i="2"/>
  <c r="AK47" i="2"/>
  <c r="AK55" i="2"/>
  <c r="AR42" i="2"/>
  <c r="AR50" i="2"/>
  <c r="AR58" i="2"/>
  <c r="AZ49" i="2"/>
  <c r="BG45" i="2"/>
  <c r="BG61" i="2"/>
  <c r="BN56" i="2"/>
  <c r="BU51" i="2"/>
  <c r="CB46" i="2"/>
  <c r="CB62" i="2"/>
  <c r="CI52" i="2"/>
  <c r="CI62" i="2"/>
  <c r="CP50" i="2"/>
  <c r="CP60" i="2"/>
  <c r="CW45" i="2"/>
  <c r="CW56" i="2"/>
  <c r="DK42" i="2"/>
  <c r="DK52" i="2"/>
  <c r="DY62" i="2"/>
  <c r="EF55" i="2"/>
  <c r="EM48" i="2"/>
  <c r="ET50" i="2"/>
  <c r="FA42" i="2"/>
  <c r="FA50" i="2"/>
  <c r="FA60" i="2"/>
  <c r="FH43" i="2"/>
  <c r="FH50" i="2"/>
  <c r="FH62" i="2"/>
  <c r="FV46" i="2"/>
  <c r="FV55" i="2"/>
  <c r="GA47" i="2"/>
  <c r="GA58" i="2"/>
  <c r="GE49" i="2"/>
  <c r="P42" i="2"/>
  <c r="P47" i="2"/>
  <c r="P52" i="2"/>
  <c r="P58" i="2"/>
  <c r="I46" i="2"/>
  <c r="I52" i="2"/>
  <c r="I57" i="2"/>
  <c r="I62" i="2"/>
  <c r="FV61" i="2"/>
  <c r="FV45" i="2"/>
  <c r="EF61" i="2"/>
  <c r="EF45" i="2"/>
  <c r="DY49" i="2"/>
  <c r="GE58" i="2"/>
  <c r="GE42" i="2"/>
  <c r="GA49" i="2"/>
  <c r="EM51" i="2"/>
  <c r="GA56" i="2"/>
  <c r="FA57" i="2"/>
  <c r="GE56" i="2"/>
  <c r="GA51" i="2"/>
  <c r="FH49" i="2"/>
  <c r="DY50" i="2"/>
  <c r="EM57" i="2"/>
  <c r="AZ60" i="2"/>
  <c r="GE51" i="2"/>
  <c r="FV52" i="2"/>
  <c r="ET57" i="2"/>
  <c r="EF51" i="2"/>
  <c r="ET52" i="2"/>
  <c r="DY55" i="2"/>
  <c r="AZ50" i="2"/>
  <c r="FV57" i="2"/>
  <c r="FH56" i="2"/>
  <c r="EF57" i="2"/>
  <c r="DY61" i="2"/>
  <c r="DY45" i="2"/>
  <c r="GE54" i="2"/>
  <c r="GA61" i="2"/>
  <c r="GA45" i="2"/>
  <c r="EM43" i="2"/>
  <c r="GA52" i="2"/>
  <c r="FA53" i="2"/>
  <c r="GE52" i="2"/>
  <c r="FH61" i="2"/>
  <c r="FH45" i="2"/>
  <c r="FA49" i="2"/>
  <c r="EM53" i="2"/>
  <c r="AZ54" i="2"/>
  <c r="GE47" i="2"/>
  <c r="FA56" i="2"/>
  <c r="ET53" i="2"/>
  <c r="AZ62" i="2"/>
  <c r="EF56" i="2"/>
  <c r="DY51" i="2"/>
  <c r="AZ42" i="2"/>
  <c r="FV53" i="2"/>
  <c r="FH52" i="2"/>
  <c r="EF53" i="2"/>
  <c r="DY57" i="2"/>
  <c r="AZ46" i="2"/>
  <c r="GE50" i="2"/>
  <c r="GA57" i="2"/>
  <c r="FH51" i="2"/>
  <c r="AZ56" i="2"/>
  <c r="FV51" i="2"/>
  <c r="AZ44" i="2"/>
  <c r="GE48" i="2"/>
  <c r="FH57" i="2"/>
  <c r="ET51" i="2"/>
  <c r="FA45" i="2"/>
  <c r="EM49" i="2"/>
  <c r="GE59" i="2"/>
  <c r="GE43" i="2"/>
  <c r="FA52" i="2"/>
  <c r="ET49" i="2"/>
  <c r="AZ48" i="2"/>
  <c r="EF52" i="2"/>
  <c r="DY43" i="2"/>
  <c r="FV49" i="2"/>
  <c r="FA51" i="2"/>
  <c r="EF49" i="2"/>
  <c r="DY53" i="2"/>
  <c r="GE62" i="2"/>
  <c r="GE46" i="2"/>
  <c r="GA53" i="2"/>
  <c r="EM59" i="2"/>
  <c r="AZ52" i="2"/>
  <c r="FA61" i="2"/>
  <c r="GE60" i="2"/>
  <c r="GE44" i="2"/>
  <c r="FH53" i="2"/>
  <c r="DY54" i="2"/>
  <c r="EM61" i="2"/>
  <c r="EM45" i="2"/>
  <c r="GE55" i="2"/>
  <c r="FV56" i="2"/>
  <c r="ET61" i="2"/>
  <c r="ET45" i="2"/>
  <c r="ET56" i="2"/>
  <c r="DY59" i="2"/>
  <c r="AZ58" i="2"/>
  <c r="P39" i="2"/>
  <c r="W38" i="2"/>
  <c r="AD40" i="2"/>
  <c r="W40" i="2"/>
  <c r="AD38" i="2"/>
  <c r="I38" i="2"/>
  <c r="W39" i="2"/>
  <c r="P38" i="2"/>
  <c r="P40" i="2"/>
  <c r="P41" i="2"/>
  <c r="I40" i="2"/>
  <c r="W41" i="2"/>
  <c r="AD39" i="2"/>
  <c r="I39" i="2"/>
  <c r="AD41" i="2"/>
  <c r="I41" i="2"/>
  <c r="DR19" i="2"/>
  <c r="DR20" i="2"/>
  <c r="DR21" i="2"/>
  <c r="DR22" i="2"/>
  <c r="DR23" i="2"/>
  <c r="DR24" i="2"/>
  <c r="DR25" i="2"/>
  <c r="DR26" i="2"/>
  <c r="DR27" i="2"/>
  <c r="DR28" i="2"/>
  <c r="DR29" i="2"/>
  <c r="DQ30" i="2"/>
  <c r="DR30" i="2"/>
  <c r="DR31" i="2"/>
  <c r="DO8" i="2"/>
  <c r="DP8" i="2"/>
  <c r="DQ8" i="2" s="1"/>
  <c r="DO9" i="2"/>
  <c r="DP9" i="2"/>
  <c r="DQ9" i="2" s="1"/>
  <c r="DO10" i="2"/>
  <c r="DP10" i="2"/>
  <c r="DQ10" i="2" s="1"/>
  <c r="DO11" i="2"/>
  <c r="DP11" i="2"/>
  <c r="DQ11" i="2" s="1"/>
  <c r="DP12" i="2"/>
  <c r="DQ12" i="2" s="1"/>
  <c r="DO13" i="2"/>
  <c r="DP13" i="2"/>
  <c r="DQ13" i="2" s="1"/>
  <c r="DO14" i="2"/>
  <c r="DP14" i="2"/>
  <c r="DQ14" i="2" s="1"/>
  <c r="DO15" i="2"/>
  <c r="DP15" i="2"/>
  <c r="DQ15" i="2" s="1"/>
  <c r="DO16" i="2"/>
  <c r="DP16" i="2"/>
  <c r="DQ16" i="2" s="1"/>
  <c r="DO17" i="2"/>
  <c r="DP17" i="2"/>
  <c r="DQ17" i="2" s="1"/>
  <c r="DO18" i="2"/>
  <c r="DP18" i="2"/>
  <c r="DQ18" i="2" s="1"/>
  <c r="DO19" i="2"/>
  <c r="DP19" i="2"/>
  <c r="DQ19" i="2" s="1"/>
  <c r="DO20" i="2"/>
  <c r="DS20" i="2" s="1"/>
  <c r="DP20" i="2"/>
  <c r="DQ20" i="2" s="1"/>
  <c r="DO21" i="2"/>
  <c r="DP21" i="2"/>
  <c r="DQ21" i="2" s="1"/>
  <c r="DO22" i="2"/>
  <c r="DP22" i="2"/>
  <c r="DQ22" i="2" s="1"/>
  <c r="DO23" i="2"/>
  <c r="DP23" i="2"/>
  <c r="DQ23" i="2" s="1"/>
  <c r="DO24" i="2"/>
  <c r="DP24" i="2"/>
  <c r="DQ24" i="2" s="1"/>
  <c r="DO25" i="2"/>
  <c r="DP25" i="2"/>
  <c r="DQ25" i="2" s="1"/>
  <c r="DO26" i="2"/>
  <c r="DP26" i="2"/>
  <c r="DQ26" i="2" s="1"/>
  <c r="DO27" i="2"/>
  <c r="DS27" i="2" s="1"/>
  <c r="DP27" i="2"/>
  <c r="DQ27" i="2" s="1"/>
  <c r="DO28" i="2"/>
  <c r="DP28" i="2"/>
  <c r="DQ28" i="2" s="1"/>
  <c r="DO29" i="2"/>
  <c r="DP29" i="2"/>
  <c r="DQ29" i="2" s="1"/>
  <c r="DO30" i="2"/>
  <c r="DP30" i="2"/>
  <c r="DO31" i="2"/>
  <c r="DP31" i="2"/>
  <c r="DQ31" i="2" s="1"/>
  <c r="DO32" i="2"/>
  <c r="DP32" i="2"/>
  <c r="DQ32" i="2" s="1"/>
  <c r="DH8" i="2"/>
  <c r="DI8" i="2"/>
  <c r="DH9" i="2"/>
  <c r="DI9" i="2"/>
  <c r="DH10" i="2"/>
  <c r="DI10" i="2"/>
  <c r="DH11" i="2"/>
  <c r="DI11" i="2"/>
  <c r="DH12" i="2"/>
  <c r="DI12" i="2"/>
  <c r="DH13" i="2"/>
  <c r="DI13" i="2"/>
  <c r="DH14" i="2"/>
  <c r="DI14" i="2"/>
  <c r="DH15" i="2"/>
  <c r="DI15" i="2"/>
  <c r="DH16" i="2"/>
  <c r="DI16" i="2"/>
  <c r="DH17" i="2"/>
  <c r="DI17" i="2"/>
  <c r="DH18" i="2"/>
  <c r="DI18" i="2"/>
  <c r="DH19" i="2"/>
  <c r="DI19" i="2"/>
  <c r="DH20" i="2"/>
  <c r="DI20" i="2"/>
  <c r="DH21" i="2"/>
  <c r="DI21" i="2"/>
  <c r="DH22" i="2"/>
  <c r="DI22" i="2"/>
  <c r="DH23" i="2"/>
  <c r="DI23" i="2"/>
  <c r="DH24" i="2"/>
  <c r="DI24" i="2"/>
  <c r="DH25" i="2"/>
  <c r="DI25" i="2"/>
  <c r="DH26" i="2"/>
  <c r="DI26" i="2"/>
  <c r="DH27" i="2"/>
  <c r="DI27" i="2"/>
  <c r="DH28" i="2"/>
  <c r="DI28" i="2"/>
  <c r="DH29" i="2"/>
  <c r="DI29" i="2"/>
  <c r="DH30" i="2"/>
  <c r="DI30" i="2"/>
  <c r="DH31" i="2"/>
  <c r="DI31" i="2"/>
  <c r="DH32" i="2"/>
  <c r="DI32" i="2"/>
  <c r="CT8" i="2"/>
  <c r="CU8" i="2"/>
  <c r="CT9" i="2"/>
  <c r="CU9" i="2"/>
  <c r="CT10" i="2"/>
  <c r="CU10" i="2"/>
  <c r="CT11" i="2"/>
  <c r="CU11" i="2"/>
  <c r="CT12" i="2"/>
  <c r="CU12" i="2"/>
  <c r="CT13" i="2"/>
  <c r="CU13" i="2"/>
  <c r="CT14" i="2"/>
  <c r="CU14" i="2"/>
  <c r="CT15" i="2"/>
  <c r="CU15" i="2"/>
  <c r="CT16" i="2"/>
  <c r="CU16" i="2"/>
  <c r="CT17" i="2"/>
  <c r="CU17" i="2"/>
  <c r="CT18" i="2"/>
  <c r="CU18" i="2"/>
  <c r="CT19" i="2"/>
  <c r="CU19" i="2"/>
  <c r="CT20" i="2"/>
  <c r="CU20" i="2"/>
  <c r="CT21" i="2"/>
  <c r="CU21" i="2"/>
  <c r="CT22" i="2"/>
  <c r="CU22" i="2"/>
  <c r="CT23" i="2"/>
  <c r="CU23" i="2"/>
  <c r="CT24" i="2"/>
  <c r="CU24" i="2"/>
  <c r="CT25" i="2"/>
  <c r="CU25" i="2"/>
  <c r="CT26" i="2"/>
  <c r="CU26" i="2"/>
  <c r="CT27" i="2"/>
  <c r="CU27" i="2"/>
  <c r="CT28" i="2"/>
  <c r="CU28" i="2"/>
  <c r="CT29" i="2"/>
  <c r="CU29" i="2"/>
  <c r="CT30" i="2"/>
  <c r="CU30" i="2"/>
  <c r="CT31" i="2"/>
  <c r="CU31" i="2"/>
  <c r="CT32" i="2"/>
  <c r="CU32" i="2"/>
  <c r="CP7" i="2"/>
  <c r="CP8" i="2"/>
  <c r="CP9" i="2"/>
  <c r="CP10" i="2"/>
  <c r="CP11" i="2"/>
  <c r="CP12" i="2"/>
  <c r="CP13" i="2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P29" i="2"/>
  <c r="CP30" i="2"/>
  <c r="CP31" i="2"/>
  <c r="CM8" i="2"/>
  <c r="CN8" i="2"/>
  <c r="CO8" i="2" s="1"/>
  <c r="CM9" i="2"/>
  <c r="CN9" i="2"/>
  <c r="CO9" i="2" s="1"/>
  <c r="CM10" i="2"/>
  <c r="CN10" i="2"/>
  <c r="CO10" i="2" s="1"/>
  <c r="CM11" i="2"/>
  <c r="CN11" i="2"/>
  <c r="CO11" i="2" s="1"/>
  <c r="CM12" i="2"/>
  <c r="CN12" i="2"/>
  <c r="CO12" i="2" s="1"/>
  <c r="CM13" i="2"/>
  <c r="CN13" i="2"/>
  <c r="CO13" i="2" s="1"/>
  <c r="CM14" i="2"/>
  <c r="CN14" i="2"/>
  <c r="CO14" i="2" s="1"/>
  <c r="CM15" i="2"/>
  <c r="CN15" i="2"/>
  <c r="CO15" i="2" s="1"/>
  <c r="CM16" i="2"/>
  <c r="CN16" i="2"/>
  <c r="CO16" i="2" s="1"/>
  <c r="CM17" i="2"/>
  <c r="CN17" i="2"/>
  <c r="CO17" i="2" s="1"/>
  <c r="CM18" i="2"/>
  <c r="CN18" i="2"/>
  <c r="CO18" i="2" s="1"/>
  <c r="CM19" i="2"/>
  <c r="CN19" i="2"/>
  <c r="CO19" i="2" s="1"/>
  <c r="CM20" i="2"/>
  <c r="CN20" i="2"/>
  <c r="CO20" i="2" s="1"/>
  <c r="CM21" i="2"/>
  <c r="CN21" i="2"/>
  <c r="CO21" i="2" s="1"/>
  <c r="CM22" i="2"/>
  <c r="CN22" i="2"/>
  <c r="CO22" i="2" s="1"/>
  <c r="CM23" i="2"/>
  <c r="CN23" i="2"/>
  <c r="CO23" i="2" s="1"/>
  <c r="CM24" i="2"/>
  <c r="CN24" i="2"/>
  <c r="CO24" i="2" s="1"/>
  <c r="CM25" i="2"/>
  <c r="CN25" i="2"/>
  <c r="CO25" i="2" s="1"/>
  <c r="CM26" i="2"/>
  <c r="CN26" i="2"/>
  <c r="CO26" i="2" s="1"/>
  <c r="CM27" i="2"/>
  <c r="CN27" i="2"/>
  <c r="CO27" i="2" s="1"/>
  <c r="CM28" i="2"/>
  <c r="CN28" i="2"/>
  <c r="CO28" i="2" s="1"/>
  <c r="CM29" i="2"/>
  <c r="CN29" i="2"/>
  <c r="CO29" i="2" s="1"/>
  <c r="CM30" i="2"/>
  <c r="CN30" i="2"/>
  <c r="CO30" i="2" s="1"/>
  <c r="CM31" i="2"/>
  <c r="CN31" i="2"/>
  <c r="CO31" i="2" s="1"/>
  <c r="CM32" i="2"/>
  <c r="CN32" i="2"/>
  <c r="CO32" i="2" s="1"/>
  <c r="CM7" i="2"/>
  <c r="CN7" i="2"/>
  <c r="CO7" i="2" s="1"/>
  <c r="BU7" i="2"/>
  <c r="BU8" i="2"/>
  <c r="BU9" i="2"/>
  <c r="BU10" i="2"/>
  <c r="BN19" i="2"/>
  <c r="BN20" i="2"/>
  <c r="BN21" i="2"/>
  <c r="BN22" i="2"/>
  <c r="BN23" i="2"/>
  <c r="BN24" i="2"/>
  <c r="BN25" i="2"/>
  <c r="BN26" i="2"/>
  <c r="BN27" i="2"/>
  <c r="BN28" i="2"/>
  <c r="BN29" i="2"/>
  <c r="BN30" i="2"/>
  <c r="BN31" i="2"/>
  <c r="BK8" i="2"/>
  <c r="BO8" i="2" s="1"/>
  <c r="BL8" i="2"/>
  <c r="BM8" i="2" s="1"/>
  <c r="BK9" i="2"/>
  <c r="BO9" i="2" s="1"/>
  <c r="BL9" i="2"/>
  <c r="BM9" i="2" s="1"/>
  <c r="BK10" i="2"/>
  <c r="BO10" i="2" s="1"/>
  <c r="BL10" i="2"/>
  <c r="BM10" i="2" s="1"/>
  <c r="BK11" i="2"/>
  <c r="BO11" i="2" s="1"/>
  <c r="BL11" i="2"/>
  <c r="BM11" i="2" s="1"/>
  <c r="BK12" i="2"/>
  <c r="BO12" i="2" s="1"/>
  <c r="BL12" i="2"/>
  <c r="BM12" i="2" s="1"/>
  <c r="BK13" i="2"/>
  <c r="BO13" i="2" s="1"/>
  <c r="BL13" i="2"/>
  <c r="BM13" i="2" s="1"/>
  <c r="BK14" i="2"/>
  <c r="BO14" i="2" s="1"/>
  <c r="BL14" i="2"/>
  <c r="BM14" i="2" s="1"/>
  <c r="BK15" i="2"/>
  <c r="BO15" i="2" s="1"/>
  <c r="BL15" i="2"/>
  <c r="BM15" i="2" s="1"/>
  <c r="BK16" i="2"/>
  <c r="BO16" i="2" s="1"/>
  <c r="BL16" i="2"/>
  <c r="BM16" i="2" s="1"/>
  <c r="BK17" i="2"/>
  <c r="BO17" i="2" s="1"/>
  <c r="BL17" i="2"/>
  <c r="BM17" i="2" s="1"/>
  <c r="BK18" i="2"/>
  <c r="BO18" i="2" s="1"/>
  <c r="BL18" i="2"/>
  <c r="BM18" i="2" s="1"/>
  <c r="BK19" i="2"/>
  <c r="BL19" i="2"/>
  <c r="BM19" i="2" s="1"/>
  <c r="BK20" i="2"/>
  <c r="BL20" i="2"/>
  <c r="BM20" i="2" s="1"/>
  <c r="BK21" i="2"/>
  <c r="BL21" i="2"/>
  <c r="BM21" i="2" s="1"/>
  <c r="BK22" i="2"/>
  <c r="BL22" i="2"/>
  <c r="BM22" i="2" s="1"/>
  <c r="BK23" i="2"/>
  <c r="BL23" i="2"/>
  <c r="BM23" i="2" s="1"/>
  <c r="BK24" i="2"/>
  <c r="BO24" i="2" s="1"/>
  <c r="BL24" i="2"/>
  <c r="BM24" i="2" s="1"/>
  <c r="BK25" i="2"/>
  <c r="BL25" i="2"/>
  <c r="BM25" i="2" s="1"/>
  <c r="BK26" i="2"/>
  <c r="BL26" i="2"/>
  <c r="BM26" i="2" s="1"/>
  <c r="BK27" i="2"/>
  <c r="BL27" i="2"/>
  <c r="BM27" i="2" s="1"/>
  <c r="BK28" i="2"/>
  <c r="BL28" i="2"/>
  <c r="BM28" i="2" s="1"/>
  <c r="BK29" i="2"/>
  <c r="BL29" i="2"/>
  <c r="BM29" i="2" s="1"/>
  <c r="BK30" i="2"/>
  <c r="BL30" i="2"/>
  <c r="BM30" i="2" s="1"/>
  <c r="BK31" i="2"/>
  <c r="BL31" i="2"/>
  <c r="BM31" i="2" s="1"/>
  <c r="BK32" i="2"/>
  <c r="BL32" i="2"/>
  <c r="BM32" i="2" s="1"/>
  <c r="BG7" i="2"/>
  <c r="BG8" i="2"/>
  <c r="BG9" i="2"/>
  <c r="BG10" i="2"/>
  <c r="BD8" i="2"/>
  <c r="BE8" i="2"/>
  <c r="BF8" i="2" s="1"/>
  <c r="BD9" i="2"/>
  <c r="BE9" i="2"/>
  <c r="BF9" i="2" s="1"/>
  <c r="BD10" i="2"/>
  <c r="BE10" i="2"/>
  <c r="BF10" i="2" s="1"/>
  <c r="BD11" i="2"/>
  <c r="BE11" i="2"/>
  <c r="BD12" i="2"/>
  <c r="BE12" i="2"/>
  <c r="BD13" i="2"/>
  <c r="BE13" i="2"/>
  <c r="BD14" i="2"/>
  <c r="BE14" i="2"/>
  <c r="BD15" i="2"/>
  <c r="BE15" i="2"/>
  <c r="BD16" i="2"/>
  <c r="BE16" i="2"/>
  <c r="BD17" i="2"/>
  <c r="BE17" i="2"/>
  <c r="BD18" i="2"/>
  <c r="BE18" i="2"/>
  <c r="BD19" i="2"/>
  <c r="BE19" i="2"/>
  <c r="BD20" i="2"/>
  <c r="BE20" i="2"/>
  <c r="BD21" i="2"/>
  <c r="BE21" i="2"/>
  <c r="BD22" i="2"/>
  <c r="BE22" i="2"/>
  <c r="BD23" i="2"/>
  <c r="BE23" i="2"/>
  <c r="BD24" i="2"/>
  <c r="BE24" i="2"/>
  <c r="BD25" i="2"/>
  <c r="BE25" i="2"/>
  <c r="BD26" i="2"/>
  <c r="BE26" i="2"/>
  <c r="BD27" i="2"/>
  <c r="BE27" i="2"/>
  <c r="BD28" i="2"/>
  <c r="BE28" i="2"/>
  <c r="BD29" i="2"/>
  <c r="BE29" i="2"/>
  <c r="BD30" i="2"/>
  <c r="BE30" i="2"/>
  <c r="BD31" i="2"/>
  <c r="BE31" i="2"/>
  <c r="CR27" i="2" l="1"/>
  <c r="CQ18" i="2"/>
  <c r="IZ8" i="2"/>
  <c r="CQ8" i="2"/>
  <c r="CR12" i="2"/>
  <c r="CS12" i="2" s="1"/>
  <c r="DS28" i="2"/>
  <c r="DS24" i="2"/>
  <c r="DS15" i="2"/>
  <c r="DS11" i="2"/>
  <c r="DS31" i="2"/>
  <c r="DS16" i="2"/>
  <c r="BO31" i="2"/>
  <c r="BP23" i="2"/>
  <c r="BQ23" i="2" s="1"/>
  <c r="DT23" i="2"/>
  <c r="DU23" i="2" s="1"/>
  <c r="DS19" i="2"/>
  <c r="BH8" i="2"/>
  <c r="BP11" i="2"/>
  <c r="BQ11" i="2" s="1"/>
  <c r="DS12" i="2"/>
  <c r="CR11" i="2"/>
  <c r="CS11" i="2" s="1"/>
  <c r="BO27" i="2"/>
  <c r="BO19" i="2"/>
  <c r="CQ30" i="2"/>
  <c r="CQ24" i="2"/>
  <c r="CQ14" i="2"/>
  <c r="CR8" i="2"/>
  <c r="CS8" i="2" s="1"/>
  <c r="CR28" i="2"/>
  <c r="CS28" i="2" s="1"/>
  <c r="CR22" i="2"/>
  <c r="CS22" i="2" s="1"/>
  <c r="CQ19" i="2"/>
  <c r="DS13" i="2"/>
  <c r="CQ13" i="2"/>
  <c r="CQ12" i="2"/>
  <c r="CQ9" i="2"/>
  <c r="CQ7" i="2"/>
  <c r="BP8" i="2"/>
  <c r="BQ8" i="2" s="1"/>
  <c r="CR7" i="2"/>
  <c r="CS7" i="2" s="1"/>
  <c r="DS8" i="2"/>
  <c r="DT8" i="2"/>
  <c r="DU8" i="2" s="1"/>
  <c r="DS9" i="2"/>
  <c r="BI8" i="2"/>
  <c r="BJ8" i="2" s="1"/>
  <c r="CQ11" i="2"/>
  <c r="BH9" i="2"/>
  <c r="CQ26" i="2"/>
  <c r="CQ20" i="2"/>
  <c r="BO30" i="2"/>
  <c r="BP22" i="2"/>
  <c r="BQ22" i="2" s="1"/>
  <c r="CR23" i="2"/>
  <c r="CS23" i="2" s="1"/>
  <c r="CQ22" i="2"/>
  <c r="CQ16" i="2"/>
  <c r="CQ10" i="2"/>
  <c r="BO28" i="2"/>
  <c r="BO20" i="2"/>
  <c r="CR31" i="2"/>
  <c r="CS31" i="2" s="1"/>
  <c r="CR19" i="2"/>
  <c r="CS19" i="2" s="1"/>
  <c r="CR15" i="2"/>
  <c r="CS15" i="2" s="1"/>
  <c r="CS27" i="2"/>
  <c r="BO23" i="2"/>
  <c r="DS23" i="2"/>
  <c r="BP31" i="2"/>
  <c r="BQ31" i="2" s="1"/>
  <c r="BP19" i="2"/>
  <c r="BQ19" i="2" s="1"/>
  <c r="CQ27" i="2"/>
  <c r="CQ25" i="2"/>
  <c r="DT31" i="2"/>
  <c r="DU31" i="2" s="1"/>
  <c r="DS21" i="2"/>
  <c r="DT15" i="2"/>
  <c r="DU15" i="2" s="1"/>
  <c r="BO29" i="2"/>
  <c r="BP27" i="2"/>
  <c r="BQ27" i="2" s="1"/>
  <c r="CQ31" i="2"/>
  <c r="CQ29" i="2"/>
  <c r="CR26" i="2"/>
  <c r="CS26" i="2" s="1"/>
  <c r="CR24" i="2"/>
  <c r="CS24" i="2" s="1"/>
  <c r="CQ23" i="2"/>
  <c r="CQ21" i="2"/>
  <c r="DS29" i="2"/>
  <c r="BO26" i="2"/>
  <c r="BP26" i="2"/>
  <c r="BQ26" i="2" s="1"/>
  <c r="BP18" i="2"/>
  <c r="BQ18" i="2" s="1"/>
  <c r="BP14" i="2"/>
  <c r="BQ14" i="2" s="1"/>
  <c r="BP30" i="2"/>
  <c r="BQ30" i="2" s="1"/>
  <c r="BO22" i="2"/>
  <c r="BP16" i="2"/>
  <c r="BQ16" i="2" s="1"/>
  <c r="DS30" i="2"/>
  <c r="DT30" i="2"/>
  <c r="DU30" i="2" s="1"/>
  <c r="DT26" i="2"/>
  <c r="DU26" i="2" s="1"/>
  <c r="DS22" i="2"/>
  <c r="DT22" i="2"/>
  <c r="DU22" i="2" s="1"/>
  <c r="DT18" i="2"/>
  <c r="DU18" i="2" s="1"/>
  <c r="DS14" i="2"/>
  <c r="DT14" i="2"/>
  <c r="DU14" i="2" s="1"/>
  <c r="DT10" i="2"/>
  <c r="DU10" i="2" s="1"/>
  <c r="DT28" i="2"/>
  <c r="DU28" i="2" s="1"/>
  <c r="DS26" i="2"/>
  <c r="DT20" i="2"/>
  <c r="DU20" i="2" s="1"/>
  <c r="DS18" i="2"/>
  <c r="DT12" i="2"/>
  <c r="DU12" i="2" s="1"/>
  <c r="DS10" i="2"/>
  <c r="BH10" i="2"/>
  <c r="BI10" i="2"/>
  <c r="BJ10" i="2" s="1"/>
  <c r="BP10" i="2"/>
  <c r="BQ10" i="2" s="1"/>
  <c r="BP24" i="2"/>
  <c r="BQ24" i="2" s="1"/>
  <c r="BP12" i="2"/>
  <c r="BQ12" i="2" s="1"/>
  <c r="CQ28" i="2"/>
  <c r="CR20" i="2"/>
  <c r="CS20" i="2" s="1"/>
  <c r="CR18" i="2"/>
  <c r="CS18" i="2" s="1"/>
  <c r="BO25" i="2"/>
  <c r="BP20" i="2"/>
  <c r="BQ20" i="2" s="1"/>
  <c r="BP15" i="2"/>
  <c r="BQ15" i="2" s="1"/>
  <c r="CR16" i="2"/>
  <c r="CS16" i="2" s="1"/>
  <c r="CR14" i="2"/>
  <c r="CS14" i="2" s="1"/>
  <c r="DT27" i="2"/>
  <c r="DU27" i="2" s="1"/>
  <c r="DT24" i="2"/>
  <c r="DU24" i="2" s="1"/>
  <c r="DT19" i="2"/>
  <c r="DU19" i="2" s="1"/>
  <c r="DT16" i="2"/>
  <c r="DU16" i="2" s="1"/>
  <c r="DT11" i="2"/>
  <c r="DU11" i="2" s="1"/>
  <c r="BP28" i="2"/>
  <c r="BQ28" i="2" s="1"/>
  <c r="BO21" i="2"/>
  <c r="CR30" i="2"/>
  <c r="CS30" i="2" s="1"/>
  <c r="CQ17" i="2"/>
  <c r="CQ15" i="2"/>
  <c r="CR10" i="2"/>
  <c r="CS10" i="2" s="1"/>
  <c r="DS25" i="2"/>
  <c r="DS17" i="2"/>
  <c r="DT29" i="2"/>
  <c r="DU29" i="2" s="1"/>
  <c r="DT25" i="2"/>
  <c r="DU25" i="2" s="1"/>
  <c r="DT21" i="2"/>
  <c r="DU21" i="2" s="1"/>
  <c r="DT17" i="2"/>
  <c r="DU17" i="2" s="1"/>
  <c r="DT13" i="2"/>
  <c r="DU13" i="2" s="1"/>
  <c r="DT9" i="2"/>
  <c r="DU9" i="2" s="1"/>
  <c r="CR29" i="2"/>
  <c r="CS29" i="2" s="1"/>
  <c r="CR25" i="2"/>
  <c r="CS25" i="2" s="1"/>
  <c r="CR21" i="2"/>
  <c r="CS21" i="2" s="1"/>
  <c r="CR17" i="2"/>
  <c r="CS17" i="2" s="1"/>
  <c r="CR13" i="2"/>
  <c r="CS13" i="2" s="1"/>
  <c r="CR9" i="2"/>
  <c r="CS9" i="2" s="1"/>
  <c r="BP29" i="2"/>
  <c r="BQ29" i="2" s="1"/>
  <c r="BP25" i="2"/>
  <c r="BQ25" i="2" s="1"/>
  <c r="BP21" i="2"/>
  <c r="BQ21" i="2" s="1"/>
  <c r="BP17" i="2"/>
  <c r="BQ17" i="2" s="1"/>
  <c r="BP13" i="2"/>
  <c r="BQ13" i="2" s="1"/>
  <c r="BP9" i="2"/>
  <c r="BQ9" i="2" s="1"/>
  <c r="BI9" i="2"/>
  <c r="BJ9" i="2" s="1"/>
  <c r="CK29" i="3" l="1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DE29" i="3"/>
  <c r="DG29" i="3"/>
  <c r="DH29" i="3"/>
  <c r="DI29" i="3"/>
  <c r="DJ29" i="3"/>
  <c r="DK29" i="3"/>
  <c r="DL29" i="3"/>
  <c r="DM29" i="3"/>
  <c r="DN29" i="3"/>
  <c r="DO29" i="3"/>
  <c r="DP29" i="3"/>
  <c r="DQ29" i="3"/>
  <c r="DR29" i="3"/>
  <c r="JW7" i="2" l="1"/>
  <c r="JW8" i="2"/>
  <c r="JW9" i="2"/>
  <c r="JW10" i="2"/>
  <c r="JP32" i="2"/>
  <c r="JW32" i="2"/>
  <c r="JW15" i="2"/>
  <c r="JW16" i="2"/>
  <c r="JW17" i="2"/>
  <c r="JW18" i="2"/>
  <c r="JW19" i="2"/>
  <c r="HQ20" i="2"/>
  <c r="JW20" i="2" s="1"/>
  <c r="HQ21" i="2"/>
  <c r="JW21" i="2" s="1"/>
  <c r="HQ22" i="2"/>
  <c r="JW22" i="2" s="1"/>
  <c r="HQ23" i="2"/>
  <c r="JW23" i="2" s="1"/>
  <c r="HQ24" i="2"/>
  <c r="JW24" i="2" s="1"/>
  <c r="HQ25" i="2"/>
  <c r="JW25" i="2" s="1"/>
  <c r="HQ26" i="2"/>
  <c r="JW26" i="2" s="1"/>
  <c r="HQ27" i="2"/>
  <c r="JW27" i="2" s="1"/>
  <c r="HQ28" i="2"/>
  <c r="JW28" i="2" s="1"/>
  <c r="HQ29" i="2"/>
  <c r="JW29" i="2" s="1"/>
  <c r="HQ30" i="2"/>
  <c r="JW30" i="2" s="1"/>
  <c r="HQ31" i="2"/>
  <c r="JW31" i="2" s="1"/>
  <c r="GX7" i="2" l="1"/>
  <c r="GY7" i="2"/>
  <c r="GZ7" i="2" s="1"/>
  <c r="HA7" i="2"/>
  <c r="HB7" i="2"/>
  <c r="HC7" i="2" s="1"/>
  <c r="HD7" i="2"/>
  <c r="HE7" i="2"/>
  <c r="HF7" i="2" s="1"/>
  <c r="HG7" i="2"/>
  <c r="HH7" i="2"/>
  <c r="HI7" i="2" s="1"/>
  <c r="HJ7" i="2"/>
  <c r="HK7" i="2"/>
  <c r="HL7" i="2" s="1"/>
  <c r="HM7" i="2"/>
  <c r="HN7" i="2"/>
  <c r="HO7" i="2" s="1"/>
  <c r="GX8" i="2"/>
  <c r="GY8" i="2"/>
  <c r="GZ8" i="2" s="1"/>
  <c r="HA8" i="2"/>
  <c r="HB8" i="2"/>
  <c r="HC8" i="2" s="1"/>
  <c r="HD8" i="2"/>
  <c r="HE8" i="2"/>
  <c r="HF8" i="2" s="1"/>
  <c r="HG8" i="2"/>
  <c r="HH8" i="2"/>
  <c r="HI8" i="2" s="1"/>
  <c r="HJ8" i="2"/>
  <c r="HK8" i="2"/>
  <c r="HL8" i="2" s="1"/>
  <c r="HM8" i="2"/>
  <c r="HN8" i="2"/>
  <c r="HO8" i="2" s="1"/>
  <c r="GX9" i="2"/>
  <c r="GY9" i="2"/>
  <c r="GZ9" i="2" s="1"/>
  <c r="HA9" i="2"/>
  <c r="HB9" i="2"/>
  <c r="HC9" i="2" s="1"/>
  <c r="HD9" i="2"/>
  <c r="HE9" i="2"/>
  <c r="HF9" i="2" s="1"/>
  <c r="HG9" i="2"/>
  <c r="HH9" i="2"/>
  <c r="HI9" i="2" s="1"/>
  <c r="HJ9" i="2"/>
  <c r="HK9" i="2"/>
  <c r="HL9" i="2" s="1"/>
  <c r="HM9" i="2"/>
  <c r="HN9" i="2"/>
  <c r="HO9" i="2" s="1"/>
  <c r="GX10" i="2"/>
  <c r="GY10" i="2"/>
  <c r="GZ10" i="2" s="1"/>
  <c r="HA10" i="2"/>
  <c r="HB10" i="2"/>
  <c r="HC10" i="2" s="1"/>
  <c r="HD10" i="2"/>
  <c r="HE10" i="2"/>
  <c r="HF10" i="2" s="1"/>
  <c r="HG10" i="2"/>
  <c r="HH10" i="2"/>
  <c r="HI10" i="2" s="1"/>
  <c r="HJ10" i="2"/>
  <c r="HK10" i="2"/>
  <c r="HL10" i="2" s="1"/>
  <c r="HM10" i="2"/>
  <c r="HN10" i="2"/>
  <c r="HO10" i="2" s="1"/>
  <c r="GX11" i="2"/>
  <c r="GY11" i="2"/>
  <c r="GZ11" i="2" s="1"/>
  <c r="HA11" i="2"/>
  <c r="HB11" i="2"/>
  <c r="HC11" i="2" s="1"/>
  <c r="HD11" i="2"/>
  <c r="HE11" i="2"/>
  <c r="HF11" i="2" s="1"/>
  <c r="HG11" i="2"/>
  <c r="HH11" i="2"/>
  <c r="HI11" i="2" s="1"/>
  <c r="HJ11" i="2"/>
  <c r="HK11" i="2"/>
  <c r="HL11" i="2" s="1"/>
  <c r="HM11" i="2"/>
  <c r="HN11" i="2"/>
  <c r="HO11" i="2" s="1"/>
  <c r="GX12" i="2"/>
  <c r="GY12" i="2"/>
  <c r="GZ12" i="2" s="1"/>
  <c r="HA12" i="2"/>
  <c r="HB12" i="2"/>
  <c r="HC12" i="2" s="1"/>
  <c r="HD12" i="2"/>
  <c r="HE12" i="2"/>
  <c r="HF12" i="2" s="1"/>
  <c r="HG12" i="2"/>
  <c r="HH12" i="2"/>
  <c r="HI12" i="2" s="1"/>
  <c r="HJ12" i="2"/>
  <c r="HK12" i="2"/>
  <c r="HL12" i="2" s="1"/>
  <c r="HM12" i="2"/>
  <c r="HN12" i="2"/>
  <c r="HO12" i="2" s="1"/>
  <c r="GX13" i="2"/>
  <c r="GY13" i="2"/>
  <c r="GZ13" i="2" s="1"/>
  <c r="HA13" i="2"/>
  <c r="HB13" i="2"/>
  <c r="HC13" i="2" s="1"/>
  <c r="HD13" i="2"/>
  <c r="HE13" i="2"/>
  <c r="HF13" i="2" s="1"/>
  <c r="HG13" i="2"/>
  <c r="HH13" i="2"/>
  <c r="HI13" i="2" s="1"/>
  <c r="HJ13" i="2"/>
  <c r="HK13" i="2"/>
  <c r="HL13" i="2" s="1"/>
  <c r="HM13" i="2"/>
  <c r="HN13" i="2"/>
  <c r="HO13" i="2" s="1"/>
  <c r="GX14" i="2"/>
  <c r="GY14" i="2"/>
  <c r="GZ14" i="2" s="1"/>
  <c r="HA14" i="2"/>
  <c r="HB14" i="2"/>
  <c r="HC14" i="2" s="1"/>
  <c r="HD14" i="2"/>
  <c r="HE14" i="2"/>
  <c r="HF14" i="2" s="1"/>
  <c r="HG14" i="2"/>
  <c r="HH14" i="2"/>
  <c r="HI14" i="2" s="1"/>
  <c r="HJ14" i="2"/>
  <c r="HK14" i="2"/>
  <c r="HL14" i="2" s="1"/>
  <c r="HM14" i="2"/>
  <c r="HN14" i="2"/>
  <c r="HO14" i="2" s="1"/>
  <c r="GX15" i="2"/>
  <c r="GY15" i="2"/>
  <c r="GZ15" i="2" s="1"/>
  <c r="HA15" i="2"/>
  <c r="HB15" i="2"/>
  <c r="HC15" i="2" s="1"/>
  <c r="HD15" i="2"/>
  <c r="HE15" i="2"/>
  <c r="HF15" i="2" s="1"/>
  <c r="HG15" i="2"/>
  <c r="HH15" i="2"/>
  <c r="HI15" i="2" s="1"/>
  <c r="HJ15" i="2"/>
  <c r="HK15" i="2"/>
  <c r="HL15" i="2" s="1"/>
  <c r="HM15" i="2"/>
  <c r="HN15" i="2"/>
  <c r="HO15" i="2" s="1"/>
  <c r="GX16" i="2"/>
  <c r="GY16" i="2"/>
  <c r="GZ16" i="2" s="1"/>
  <c r="HA16" i="2"/>
  <c r="HB16" i="2"/>
  <c r="HC16" i="2" s="1"/>
  <c r="HD16" i="2"/>
  <c r="HE16" i="2"/>
  <c r="HF16" i="2" s="1"/>
  <c r="HG16" i="2"/>
  <c r="HH16" i="2"/>
  <c r="HI16" i="2" s="1"/>
  <c r="HJ16" i="2"/>
  <c r="HK16" i="2"/>
  <c r="HL16" i="2" s="1"/>
  <c r="HM16" i="2"/>
  <c r="HN16" i="2"/>
  <c r="HO16" i="2" s="1"/>
  <c r="GX17" i="2"/>
  <c r="GY17" i="2"/>
  <c r="GZ17" i="2" s="1"/>
  <c r="HA17" i="2"/>
  <c r="HB17" i="2"/>
  <c r="HC17" i="2" s="1"/>
  <c r="HD17" i="2"/>
  <c r="HE17" i="2"/>
  <c r="HF17" i="2" s="1"/>
  <c r="HG17" i="2"/>
  <c r="HH17" i="2"/>
  <c r="HI17" i="2" s="1"/>
  <c r="HJ17" i="2"/>
  <c r="HK17" i="2"/>
  <c r="HL17" i="2" s="1"/>
  <c r="HM17" i="2"/>
  <c r="HN17" i="2"/>
  <c r="HO17" i="2" s="1"/>
  <c r="GX18" i="2"/>
  <c r="GY18" i="2"/>
  <c r="GZ18" i="2" s="1"/>
  <c r="HA18" i="2"/>
  <c r="HB18" i="2"/>
  <c r="HC18" i="2" s="1"/>
  <c r="HD18" i="2"/>
  <c r="HE18" i="2"/>
  <c r="HF18" i="2" s="1"/>
  <c r="HG18" i="2"/>
  <c r="HH18" i="2"/>
  <c r="HI18" i="2" s="1"/>
  <c r="HJ18" i="2"/>
  <c r="HK18" i="2"/>
  <c r="HL18" i="2" s="1"/>
  <c r="HM18" i="2"/>
  <c r="HN18" i="2"/>
  <c r="HO18" i="2" s="1"/>
  <c r="GX19" i="2"/>
  <c r="GY19" i="2"/>
  <c r="GZ19" i="2" s="1"/>
  <c r="HA19" i="2"/>
  <c r="HB19" i="2"/>
  <c r="HC19" i="2" s="1"/>
  <c r="HD19" i="2"/>
  <c r="HE19" i="2"/>
  <c r="HF19" i="2" s="1"/>
  <c r="HG19" i="2"/>
  <c r="HH19" i="2"/>
  <c r="HI19" i="2" s="1"/>
  <c r="HJ19" i="2"/>
  <c r="HK19" i="2"/>
  <c r="HL19" i="2" s="1"/>
  <c r="HM19" i="2"/>
  <c r="HN19" i="2"/>
  <c r="HO19" i="2" s="1"/>
  <c r="GX20" i="2"/>
  <c r="GY20" i="2"/>
  <c r="GZ20" i="2" s="1"/>
  <c r="HA20" i="2"/>
  <c r="HB20" i="2"/>
  <c r="HC20" i="2" s="1"/>
  <c r="HD20" i="2"/>
  <c r="HE20" i="2"/>
  <c r="HF20" i="2" s="1"/>
  <c r="HG20" i="2"/>
  <c r="HH20" i="2"/>
  <c r="HI20" i="2" s="1"/>
  <c r="HJ20" i="2"/>
  <c r="HK20" i="2"/>
  <c r="HL20" i="2" s="1"/>
  <c r="HM20" i="2"/>
  <c r="HN20" i="2"/>
  <c r="HO20" i="2" s="1"/>
  <c r="GX21" i="2"/>
  <c r="GY21" i="2"/>
  <c r="GZ21" i="2" s="1"/>
  <c r="HA21" i="2"/>
  <c r="HB21" i="2"/>
  <c r="HC21" i="2" s="1"/>
  <c r="HD21" i="2"/>
  <c r="HE21" i="2"/>
  <c r="HF21" i="2" s="1"/>
  <c r="HG21" i="2"/>
  <c r="HH21" i="2"/>
  <c r="HI21" i="2" s="1"/>
  <c r="HJ21" i="2"/>
  <c r="HK21" i="2"/>
  <c r="HL21" i="2" s="1"/>
  <c r="HM21" i="2"/>
  <c r="HN21" i="2"/>
  <c r="HO21" i="2" s="1"/>
  <c r="GX22" i="2"/>
  <c r="GY22" i="2"/>
  <c r="GZ22" i="2" s="1"/>
  <c r="HA22" i="2"/>
  <c r="HB22" i="2"/>
  <c r="HC22" i="2" s="1"/>
  <c r="HD22" i="2"/>
  <c r="HE22" i="2"/>
  <c r="HF22" i="2" s="1"/>
  <c r="HG22" i="2"/>
  <c r="HH22" i="2"/>
  <c r="HI22" i="2" s="1"/>
  <c r="HJ22" i="2"/>
  <c r="HK22" i="2"/>
  <c r="HL22" i="2" s="1"/>
  <c r="HM22" i="2"/>
  <c r="HN22" i="2"/>
  <c r="HO22" i="2" s="1"/>
  <c r="GX23" i="2"/>
  <c r="GY23" i="2"/>
  <c r="GZ23" i="2" s="1"/>
  <c r="HA23" i="2"/>
  <c r="HB23" i="2"/>
  <c r="HC23" i="2" s="1"/>
  <c r="HD23" i="2"/>
  <c r="HE23" i="2"/>
  <c r="HF23" i="2" s="1"/>
  <c r="HG23" i="2"/>
  <c r="HH23" i="2"/>
  <c r="HI23" i="2" s="1"/>
  <c r="HJ23" i="2"/>
  <c r="HK23" i="2"/>
  <c r="HL23" i="2" s="1"/>
  <c r="HM23" i="2"/>
  <c r="HN23" i="2"/>
  <c r="HO23" i="2" s="1"/>
  <c r="GX24" i="2"/>
  <c r="GY24" i="2"/>
  <c r="GZ24" i="2" s="1"/>
  <c r="HA24" i="2"/>
  <c r="HB24" i="2"/>
  <c r="HC24" i="2" s="1"/>
  <c r="HD24" i="2"/>
  <c r="HE24" i="2"/>
  <c r="HF24" i="2" s="1"/>
  <c r="HG24" i="2"/>
  <c r="HH24" i="2"/>
  <c r="HI24" i="2" s="1"/>
  <c r="HJ24" i="2"/>
  <c r="HK24" i="2"/>
  <c r="HL24" i="2" s="1"/>
  <c r="HM24" i="2"/>
  <c r="HN24" i="2"/>
  <c r="HO24" i="2" s="1"/>
  <c r="GX25" i="2"/>
  <c r="GY25" i="2"/>
  <c r="GZ25" i="2" s="1"/>
  <c r="HA25" i="2"/>
  <c r="HB25" i="2"/>
  <c r="HC25" i="2" s="1"/>
  <c r="HD25" i="2"/>
  <c r="HE25" i="2"/>
  <c r="HF25" i="2" s="1"/>
  <c r="HG25" i="2"/>
  <c r="HH25" i="2"/>
  <c r="HI25" i="2" s="1"/>
  <c r="HJ25" i="2"/>
  <c r="HK25" i="2"/>
  <c r="HL25" i="2" s="1"/>
  <c r="HM25" i="2"/>
  <c r="HN25" i="2"/>
  <c r="HO25" i="2" s="1"/>
  <c r="GX26" i="2"/>
  <c r="GY26" i="2"/>
  <c r="GZ26" i="2" s="1"/>
  <c r="HA26" i="2"/>
  <c r="HB26" i="2"/>
  <c r="HC26" i="2" s="1"/>
  <c r="HD26" i="2"/>
  <c r="HE26" i="2"/>
  <c r="HF26" i="2" s="1"/>
  <c r="HG26" i="2"/>
  <c r="HH26" i="2"/>
  <c r="HI26" i="2" s="1"/>
  <c r="HJ26" i="2"/>
  <c r="HK26" i="2"/>
  <c r="HL26" i="2" s="1"/>
  <c r="HM26" i="2"/>
  <c r="HN26" i="2"/>
  <c r="HO26" i="2" s="1"/>
  <c r="GX27" i="2"/>
  <c r="GY27" i="2"/>
  <c r="GZ27" i="2" s="1"/>
  <c r="HA27" i="2"/>
  <c r="HB27" i="2"/>
  <c r="HC27" i="2" s="1"/>
  <c r="HD27" i="2"/>
  <c r="HE27" i="2"/>
  <c r="HF27" i="2" s="1"/>
  <c r="HG27" i="2"/>
  <c r="HH27" i="2"/>
  <c r="HI27" i="2" s="1"/>
  <c r="HJ27" i="2"/>
  <c r="HK27" i="2"/>
  <c r="HL27" i="2" s="1"/>
  <c r="HM27" i="2"/>
  <c r="HN27" i="2"/>
  <c r="HO27" i="2" s="1"/>
  <c r="GX28" i="2"/>
  <c r="GY28" i="2"/>
  <c r="GZ28" i="2" s="1"/>
  <c r="HA28" i="2"/>
  <c r="HB28" i="2"/>
  <c r="HC28" i="2" s="1"/>
  <c r="HD28" i="2"/>
  <c r="HE28" i="2"/>
  <c r="HF28" i="2" s="1"/>
  <c r="HG28" i="2"/>
  <c r="HH28" i="2"/>
  <c r="HI28" i="2" s="1"/>
  <c r="HJ28" i="2"/>
  <c r="HK28" i="2"/>
  <c r="HL28" i="2" s="1"/>
  <c r="HM28" i="2"/>
  <c r="HN28" i="2"/>
  <c r="HO28" i="2" s="1"/>
  <c r="GX29" i="2"/>
  <c r="GY29" i="2"/>
  <c r="GZ29" i="2" s="1"/>
  <c r="HA29" i="2"/>
  <c r="HB29" i="2"/>
  <c r="HC29" i="2" s="1"/>
  <c r="HD29" i="2"/>
  <c r="HE29" i="2"/>
  <c r="HF29" i="2" s="1"/>
  <c r="HG29" i="2"/>
  <c r="HH29" i="2"/>
  <c r="HI29" i="2" s="1"/>
  <c r="HJ29" i="2"/>
  <c r="HK29" i="2"/>
  <c r="HL29" i="2" s="1"/>
  <c r="HM29" i="2"/>
  <c r="HN29" i="2"/>
  <c r="HO29" i="2" s="1"/>
  <c r="GX30" i="2"/>
  <c r="GY30" i="2"/>
  <c r="GZ30" i="2" s="1"/>
  <c r="HA30" i="2"/>
  <c r="HB30" i="2"/>
  <c r="HC30" i="2" s="1"/>
  <c r="HD30" i="2"/>
  <c r="HE30" i="2"/>
  <c r="HF30" i="2" s="1"/>
  <c r="HG30" i="2"/>
  <c r="HH30" i="2"/>
  <c r="HI30" i="2" s="1"/>
  <c r="HJ30" i="2"/>
  <c r="HK30" i="2"/>
  <c r="HL30" i="2" s="1"/>
  <c r="HM30" i="2"/>
  <c r="HN30" i="2"/>
  <c r="HO30" i="2" s="1"/>
  <c r="GX31" i="2"/>
  <c r="GY31" i="2"/>
  <c r="GZ31" i="2" s="1"/>
  <c r="HA31" i="2"/>
  <c r="HB31" i="2"/>
  <c r="HC31" i="2" s="1"/>
  <c r="HD31" i="2"/>
  <c r="HE31" i="2"/>
  <c r="HF31" i="2" s="1"/>
  <c r="HG31" i="2"/>
  <c r="HH31" i="2"/>
  <c r="HI31" i="2" s="1"/>
  <c r="HJ31" i="2"/>
  <c r="HK31" i="2"/>
  <c r="HL31" i="2" s="1"/>
  <c r="HM31" i="2"/>
  <c r="HN31" i="2"/>
  <c r="HO31" i="2" s="1"/>
  <c r="GX32" i="2"/>
  <c r="GY32" i="2"/>
  <c r="HA32" i="2"/>
  <c r="HB32" i="2"/>
  <c r="HC32" i="2" s="1"/>
  <c r="HD32" i="2"/>
  <c r="HE32" i="2"/>
  <c r="HG32" i="2"/>
  <c r="HH32" i="2"/>
  <c r="HJ32" i="2"/>
  <c r="HK32" i="2"/>
  <c r="HM32" i="2"/>
  <c r="HN32" i="2"/>
  <c r="HO32" i="2" s="1"/>
  <c r="GU7" i="2"/>
  <c r="GV7" i="2"/>
  <c r="GW7" i="2" s="1"/>
  <c r="GU8" i="2"/>
  <c r="GV8" i="2"/>
  <c r="GW8" i="2" s="1"/>
  <c r="GU9" i="2"/>
  <c r="GV9" i="2"/>
  <c r="GW9" i="2" s="1"/>
  <c r="GU10" i="2"/>
  <c r="GV10" i="2"/>
  <c r="GW10" i="2" s="1"/>
  <c r="GU11" i="2"/>
  <c r="GV11" i="2"/>
  <c r="GW11" i="2" s="1"/>
  <c r="GU12" i="2"/>
  <c r="GV12" i="2"/>
  <c r="GW12" i="2" s="1"/>
  <c r="GU13" i="2"/>
  <c r="GV13" i="2"/>
  <c r="GW13" i="2" s="1"/>
  <c r="GU14" i="2"/>
  <c r="GV14" i="2"/>
  <c r="GW14" i="2" s="1"/>
  <c r="GW15" i="2"/>
  <c r="GW16" i="2"/>
  <c r="GW17" i="2"/>
  <c r="GW18" i="2"/>
  <c r="GW19" i="2"/>
  <c r="GW20" i="2"/>
  <c r="GW21" i="2"/>
  <c r="GW22" i="2"/>
  <c r="GW23" i="2"/>
  <c r="GW24" i="2"/>
  <c r="GW25" i="2"/>
  <c r="GW26" i="2"/>
  <c r="GW27" i="2"/>
  <c r="GW28" i="2"/>
  <c r="GW29" i="2"/>
  <c r="GW30" i="2"/>
  <c r="GW31" i="2"/>
  <c r="GR8" i="2"/>
  <c r="GS8" i="2"/>
  <c r="GT8" i="2" s="1"/>
  <c r="GR9" i="2"/>
  <c r="GS9" i="2"/>
  <c r="GT9" i="2" s="1"/>
  <c r="GR10" i="2"/>
  <c r="GS10" i="2"/>
  <c r="GT10" i="2" s="1"/>
  <c r="GR11" i="2"/>
  <c r="GS11" i="2"/>
  <c r="GT11" i="2" s="1"/>
  <c r="GR12" i="2"/>
  <c r="GS12" i="2"/>
  <c r="GT12" i="2" s="1"/>
  <c r="GR13" i="2"/>
  <c r="GS13" i="2"/>
  <c r="GT13" i="2" s="1"/>
  <c r="GR14" i="2"/>
  <c r="GS14" i="2"/>
  <c r="GT14" i="2" s="1"/>
  <c r="GR15" i="2"/>
  <c r="GS15" i="2"/>
  <c r="GT15" i="2" s="1"/>
  <c r="GR16" i="2"/>
  <c r="GS16" i="2"/>
  <c r="GT16" i="2" s="1"/>
  <c r="GR17" i="2"/>
  <c r="GS17" i="2"/>
  <c r="GT17" i="2" s="1"/>
  <c r="GR18" i="2"/>
  <c r="GS18" i="2"/>
  <c r="GT18" i="2" s="1"/>
  <c r="GR19" i="2"/>
  <c r="GS19" i="2"/>
  <c r="GT19" i="2" s="1"/>
  <c r="GR20" i="2"/>
  <c r="GS20" i="2"/>
  <c r="GT20" i="2" s="1"/>
  <c r="GR21" i="2"/>
  <c r="GS21" i="2"/>
  <c r="GT21" i="2" s="1"/>
  <c r="GR22" i="2"/>
  <c r="GS22" i="2"/>
  <c r="GT22" i="2" s="1"/>
  <c r="GR23" i="2"/>
  <c r="GS23" i="2"/>
  <c r="GT23" i="2" s="1"/>
  <c r="GR24" i="2"/>
  <c r="GS24" i="2"/>
  <c r="GT24" i="2" s="1"/>
  <c r="GR25" i="2"/>
  <c r="GS25" i="2"/>
  <c r="GT25" i="2" s="1"/>
  <c r="GR26" i="2"/>
  <c r="GS26" i="2"/>
  <c r="GT26" i="2" s="1"/>
  <c r="GR27" i="2"/>
  <c r="GS27" i="2"/>
  <c r="GT27" i="2" s="1"/>
  <c r="GR28" i="2"/>
  <c r="GS28" i="2"/>
  <c r="GT28" i="2" s="1"/>
  <c r="GR29" i="2"/>
  <c r="GS29" i="2"/>
  <c r="GT29" i="2" s="1"/>
  <c r="GR30" i="2"/>
  <c r="GS30" i="2"/>
  <c r="GT30" i="2" s="1"/>
  <c r="GR31" i="2"/>
  <c r="GS31" i="2"/>
  <c r="GT31" i="2" s="1"/>
  <c r="GR32" i="2"/>
  <c r="GS32" i="2"/>
  <c r="GT32" i="2" s="1"/>
  <c r="GO8" i="2"/>
  <c r="GP8" i="2"/>
  <c r="GQ8" i="2" s="1"/>
  <c r="GO9" i="2"/>
  <c r="GP9" i="2"/>
  <c r="GQ9" i="2" s="1"/>
  <c r="GO10" i="2"/>
  <c r="GP10" i="2"/>
  <c r="GQ10" i="2" s="1"/>
  <c r="GO11" i="2"/>
  <c r="GP11" i="2"/>
  <c r="GQ11" i="2" s="1"/>
  <c r="GO12" i="2"/>
  <c r="GP12" i="2"/>
  <c r="GQ12" i="2" s="1"/>
  <c r="GO13" i="2"/>
  <c r="GP13" i="2"/>
  <c r="GQ13" i="2" s="1"/>
  <c r="GO14" i="2"/>
  <c r="GP14" i="2"/>
  <c r="GQ14" i="2" s="1"/>
  <c r="GO15" i="2"/>
  <c r="GP15" i="2"/>
  <c r="GQ15" i="2" s="1"/>
  <c r="GO16" i="2"/>
  <c r="GP16" i="2"/>
  <c r="GQ16" i="2" s="1"/>
  <c r="GO17" i="2"/>
  <c r="GP17" i="2"/>
  <c r="GQ17" i="2" s="1"/>
  <c r="GO18" i="2"/>
  <c r="GP18" i="2"/>
  <c r="GQ18" i="2" s="1"/>
  <c r="GO19" i="2"/>
  <c r="GP19" i="2"/>
  <c r="GQ19" i="2" s="1"/>
  <c r="GO20" i="2"/>
  <c r="GP20" i="2"/>
  <c r="GQ20" i="2" s="1"/>
  <c r="GO21" i="2"/>
  <c r="GP21" i="2"/>
  <c r="GQ21" i="2" s="1"/>
  <c r="GO22" i="2"/>
  <c r="GP22" i="2"/>
  <c r="GQ22" i="2" s="1"/>
  <c r="GO23" i="2"/>
  <c r="GP23" i="2"/>
  <c r="GQ23" i="2" s="1"/>
  <c r="GO24" i="2"/>
  <c r="GP24" i="2"/>
  <c r="GQ24" i="2" s="1"/>
  <c r="GO25" i="2"/>
  <c r="GP25" i="2"/>
  <c r="GQ25" i="2" s="1"/>
  <c r="GO26" i="2"/>
  <c r="GP26" i="2"/>
  <c r="GQ26" i="2" s="1"/>
  <c r="GO27" i="2"/>
  <c r="GP27" i="2"/>
  <c r="GQ27" i="2" s="1"/>
  <c r="GO28" i="2"/>
  <c r="GP28" i="2"/>
  <c r="GQ28" i="2" s="1"/>
  <c r="GO29" i="2"/>
  <c r="GP29" i="2"/>
  <c r="GQ29" i="2" s="1"/>
  <c r="GO30" i="2"/>
  <c r="GP30" i="2"/>
  <c r="GQ30" i="2" s="1"/>
  <c r="GO31" i="2"/>
  <c r="GP31" i="2"/>
  <c r="GQ31" i="2" s="1"/>
  <c r="GO32" i="2"/>
  <c r="GP32" i="2"/>
  <c r="GQ32" i="2" s="1"/>
  <c r="GK8" i="2"/>
  <c r="GL8" i="2"/>
  <c r="GM8" i="2" s="1"/>
  <c r="GK9" i="2"/>
  <c r="GL9" i="2"/>
  <c r="GM9" i="2" s="1"/>
  <c r="GK10" i="2"/>
  <c r="GL10" i="2"/>
  <c r="GM10" i="2" s="1"/>
  <c r="GK11" i="2"/>
  <c r="GL11" i="2"/>
  <c r="GM11" i="2" s="1"/>
  <c r="GK12" i="2"/>
  <c r="GL12" i="2"/>
  <c r="GM12" i="2" s="1"/>
  <c r="GK13" i="2"/>
  <c r="GL13" i="2"/>
  <c r="GM13" i="2" s="1"/>
  <c r="GK14" i="2"/>
  <c r="GL14" i="2"/>
  <c r="GM14" i="2" s="1"/>
  <c r="GK15" i="2"/>
  <c r="GL15" i="2"/>
  <c r="GM15" i="2" s="1"/>
  <c r="GK16" i="2"/>
  <c r="GL16" i="2"/>
  <c r="GM16" i="2" s="1"/>
  <c r="GK17" i="2"/>
  <c r="GL17" i="2"/>
  <c r="GM17" i="2" s="1"/>
  <c r="GK18" i="2"/>
  <c r="GL18" i="2"/>
  <c r="GM18" i="2" s="1"/>
  <c r="GK19" i="2"/>
  <c r="GL19" i="2"/>
  <c r="GM19" i="2" s="1"/>
  <c r="GK20" i="2"/>
  <c r="GL20" i="2"/>
  <c r="GM20" i="2" s="1"/>
  <c r="GK21" i="2"/>
  <c r="GL21" i="2"/>
  <c r="GM21" i="2" s="1"/>
  <c r="GK22" i="2"/>
  <c r="GL22" i="2"/>
  <c r="GM22" i="2" s="1"/>
  <c r="GK23" i="2"/>
  <c r="GL23" i="2"/>
  <c r="GM23" i="2" s="1"/>
  <c r="GK24" i="2"/>
  <c r="GL24" i="2"/>
  <c r="GM24" i="2" s="1"/>
  <c r="GK25" i="2"/>
  <c r="GL25" i="2"/>
  <c r="GM25" i="2" s="1"/>
  <c r="GK26" i="2"/>
  <c r="GL26" i="2"/>
  <c r="GM26" i="2" s="1"/>
  <c r="GK27" i="2"/>
  <c r="GL27" i="2"/>
  <c r="GM27" i="2" s="1"/>
  <c r="GK28" i="2"/>
  <c r="GL28" i="2"/>
  <c r="GM28" i="2" s="1"/>
  <c r="GK29" i="2"/>
  <c r="GL29" i="2"/>
  <c r="GM29" i="2" s="1"/>
  <c r="GK30" i="2"/>
  <c r="GL30" i="2"/>
  <c r="GM30" i="2" s="1"/>
  <c r="GK31" i="2"/>
  <c r="GL31" i="2"/>
  <c r="GM31" i="2" s="1"/>
  <c r="GK32" i="2"/>
  <c r="GL32" i="2"/>
  <c r="GM32" i="2" s="1"/>
  <c r="GH8" i="2"/>
  <c r="GI8" i="2"/>
  <c r="GJ8" i="2" s="1"/>
  <c r="GH9" i="2"/>
  <c r="GI9" i="2"/>
  <c r="GJ9" i="2" s="1"/>
  <c r="GH10" i="2"/>
  <c r="GI10" i="2"/>
  <c r="GJ10" i="2" s="1"/>
  <c r="GH11" i="2"/>
  <c r="GI11" i="2"/>
  <c r="GJ11" i="2" s="1"/>
  <c r="GH12" i="2"/>
  <c r="GI12" i="2"/>
  <c r="GJ12" i="2" s="1"/>
  <c r="GH13" i="2"/>
  <c r="GI13" i="2"/>
  <c r="GJ13" i="2" s="1"/>
  <c r="GH14" i="2"/>
  <c r="GI14" i="2"/>
  <c r="GJ14" i="2" s="1"/>
  <c r="GH15" i="2"/>
  <c r="GI15" i="2"/>
  <c r="GJ15" i="2" s="1"/>
  <c r="GH16" i="2"/>
  <c r="GI16" i="2"/>
  <c r="GJ16" i="2" s="1"/>
  <c r="GH17" i="2"/>
  <c r="GI17" i="2"/>
  <c r="GJ17" i="2" s="1"/>
  <c r="GH18" i="2"/>
  <c r="GI18" i="2"/>
  <c r="GJ18" i="2" s="1"/>
  <c r="GH19" i="2"/>
  <c r="GI19" i="2"/>
  <c r="GJ19" i="2" s="1"/>
  <c r="GH20" i="2"/>
  <c r="GI20" i="2"/>
  <c r="GJ20" i="2" s="1"/>
  <c r="GH21" i="2"/>
  <c r="GI21" i="2"/>
  <c r="GJ21" i="2" s="1"/>
  <c r="GH22" i="2"/>
  <c r="GI22" i="2"/>
  <c r="GJ22" i="2" s="1"/>
  <c r="GH23" i="2"/>
  <c r="GI23" i="2"/>
  <c r="GJ23" i="2" s="1"/>
  <c r="GH24" i="2"/>
  <c r="GI24" i="2"/>
  <c r="GJ24" i="2" s="1"/>
  <c r="GH25" i="2"/>
  <c r="GI25" i="2"/>
  <c r="GJ25" i="2" s="1"/>
  <c r="GH26" i="2"/>
  <c r="GI26" i="2"/>
  <c r="GJ26" i="2" s="1"/>
  <c r="GH27" i="2"/>
  <c r="GI27" i="2"/>
  <c r="GJ27" i="2" s="1"/>
  <c r="GH28" i="2"/>
  <c r="GI28" i="2"/>
  <c r="GJ28" i="2" s="1"/>
  <c r="GH29" i="2"/>
  <c r="GI29" i="2"/>
  <c r="GJ29" i="2" s="1"/>
  <c r="GH30" i="2"/>
  <c r="GI30" i="2"/>
  <c r="GJ30" i="2" s="1"/>
  <c r="GH31" i="2"/>
  <c r="GI31" i="2"/>
  <c r="GJ31" i="2" s="1"/>
  <c r="GH32" i="2"/>
  <c r="GI32" i="2"/>
  <c r="GJ32" i="2" s="1"/>
  <c r="GE8" i="2"/>
  <c r="GF8" i="2"/>
  <c r="GG8" i="2" s="1"/>
  <c r="GE9" i="2"/>
  <c r="GF9" i="2"/>
  <c r="GG9" i="2" s="1"/>
  <c r="GE10" i="2"/>
  <c r="GF10" i="2"/>
  <c r="GG10" i="2" s="1"/>
  <c r="GE11" i="2"/>
  <c r="GF11" i="2"/>
  <c r="GG11" i="2" s="1"/>
  <c r="GE12" i="2"/>
  <c r="GF12" i="2"/>
  <c r="GG12" i="2" s="1"/>
  <c r="GE13" i="2"/>
  <c r="GF13" i="2"/>
  <c r="GG13" i="2" s="1"/>
  <c r="GE14" i="2"/>
  <c r="GF14" i="2"/>
  <c r="GG14" i="2" s="1"/>
  <c r="GE15" i="2"/>
  <c r="GF15" i="2"/>
  <c r="GG15" i="2" s="1"/>
  <c r="GE16" i="2"/>
  <c r="GF16" i="2"/>
  <c r="GG16" i="2" s="1"/>
  <c r="GE17" i="2"/>
  <c r="GF17" i="2"/>
  <c r="GG17" i="2" s="1"/>
  <c r="GE18" i="2"/>
  <c r="GF18" i="2"/>
  <c r="GG18" i="2" s="1"/>
  <c r="GE19" i="2"/>
  <c r="GF19" i="2"/>
  <c r="GG19" i="2" s="1"/>
  <c r="GE20" i="2"/>
  <c r="GF20" i="2"/>
  <c r="GG20" i="2" s="1"/>
  <c r="GE21" i="2"/>
  <c r="GF21" i="2"/>
  <c r="GG21" i="2" s="1"/>
  <c r="GE22" i="2"/>
  <c r="GF22" i="2"/>
  <c r="GG22" i="2" s="1"/>
  <c r="GE23" i="2"/>
  <c r="GF23" i="2"/>
  <c r="GG23" i="2" s="1"/>
  <c r="GE24" i="2"/>
  <c r="GF24" i="2"/>
  <c r="GG24" i="2" s="1"/>
  <c r="GE25" i="2"/>
  <c r="GF25" i="2"/>
  <c r="GG25" i="2" s="1"/>
  <c r="GE26" i="2"/>
  <c r="GF26" i="2"/>
  <c r="GG26" i="2" s="1"/>
  <c r="GE27" i="2"/>
  <c r="GF27" i="2"/>
  <c r="GG27" i="2" s="1"/>
  <c r="GE28" i="2"/>
  <c r="GF28" i="2"/>
  <c r="GG28" i="2" s="1"/>
  <c r="GE29" i="2"/>
  <c r="GF29" i="2"/>
  <c r="GG29" i="2" s="1"/>
  <c r="GE30" i="2"/>
  <c r="GF30" i="2"/>
  <c r="GG30" i="2" s="1"/>
  <c r="GE31" i="2"/>
  <c r="GF31" i="2"/>
  <c r="GG31" i="2" s="1"/>
  <c r="GE32" i="2"/>
  <c r="GF32" i="2"/>
  <c r="GG32" i="2" s="1"/>
  <c r="GB8" i="2"/>
  <c r="GC8" i="2"/>
  <c r="GD8" i="2" s="1"/>
  <c r="GB9" i="2"/>
  <c r="GC9" i="2"/>
  <c r="GD9" i="2" s="1"/>
  <c r="GB10" i="2"/>
  <c r="GC10" i="2"/>
  <c r="GD10" i="2" s="1"/>
  <c r="GB11" i="2"/>
  <c r="GC11" i="2"/>
  <c r="GD11" i="2" s="1"/>
  <c r="GB12" i="2"/>
  <c r="GC12" i="2"/>
  <c r="GD12" i="2" s="1"/>
  <c r="GB13" i="2"/>
  <c r="GC13" i="2"/>
  <c r="GD13" i="2" s="1"/>
  <c r="GB14" i="2"/>
  <c r="GC14" i="2"/>
  <c r="GD14" i="2" s="1"/>
  <c r="GB15" i="2"/>
  <c r="GC15" i="2"/>
  <c r="GD15" i="2" s="1"/>
  <c r="GB16" i="2"/>
  <c r="GC16" i="2"/>
  <c r="GD16" i="2" s="1"/>
  <c r="GB17" i="2"/>
  <c r="GC17" i="2"/>
  <c r="GD17" i="2" s="1"/>
  <c r="GB18" i="2"/>
  <c r="GC18" i="2"/>
  <c r="GD18" i="2" s="1"/>
  <c r="GB19" i="2"/>
  <c r="GC19" i="2"/>
  <c r="GD19" i="2" s="1"/>
  <c r="GB20" i="2"/>
  <c r="GC20" i="2"/>
  <c r="GD20" i="2" s="1"/>
  <c r="GB21" i="2"/>
  <c r="GC21" i="2"/>
  <c r="GD21" i="2" s="1"/>
  <c r="GB22" i="2"/>
  <c r="GC22" i="2"/>
  <c r="GD22" i="2" s="1"/>
  <c r="GB23" i="2"/>
  <c r="GC23" i="2"/>
  <c r="GD23" i="2" s="1"/>
  <c r="GB24" i="2"/>
  <c r="GC24" i="2"/>
  <c r="GD24" i="2" s="1"/>
  <c r="GB25" i="2"/>
  <c r="GC25" i="2"/>
  <c r="GD25" i="2" s="1"/>
  <c r="GB26" i="2"/>
  <c r="GC26" i="2"/>
  <c r="GD26" i="2" s="1"/>
  <c r="GB27" i="2"/>
  <c r="GC27" i="2"/>
  <c r="GD27" i="2" s="1"/>
  <c r="GB28" i="2"/>
  <c r="GC28" i="2"/>
  <c r="GD28" i="2" s="1"/>
  <c r="GB29" i="2"/>
  <c r="GC29" i="2"/>
  <c r="GD29" i="2" s="1"/>
  <c r="GB30" i="2"/>
  <c r="GC30" i="2"/>
  <c r="GD30" i="2" s="1"/>
  <c r="GB31" i="2"/>
  <c r="GC31" i="2"/>
  <c r="GD31" i="2" s="1"/>
  <c r="GB32" i="2"/>
  <c r="GC32" i="2"/>
  <c r="GD32" i="2" s="1"/>
  <c r="FX8" i="2"/>
  <c r="FY8" i="2"/>
  <c r="FZ8" i="2" s="1"/>
  <c r="FX9" i="2"/>
  <c r="FY9" i="2"/>
  <c r="FZ9" i="2" s="1"/>
  <c r="FX10" i="2"/>
  <c r="FY10" i="2"/>
  <c r="FZ10" i="2" s="1"/>
  <c r="FX11" i="2"/>
  <c r="FY11" i="2"/>
  <c r="FZ11" i="2" s="1"/>
  <c r="FX12" i="2"/>
  <c r="FY12" i="2"/>
  <c r="FZ12" i="2" s="1"/>
  <c r="FX13" i="2"/>
  <c r="FY13" i="2"/>
  <c r="FZ13" i="2" s="1"/>
  <c r="FX14" i="2"/>
  <c r="FY14" i="2"/>
  <c r="FZ14" i="2" s="1"/>
  <c r="FX15" i="2"/>
  <c r="FY15" i="2"/>
  <c r="FZ15" i="2" s="1"/>
  <c r="FX16" i="2"/>
  <c r="FY16" i="2"/>
  <c r="FZ16" i="2" s="1"/>
  <c r="FX17" i="2"/>
  <c r="FY17" i="2"/>
  <c r="FZ17" i="2" s="1"/>
  <c r="FX18" i="2"/>
  <c r="FY18" i="2"/>
  <c r="FZ18" i="2" s="1"/>
  <c r="FX19" i="2"/>
  <c r="FY19" i="2"/>
  <c r="FZ19" i="2" s="1"/>
  <c r="FX20" i="2"/>
  <c r="FY20" i="2"/>
  <c r="FZ20" i="2" s="1"/>
  <c r="FX21" i="2"/>
  <c r="FY21" i="2"/>
  <c r="FZ21" i="2" s="1"/>
  <c r="FX22" i="2"/>
  <c r="FY22" i="2"/>
  <c r="FZ22" i="2" s="1"/>
  <c r="FX23" i="2"/>
  <c r="FY23" i="2"/>
  <c r="FZ23" i="2" s="1"/>
  <c r="FX24" i="2"/>
  <c r="FY24" i="2"/>
  <c r="FZ24" i="2" s="1"/>
  <c r="FX25" i="2"/>
  <c r="FY25" i="2"/>
  <c r="FZ25" i="2" s="1"/>
  <c r="FX26" i="2"/>
  <c r="FY26" i="2"/>
  <c r="FZ26" i="2" s="1"/>
  <c r="FX27" i="2"/>
  <c r="FY27" i="2"/>
  <c r="FZ27" i="2" s="1"/>
  <c r="FX28" i="2"/>
  <c r="FY28" i="2"/>
  <c r="FZ28" i="2" s="1"/>
  <c r="FX29" i="2"/>
  <c r="FY29" i="2"/>
  <c r="FZ29" i="2" s="1"/>
  <c r="FX30" i="2"/>
  <c r="FY30" i="2"/>
  <c r="FZ30" i="2" s="1"/>
  <c r="FX31" i="2"/>
  <c r="FY31" i="2"/>
  <c r="FZ31" i="2" s="1"/>
  <c r="FX32" i="2"/>
  <c r="GA32" i="2" s="1"/>
  <c r="FY32" i="2"/>
  <c r="FZ32" i="2" s="1"/>
  <c r="FU8" i="2"/>
  <c r="FV8" i="2" s="1"/>
  <c r="FU9" i="2"/>
  <c r="FV9" i="2" s="1"/>
  <c r="FU10" i="2"/>
  <c r="FV10" i="2" s="1"/>
  <c r="FU11" i="2"/>
  <c r="FV11" i="2" s="1"/>
  <c r="FU12" i="2"/>
  <c r="FV12" i="2" s="1"/>
  <c r="FU13" i="2"/>
  <c r="FV13" i="2" s="1"/>
  <c r="FU14" i="2"/>
  <c r="FV14" i="2" s="1"/>
  <c r="FU15" i="2"/>
  <c r="FV15" i="2" s="1"/>
  <c r="FU16" i="2"/>
  <c r="FV16" i="2" s="1"/>
  <c r="FU17" i="2"/>
  <c r="FV17" i="2" s="1"/>
  <c r="FU18" i="2"/>
  <c r="FV18" i="2" s="1"/>
  <c r="FU19" i="2"/>
  <c r="FV19" i="2" s="1"/>
  <c r="FU20" i="2"/>
  <c r="FV20" i="2" s="1"/>
  <c r="FU21" i="2"/>
  <c r="FV21" i="2" s="1"/>
  <c r="FU22" i="2"/>
  <c r="FV22" i="2" s="1"/>
  <c r="FU23" i="2"/>
  <c r="FV23" i="2" s="1"/>
  <c r="FU24" i="2"/>
  <c r="FV24" i="2" s="1"/>
  <c r="FU25" i="2"/>
  <c r="FV25" i="2" s="1"/>
  <c r="FU26" i="2"/>
  <c r="FV26" i="2" s="1"/>
  <c r="FU27" i="2"/>
  <c r="FV27" i="2" s="1"/>
  <c r="FU28" i="2"/>
  <c r="FV28" i="2" s="1"/>
  <c r="FU29" i="2"/>
  <c r="FV29" i="2" s="1"/>
  <c r="FU30" i="2"/>
  <c r="FV30" i="2" s="1"/>
  <c r="FU31" i="2"/>
  <c r="FV31" i="2" s="1"/>
  <c r="FU32" i="2"/>
  <c r="FV32" i="2" s="1"/>
  <c r="FS8" i="2"/>
  <c r="FT8" i="2" s="1"/>
  <c r="FS9" i="2"/>
  <c r="FT9" i="2" s="1"/>
  <c r="FS10" i="2"/>
  <c r="FT10" i="2" s="1"/>
  <c r="FS11" i="2"/>
  <c r="FT11" i="2" s="1"/>
  <c r="FS12" i="2"/>
  <c r="FT12" i="2" s="1"/>
  <c r="FS13" i="2"/>
  <c r="FT13" i="2" s="1"/>
  <c r="FS14" i="2"/>
  <c r="FT14" i="2" s="1"/>
  <c r="FS15" i="2"/>
  <c r="FT15" i="2" s="1"/>
  <c r="FS16" i="2"/>
  <c r="FT16" i="2" s="1"/>
  <c r="FS17" i="2"/>
  <c r="FT17" i="2" s="1"/>
  <c r="FS18" i="2"/>
  <c r="FT18" i="2" s="1"/>
  <c r="FS19" i="2"/>
  <c r="FT19" i="2" s="1"/>
  <c r="FS20" i="2"/>
  <c r="FT20" i="2" s="1"/>
  <c r="FS21" i="2"/>
  <c r="FT21" i="2" s="1"/>
  <c r="FS22" i="2"/>
  <c r="FT22" i="2" s="1"/>
  <c r="FS23" i="2"/>
  <c r="FT23" i="2" s="1"/>
  <c r="FS24" i="2"/>
  <c r="FT24" i="2" s="1"/>
  <c r="FS25" i="2"/>
  <c r="FT25" i="2" s="1"/>
  <c r="FS26" i="2"/>
  <c r="FT26" i="2" s="1"/>
  <c r="FS27" i="2"/>
  <c r="FT27" i="2" s="1"/>
  <c r="FS28" i="2"/>
  <c r="FT28" i="2" s="1"/>
  <c r="FS29" i="2"/>
  <c r="FT29" i="2" s="1"/>
  <c r="FS30" i="2"/>
  <c r="FT30" i="2" s="1"/>
  <c r="FS31" i="2"/>
  <c r="FT31" i="2" s="1"/>
  <c r="FS32" i="2"/>
  <c r="FT32" i="2" s="1"/>
  <c r="FW32" i="2" s="1"/>
  <c r="FO7" i="2"/>
  <c r="FO8" i="2"/>
  <c r="FO9" i="2"/>
  <c r="FO10" i="2"/>
  <c r="FO11" i="2"/>
  <c r="FO12" i="2"/>
  <c r="FO13" i="2"/>
  <c r="FO14" i="2"/>
  <c r="FO15" i="2"/>
  <c r="FO16" i="2"/>
  <c r="FO17" i="2"/>
  <c r="FO18" i="2"/>
  <c r="FO19" i="2"/>
  <c r="FO20" i="2"/>
  <c r="FO21" i="2"/>
  <c r="FO22" i="2"/>
  <c r="FO23" i="2"/>
  <c r="FO24" i="2"/>
  <c r="FO25" i="2"/>
  <c r="FO26" i="2"/>
  <c r="FO27" i="2"/>
  <c r="FO28" i="2"/>
  <c r="FO29" i="2"/>
  <c r="FO30" i="2"/>
  <c r="FO31" i="2"/>
  <c r="FO6" i="2"/>
  <c r="FL8" i="2"/>
  <c r="FM8" i="2"/>
  <c r="FN8" i="2" s="1"/>
  <c r="FL9" i="2"/>
  <c r="FM9" i="2"/>
  <c r="FN9" i="2" s="1"/>
  <c r="FL10" i="2"/>
  <c r="FM10" i="2"/>
  <c r="FL11" i="2"/>
  <c r="FM11" i="2"/>
  <c r="FN11" i="2" s="1"/>
  <c r="FL12" i="2"/>
  <c r="FM12" i="2"/>
  <c r="FN12" i="2" s="1"/>
  <c r="FL13" i="2"/>
  <c r="FM13" i="2"/>
  <c r="FN13" i="2" s="1"/>
  <c r="FL14" i="2"/>
  <c r="FM14" i="2"/>
  <c r="FN14" i="2" s="1"/>
  <c r="FL15" i="2"/>
  <c r="FM15" i="2"/>
  <c r="FN15" i="2" s="1"/>
  <c r="FL16" i="2"/>
  <c r="FM16" i="2"/>
  <c r="FN16" i="2" s="1"/>
  <c r="FL17" i="2"/>
  <c r="FM17" i="2"/>
  <c r="FN17" i="2" s="1"/>
  <c r="FL18" i="2"/>
  <c r="FM18" i="2"/>
  <c r="FN18" i="2" s="1"/>
  <c r="FL19" i="2"/>
  <c r="FM19" i="2"/>
  <c r="FN19" i="2" s="1"/>
  <c r="FL20" i="2"/>
  <c r="FM20" i="2"/>
  <c r="FN20" i="2" s="1"/>
  <c r="FL21" i="2"/>
  <c r="FM21" i="2"/>
  <c r="FN21" i="2" s="1"/>
  <c r="FL22" i="2"/>
  <c r="FM22" i="2"/>
  <c r="FN22" i="2" s="1"/>
  <c r="FL23" i="2"/>
  <c r="FP23" i="2" s="1"/>
  <c r="FM23" i="2"/>
  <c r="FN23" i="2" s="1"/>
  <c r="FL24" i="2"/>
  <c r="FM24" i="2"/>
  <c r="FN24" i="2" s="1"/>
  <c r="FL25" i="2"/>
  <c r="FM25" i="2"/>
  <c r="FN25" i="2" s="1"/>
  <c r="FL26" i="2"/>
  <c r="FM26" i="2"/>
  <c r="FN26" i="2" s="1"/>
  <c r="FL27" i="2"/>
  <c r="FM27" i="2"/>
  <c r="FN27" i="2" s="1"/>
  <c r="FL28" i="2"/>
  <c r="FM28" i="2"/>
  <c r="FN28" i="2" s="1"/>
  <c r="FL29" i="2"/>
  <c r="FM29" i="2"/>
  <c r="FN29" i="2" s="1"/>
  <c r="FL30" i="2"/>
  <c r="FM30" i="2"/>
  <c r="FN30" i="2" s="1"/>
  <c r="FL31" i="2"/>
  <c r="FM31" i="2"/>
  <c r="FN31" i="2" s="1"/>
  <c r="FL32" i="2"/>
  <c r="FM32" i="2"/>
  <c r="FN32" i="2" s="1"/>
  <c r="FH7" i="2"/>
  <c r="FH8" i="2"/>
  <c r="FH9" i="2"/>
  <c r="FH10" i="2"/>
  <c r="FH11" i="2"/>
  <c r="FH12" i="2"/>
  <c r="FH13" i="2"/>
  <c r="FH14" i="2"/>
  <c r="FH15" i="2"/>
  <c r="FH16" i="2"/>
  <c r="FH17" i="2"/>
  <c r="FH18" i="2"/>
  <c r="FH19" i="2"/>
  <c r="FH20" i="2"/>
  <c r="FH21" i="2"/>
  <c r="FH22" i="2"/>
  <c r="FH23" i="2"/>
  <c r="FH24" i="2"/>
  <c r="FH25" i="2"/>
  <c r="FH26" i="2"/>
  <c r="FH27" i="2"/>
  <c r="FH28" i="2"/>
  <c r="FH29" i="2"/>
  <c r="FH30" i="2"/>
  <c r="FH31" i="2"/>
  <c r="FE8" i="2"/>
  <c r="FF8" i="2"/>
  <c r="FG8" i="2" s="1"/>
  <c r="FE9" i="2"/>
  <c r="FF9" i="2"/>
  <c r="FG9" i="2" s="1"/>
  <c r="FE10" i="2"/>
  <c r="FF10" i="2"/>
  <c r="FG10" i="2" s="1"/>
  <c r="FE11" i="2"/>
  <c r="FF11" i="2"/>
  <c r="FG11" i="2" s="1"/>
  <c r="FE12" i="2"/>
  <c r="FF12" i="2"/>
  <c r="FG12" i="2" s="1"/>
  <c r="FE13" i="2"/>
  <c r="FF13" i="2"/>
  <c r="FG13" i="2" s="1"/>
  <c r="FE14" i="2"/>
  <c r="FF14" i="2"/>
  <c r="FG14" i="2" s="1"/>
  <c r="FE15" i="2"/>
  <c r="FF15" i="2"/>
  <c r="FG15" i="2" s="1"/>
  <c r="FE16" i="2"/>
  <c r="FF16" i="2"/>
  <c r="FG16" i="2" s="1"/>
  <c r="FE17" i="2"/>
  <c r="FF17" i="2"/>
  <c r="FG17" i="2" s="1"/>
  <c r="FE18" i="2"/>
  <c r="FF18" i="2"/>
  <c r="FG18" i="2" s="1"/>
  <c r="FE19" i="2"/>
  <c r="FF19" i="2"/>
  <c r="FG19" i="2" s="1"/>
  <c r="FE20" i="2"/>
  <c r="FF20" i="2"/>
  <c r="FG20" i="2" s="1"/>
  <c r="FE21" i="2"/>
  <c r="FI21" i="2" s="1"/>
  <c r="FF21" i="2"/>
  <c r="FG21" i="2" s="1"/>
  <c r="FE22" i="2"/>
  <c r="FF22" i="2"/>
  <c r="FG22" i="2" s="1"/>
  <c r="FE23" i="2"/>
  <c r="FF23" i="2"/>
  <c r="FG23" i="2" s="1"/>
  <c r="FE24" i="2"/>
  <c r="FF24" i="2"/>
  <c r="FG24" i="2" s="1"/>
  <c r="FE25" i="2"/>
  <c r="FF25" i="2"/>
  <c r="FG25" i="2" s="1"/>
  <c r="FE26" i="2"/>
  <c r="FF26" i="2"/>
  <c r="FG26" i="2" s="1"/>
  <c r="FE27" i="2"/>
  <c r="FF27" i="2"/>
  <c r="FE28" i="2"/>
  <c r="FJ28" i="2" s="1"/>
  <c r="FF28" i="2"/>
  <c r="FG28" i="2" s="1"/>
  <c r="FE29" i="2"/>
  <c r="FF29" i="2"/>
  <c r="FG29" i="2" s="1"/>
  <c r="FE30" i="2"/>
  <c r="FF30" i="2"/>
  <c r="FG30" i="2" s="1"/>
  <c r="FE31" i="2"/>
  <c r="FF31" i="2"/>
  <c r="FG31" i="2" s="1"/>
  <c r="FE32" i="2"/>
  <c r="FF32" i="2"/>
  <c r="FG32" i="2" s="1"/>
  <c r="FA7" i="2"/>
  <c r="FA8" i="2"/>
  <c r="FA9" i="2"/>
  <c r="FA10" i="2"/>
  <c r="FA11" i="2"/>
  <c r="FA12" i="2"/>
  <c r="FA13" i="2"/>
  <c r="FA14" i="2"/>
  <c r="FA15" i="2"/>
  <c r="FA16" i="2"/>
  <c r="FA17" i="2"/>
  <c r="FA18" i="2"/>
  <c r="FA19" i="2"/>
  <c r="FA20" i="2"/>
  <c r="FA21" i="2"/>
  <c r="FA22" i="2"/>
  <c r="FA23" i="2"/>
  <c r="FA24" i="2"/>
  <c r="FA25" i="2"/>
  <c r="FA26" i="2"/>
  <c r="FA27" i="2"/>
  <c r="FA28" i="2"/>
  <c r="FA29" i="2"/>
  <c r="FA30" i="2"/>
  <c r="FA31" i="2"/>
  <c r="EX8" i="2"/>
  <c r="EY8" i="2"/>
  <c r="EZ8" i="2" s="1"/>
  <c r="EX9" i="2"/>
  <c r="EY9" i="2"/>
  <c r="EZ9" i="2" s="1"/>
  <c r="EX10" i="2"/>
  <c r="EY10" i="2"/>
  <c r="EZ10" i="2" s="1"/>
  <c r="EX11" i="2"/>
  <c r="EY11" i="2"/>
  <c r="EZ11" i="2" s="1"/>
  <c r="EX12" i="2"/>
  <c r="EY12" i="2"/>
  <c r="EZ12" i="2" s="1"/>
  <c r="EX13" i="2"/>
  <c r="EY13" i="2"/>
  <c r="EZ13" i="2" s="1"/>
  <c r="EX14" i="2"/>
  <c r="EY14" i="2"/>
  <c r="EZ14" i="2" s="1"/>
  <c r="EX15" i="2"/>
  <c r="EY15" i="2"/>
  <c r="EZ15" i="2" s="1"/>
  <c r="EX16" i="2"/>
  <c r="EY16" i="2"/>
  <c r="EZ16" i="2" s="1"/>
  <c r="EX17" i="2"/>
  <c r="EY17" i="2"/>
  <c r="EZ17" i="2" s="1"/>
  <c r="EX18" i="2"/>
  <c r="FB18" i="2" s="1"/>
  <c r="EY18" i="2"/>
  <c r="EZ18" i="2" s="1"/>
  <c r="EX19" i="2"/>
  <c r="EY19" i="2"/>
  <c r="EZ19" i="2" s="1"/>
  <c r="EX20" i="2"/>
  <c r="EY20" i="2"/>
  <c r="EZ20" i="2" s="1"/>
  <c r="EX21" i="2"/>
  <c r="EY21" i="2"/>
  <c r="EZ21" i="2" s="1"/>
  <c r="EX22" i="2"/>
  <c r="EY22" i="2"/>
  <c r="EZ22" i="2" s="1"/>
  <c r="EX23" i="2"/>
  <c r="EY23" i="2"/>
  <c r="EZ23" i="2" s="1"/>
  <c r="EX24" i="2"/>
  <c r="EY24" i="2"/>
  <c r="EZ24" i="2" s="1"/>
  <c r="EX25" i="2"/>
  <c r="EY25" i="2"/>
  <c r="EZ25" i="2" s="1"/>
  <c r="EX26" i="2"/>
  <c r="FB26" i="2" s="1"/>
  <c r="EY26" i="2"/>
  <c r="EZ26" i="2" s="1"/>
  <c r="EX27" i="2"/>
  <c r="EY27" i="2"/>
  <c r="EZ27" i="2" s="1"/>
  <c r="EX28" i="2"/>
  <c r="EY28" i="2"/>
  <c r="EZ28" i="2" s="1"/>
  <c r="EX29" i="2"/>
  <c r="EY29" i="2"/>
  <c r="EX30" i="2"/>
  <c r="EY30" i="2"/>
  <c r="EZ30" i="2" s="1"/>
  <c r="EX31" i="2"/>
  <c r="EY31" i="2"/>
  <c r="EZ31" i="2" s="1"/>
  <c r="EX32" i="2"/>
  <c r="EY32" i="2"/>
  <c r="EZ32" i="2" s="1"/>
  <c r="ET7" i="2"/>
  <c r="ET8" i="2"/>
  <c r="ET9" i="2"/>
  <c r="ET10" i="2"/>
  <c r="ET11" i="2"/>
  <c r="ET12" i="2"/>
  <c r="ET13" i="2"/>
  <c r="ET14" i="2"/>
  <c r="ET15" i="2"/>
  <c r="ET16" i="2"/>
  <c r="ET17" i="2"/>
  <c r="ET18" i="2"/>
  <c r="ET19" i="2"/>
  <c r="ET20" i="2"/>
  <c r="ET21" i="2"/>
  <c r="ET22" i="2"/>
  <c r="ET23" i="2"/>
  <c r="ET24" i="2"/>
  <c r="ET25" i="2"/>
  <c r="ET26" i="2"/>
  <c r="ET27" i="2"/>
  <c r="ET28" i="2"/>
  <c r="ET29" i="2"/>
  <c r="ET30" i="2"/>
  <c r="ET31" i="2"/>
  <c r="ET6" i="2"/>
  <c r="EQ8" i="2"/>
  <c r="ER8" i="2"/>
  <c r="ES8" i="2" s="1"/>
  <c r="EQ9" i="2"/>
  <c r="ER9" i="2"/>
  <c r="ES9" i="2" s="1"/>
  <c r="EQ10" i="2"/>
  <c r="ER10" i="2"/>
  <c r="EQ11" i="2"/>
  <c r="ER11" i="2"/>
  <c r="ES11" i="2" s="1"/>
  <c r="EQ12" i="2"/>
  <c r="ER12" i="2"/>
  <c r="ES12" i="2" s="1"/>
  <c r="EQ13" i="2"/>
  <c r="ER13" i="2"/>
  <c r="ES13" i="2" s="1"/>
  <c r="EQ14" i="2"/>
  <c r="ER14" i="2"/>
  <c r="ES14" i="2" s="1"/>
  <c r="EQ15" i="2"/>
  <c r="EV15" i="2" s="1"/>
  <c r="ER15" i="2"/>
  <c r="ES15" i="2" s="1"/>
  <c r="EQ16" i="2"/>
  <c r="ER16" i="2"/>
  <c r="ES16" i="2" s="1"/>
  <c r="EQ17" i="2"/>
  <c r="ER17" i="2"/>
  <c r="ES17" i="2" s="1"/>
  <c r="EQ18" i="2"/>
  <c r="ER18" i="2"/>
  <c r="ES18" i="2" s="1"/>
  <c r="EQ19" i="2"/>
  <c r="ER19" i="2"/>
  <c r="ES19" i="2" s="1"/>
  <c r="EQ20" i="2"/>
  <c r="ER20" i="2"/>
  <c r="ES20" i="2" s="1"/>
  <c r="EQ21" i="2"/>
  <c r="ER21" i="2"/>
  <c r="ES21" i="2" s="1"/>
  <c r="EQ22" i="2"/>
  <c r="ER22" i="2"/>
  <c r="ES22" i="2" s="1"/>
  <c r="EQ23" i="2"/>
  <c r="ER23" i="2"/>
  <c r="ES23" i="2" s="1"/>
  <c r="EQ24" i="2"/>
  <c r="ER24" i="2"/>
  <c r="ES24" i="2" s="1"/>
  <c r="EQ25" i="2"/>
  <c r="ER25" i="2"/>
  <c r="ES25" i="2" s="1"/>
  <c r="EQ26" i="2"/>
  <c r="ER26" i="2"/>
  <c r="ES26" i="2" s="1"/>
  <c r="EQ27" i="2"/>
  <c r="ER27" i="2"/>
  <c r="ES27" i="2" s="1"/>
  <c r="EQ28" i="2"/>
  <c r="ER28" i="2"/>
  <c r="ES28" i="2" s="1"/>
  <c r="EQ29" i="2"/>
  <c r="ER29" i="2"/>
  <c r="ES29" i="2" s="1"/>
  <c r="EQ30" i="2"/>
  <c r="ER30" i="2"/>
  <c r="ES30" i="2" s="1"/>
  <c r="EQ31" i="2"/>
  <c r="EU31" i="2" s="1"/>
  <c r="ER31" i="2"/>
  <c r="ES31" i="2" s="1"/>
  <c r="EQ32" i="2"/>
  <c r="ER32" i="2"/>
  <c r="ES32" i="2" s="1"/>
  <c r="EM7" i="2"/>
  <c r="EM8" i="2"/>
  <c r="EM9" i="2"/>
  <c r="EM10" i="2"/>
  <c r="EM11" i="2"/>
  <c r="EM12" i="2"/>
  <c r="EM13" i="2"/>
  <c r="EM14" i="2"/>
  <c r="EM15" i="2"/>
  <c r="EM16" i="2"/>
  <c r="EM17" i="2"/>
  <c r="EM18" i="2"/>
  <c r="EM19" i="2"/>
  <c r="EM20" i="2"/>
  <c r="EM21" i="2"/>
  <c r="EM22" i="2"/>
  <c r="EM23" i="2"/>
  <c r="EM24" i="2"/>
  <c r="EM25" i="2"/>
  <c r="EM26" i="2"/>
  <c r="EM27" i="2"/>
  <c r="EM28" i="2"/>
  <c r="EM29" i="2"/>
  <c r="EM30" i="2"/>
  <c r="EM31" i="2"/>
  <c r="EJ8" i="2"/>
  <c r="EK8" i="2"/>
  <c r="EL8" i="2" s="1"/>
  <c r="EJ9" i="2"/>
  <c r="EK9" i="2"/>
  <c r="EL9" i="2" s="1"/>
  <c r="EJ10" i="2"/>
  <c r="EK10" i="2"/>
  <c r="EL10" i="2" s="1"/>
  <c r="EJ11" i="2"/>
  <c r="EK11" i="2"/>
  <c r="EJ12" i="2"/>
  <c r="EK12" i="2"/>
  <c r="EL12" i="2" s="1"/>
  <c r="EJ13" i="2"/>
  <c r="EK13" i="2"/>
  <c r="EL13" i="2" s="1"/>
  <c r="EJ14" i="2"/>
  <c r="EK14" i="2"/>
  <c r="EL14" i="2" s="1"/>
  <c r="EJ15" i="2"/>
  <c r="EK15" i="2"/>
  <c r="EL15" i="2" s="1"/>
  <c r="EJ16" i="2"/>
  <c r="EN16" i="2" s="1"/>
  <c r="EK16" i="2"/>
  <c r="EL16" i="2" s="1"/>
  <c r="EJ17" i="2"/>
  <c r="EK17" i="2"/>
  <c r="EL17" i="2" s="1"/>
  <c r="EJ18" i="2"/>
  <c r="EK18" i="2"/>
  <c r="EL18" i="2" s="1"/>
  <c r="EJ19" i="2"/>
  <c r="EK19" i="2"/>
  <c r="EJ20" i="2"/>
  <c r="EK20" i="2"/>
  <c r="EL20" i="2" s="1"/>
  <c r="EJ21" i="2"/>
  <c r="EK21" i="2"/>
  <c r="EL21" i="2" s="1"/>
  <c r="EJ22" i="2"/>
  <c r="EK22" i="2"/>
  <c r="EL22" i="2" s="1"/>
  <c r="EJ23" i="2"/>
  <c r="EK23" i="2"/>
  <c r="EL23" i="2" s="1"/>
  <c r="EJ24" i="2"/>
  <c r="EK24" i="2"/>
  <c r="EL24" i="2" s="1"/>
  <c r="EJ25" i="2"/>
  <c r="EK25" i="2"/>
  <c r="EL25" i="2" s="1"/>
  <c r="EJ26" i="2"/>
  <c r="EK26" i="2"/>
  <c r="EL26" i="2" s="1"/>
  <c r="EJ27" i="2"/>
  <c r="EK27" i="2"/>
  <c r="EL27" i="2" s="1"/>
  <c r="EJ28" i="2"/>
  <c r="EK28" i="2"/>
  <c r="EL28" i="2" s="1"/>
  <c r="EJ29" i="2"/>
  <c r="EK29" i="2"/>
  <c r="EL29" i="2" s="1"/>
  <c r="EJ30" i="2"/>
  <c r="EK30" i="2"/>
  <c r="EL30" i="2" s="1"/>
  <c r="EJ31" i="2"/>
  <c r="EK31" i="2"/>
  <c r="EL31" i="2" s="1"/>
  <c r="EJ32" i="2"/>
  <c r="EK32" i="2"/>
  <c r="EL32" i="2" s="1"/>
  <c r="EF7" i="2"/>
  <c r="EF8" i="2"/>
  <c r="EF9" i="2"/>
  <c r="EF10" i="2"/>
  <c r="EF11" i="2"/>
  <c r="EF12" i="2"/>
  <c r="EF13" i="2"/>
  <c r="EF14" i="2"/>
  <c r="EF15" i="2"/>
  <c r="EF16" i="2"/>
  <c r="EF17" i="2"/>
  <c r="EF18" i="2"/>
  <c r="EF19" i="2"/>
  <c r="EF20" i="2"/>
  <c r="EF21" i="2"/>
  <c r="EF22" i="2"/>
  <c r="EF23" i="2"/>
  <c r="EF24" i="2"/>
  <c r="EF25" i="2"/>
  <c r="EF26" i="2"/>
  <c r="EF27" i="2"/>
  <c r="EF28" i="2"/>
  <c r="EF29" i="2"/>
  <c r="EF30" i="2"/>
  <c r="EF31" i="2"/>
  <c r="EC8" i="2"/>
  <c r="ED8" i="2"/>
  <c r="EE8" i="2" s="1"/>
  <c r="EC9" i="2"/>
  <c r="ED9" i="2"/>
  <c r="EE9" i="2" s="1"/>
  <c r="EC10" i="2"/>
  <c r="ED10" i="2"/>
  <c r="EE10" i="2" s="1"/>
  <c r="EC11" i="2"/>
  <c r="ED11" i="2"/>
  <c r="EE11" i="2" s="1"/>
  <c r="EC12" i="2"/>
  <c r="ED12" i="2"/>
  <c r="EE12" i="2" s="1"/>
  <c r="EC13" i="2"/>
  <c r="ED13" i="2"/>
  <c r="EE13" i="2" s="1"/>
  <c r="EC14" i="2"/>
  <c r="ED14" i="2"/>
  <c r="EE14" i="2" s="1"/>
  <c r="EC15" i="2"/>
  <c r="ED15" i="2"/>
  <c r="EE15" i="2" s="1"/>
  <c r="EC16" i="2"/>
  <c r="EG16" i="2" s="1"/>
  <c r="ED16" i="2"/>
  <c r="EE16" i="2" s="1"/>
  <c r="EC17" i="2"/>
  <c r="ED17" i="2"/>
  <c r="EE17" i="2" s="1"/>
  <c r="EC18" i="2"/>
  <c r="ED18" i="2"/>
  <c r="EE18" i="2" s="1"/>
  <c r="EC19" i="2"/>
  <c r="ED19" i="2"/>
  <c r="EE19" i="2" s="1"/>
  <c r="EC20" i="2"/>
  <c r="ED20" i="2"/>
  <c r="EE20" i="2" s="1"/>
  <c r="EC21" i="2"/>
  <c r="ED21" i="2"/>
  <c r="EE21" i="2" s="1"/>
  <c r="EC22" i="2"/>
  <c r="ED22" i="2"/>
  <c r="EE22" i="2" s="1"/>
  <c r="EC23" i="2"/>
  <c r="ED23" i="2"/>
  <c r="EE23" i="2" s="1"/>
  <c r="EC24" i="2"/>
  <c r="EG24" i="2" s="1"/>
  <c r="ED24" i="2"/>
  <c r="EE24" i="2" s="1"/>
  <c r="EC25" i="2"/>
  <c r="ED25" i="2"/>
  <c r="EE25" i="2" s="1"/>
  <c r="EC26" i="2"/>
  <c r="ED26" i="2"/>
  <c r="EE26" i="2" s="1"/>
  <c r="EC27" i="2"/>
  <c r="ED27" i="2"/>
  <c r="EE27" i="2" s="1"/>
  <c r="EC28" i="2"/>
  <c r="ED28" i="2"/>
  <c r="EE28" i="2" s="1"/>
  <c r="EC29" i="2"/>
  <c r="ED29" i="2"/>
  <c r="EE29" i="2" s="1"/>
  <c r="EC30" i="2"/>
  <c r="ED30" i="2"/>
  <c r="EC31" i="2"/>
  <c r="ED31" i="2"/>
  <c r="EE31" i="2" s="1"/>
  <c r="EC32" i="2"/>
  <c r="ED32" i="2"/>
  <c r="EE32" i="2" s="1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V8" i="2"/>
  <c r="DW8" i="2"/>
  <c r="DX8" i="2" s="1"/>
  <c r="DV9" i="2"/>
  <c r="DW9" i="2"/>
  <c r="DX9" i="2" s="1"/>
  <c r="DV10" i="2"/>
  <c r="DW10" i="2"/>
  <c r="DX10" i="2" s="1"/>
  <c r="DV11" i="2"/>
  <c r="DW11" i="2"/>
  <c r="DX11" i="2" s="1"/>
  <c r="DV12" i="2"/>
  <c r="DW12" i="2"/>
  <c r="DX12" i="2" s="1"/>
  <c r="DV13" i="2"/>
  <c r="DW13" i="2"/>
  <c r="DX13" i="2" s="1"/>
  <c r="DV14" i="2"/>
  <c r="DW14" i="2"/>
  <c r="DX14" i="2" s="1"/>
  <c r="DV15" i="2"/>
  <c r="EA15" i="2" s="1"/>
  <c r="DW15" i="2"/>
  <c r="DX15" i="2" s="1"/>
  <c r="DV16" i="2"/>
  <c r="DW16" i="2"/>
  <c r="DX16" i="2" s="1"/>
  <c r="DV17" i="2"/>
  <c r="DW17" i="2"/>
  <c r="DX17" i="2" s="1"/>
  <c r="DV18" i="2"/>
  <c r="DW18" i="2"/>
  <c r="DX18" i="2" s="1"/>
  <c r="DV19" i="2"/>
  <c r="DW19" i="2"/>
  <c r="DX19" i="2" s="1"/>
  <c r="DV20" i="2"/>
  <c r="DW20" i="2"/>
  <c r="DX20" i="2" s="1"/>
  <c r="DV21" i="2"/>
  <c r="DW21" i="2"/>
  <c r="DX21" i="2" s="1"/>
  <c r="DV22" i="2"/>
  <c r="DW22" i="2"/>
  <c r="DX22" i="2" s="1"/>
  <c r="DV23" i="2"/>
  <c r="DZ23" i="2" s="1"/>
  <c r="DW23" i="2"/>
  <c r="DX23" i="2" s="1"/>
  <c r="DV24" i="2"/>
  <c r="DW24" i="2"/>
  <c r="DX24" i="2" s="1"/>
  <c r="DV25" i="2"/>
  <c r="DW25" i="2"/>
  <c r="DX25" i="2" s="1"/>
  <c r="DV26" i="2"/>
  <c r="DW26" i="2"/>
  <c r="DX26" i="2" s="1"/>
  <c r="DV27" i="2"/>
  <c r="DW27" i="2"/>
  <c r="DX27" i="2" s="1"/>
  <c r="DV28" i="2"/>
  <c r="DW28" i="2"/>
  <c r="DX28" i="2" s="1"/>
  <c r="DV29" i="2"/>
  <c r="DW29" i="2"/>
  <c r="DX29" i="2" s="1"/>
  <c r="DV30" i="2"/>
  <c r="DW30" i="2"/>
  <c r="DX30" i="2" s="1"/>
  <c r="DV31" i="2"/>
  <c r="DZ31" i="2" s="1"/>
  <c r="DW31" i="2"/>
  <c r="DX31" i="2" s="1"/>
  <c r="DV32" i="2"/>
  <c r="DW32" i="2"/>
  <c r="DX32" i="2" s="1"/>
  <c r="DK7" i="2"/>
  <c r="DK8" i="2"/>
  <c r="DM8" i="2" s="1"/>
  <c r="DK9" i="2"/>
  <c r="DL9" i="2" s="1"/>
  <c r="DK10" i="2"/>
  <c r="DK11" i="2"/>
  <c r="DL11" i="2" s="1"/>
  <c r="DK12" i="2"/>
  <c r="DK13" i="2"/>
  <c r="DL13" i="2" s="1"/>
  <c r="DK14" i="2"/>
  <c r="DK15" i="2"/>
  <c r="DL15" i="2" s="1"/>
  <c r="DK16" i="2"/>
  <c r="DK17" i="2"/>
  <c r="DK18" i="2"/>
  <c r="DM18" i="2" s="1"/>
  <c r="DK19" i="2"/>
  <c r="DL19" i="2" s="1"/>
  <c r="DK20" i="2"/>
  <c r="DK21" i="2"/>
  <c r="DK22" i="2"/>
  <c r="DK23" i="2"/>
  <c r="DK24" i="2"/>
  <c r="DK25" i="2"/>
  <c r="DK26" i="2"/>
  <c r="DJ27" i="2"/>
  <c r="DK27" i="2"/>
  <c r="DK28" i="2"/>
  <c r="DK29" i="2"/>
  <c r="DL29" i="2" s="1"/>
  <c r="DK30" i="2"/>
  <c r="DM30" i="2" s="1"/>
  <c r="DK31" i="2"/>
  <c r="DJ8" i="2"/>
  <c r="DJ9" i="2"/>
  <c r="DJ10" i="2"/>
  <c r="DJ11" i="2"/>
  <c r="DJ12" i="2"/>
  <c r="DJ13" i="2"/>
  <c r="DJ14" i="2"/>
  <c r="DJ15" i="2"/>
  <c r="DJ16" i="2"/>
  <c r="DJ17" i="2"/>
  <c r="DJ18" i="2"/>
  <c r="DJ19" i="2"/>
  <c r="DJ20" i="2"/>
  <c r="DJ21" i="2"/>
  <c r="DJ22" i="2"/>
  <c r="DJ23" i="2"/>
  <c r="DJ24" i="2"/>
  <c r="DJ25" i="2"/>
  <c r="DJ26" i="2"/>
  <c r="DJ28" i="2"/>
  <c r="DJ29" i="2"/>
  <c r="DJ30" i="2"/>
  <c r="DJ31" i="2"/>
  <c r="DJ32" i="2"/>
  <c r="DD7" i="2"/>
  <c r="DD8" i="2"/>
  <c r="DD9" i="2"/>
  <c r="DD10" i="2"/>
  <c r="DD11" i="2"/>
  <c r="DD12" i="2"/>
  <c r="DD13" i="2"/>
  <c r="DD14" i="2"/>
  <c r="DD15" i="2"/>
  <c r="DD16" i="2"/>
  <c r="DD17" i="2"/>
  <c r="DD18" i="2"/>
  <c r="DD19" i="2"/>
  <c r="DD20" i="2"/>
  <c r="DD21" i="2"/>
  <c r="DD22" i="2"/>
  <c r="DD23" i="2"/>
  <c r="DD24" i="2"/>
  <c r="DD25" i="2"/>
  <c r="DD26" i="2"/>
  <c r="DD27" i="2"/>
  <c r="DD28" i="2"/>
  <c r="DD29" i="2"/>
  <c r="DD30" i="2"/>
  <c r="DD31" i="2"/>
  <c r="DA8" i="2"/>
  <c r="DB8" i="2"/>
  <c r="DC8" i="2" s="1"/>
  <c r="DA9" i="2"/>
  <c r="DB9" i="2"/>
  <c r="DC9" i="2" s="1"/>
  <c r="DA10" i="2"/>
  <c r="DB10" i="2"/>
  <c r="DC10" i="2" s="1"/>
  <c r="DA11" i="2"/>
  <c r="DB11" i="2"/>
  <c r="DC11" i="2" s="1"/>
  <c r="DA12" i="2"/>
  <c r="DB12" i="2"/>
  <c r="DC12" i="2" s="1"/>
  <c r="DA13" i="2"/>
  <c r="DB13" i="2"/>
  <c r="DC13" i="2" s="1"/>
  <c r="DA14" i="2"/>
  <c r="DB14" i="2"/>
  <c r="DC14" i="2" s="1"/>
  <c r="DA15" i="2"/>
  <c r="DB15" i="2"/>
  <c r="DC15" i="2" s="1"/>
  <c r="DA16" i="2"/>
  <c r="DB16" i="2"/>
  <c r="DC16" i="2" s="1"/>
  <c r="DA17" i="2"/>
  <c r="DB17" i="2"/>
  <c r="DC17" i="2" s="1"/>
  <c r="DA18" i="2"/>
  <c r="DB18" i="2"/>
  <c r="DC18" i="2" s="1"/>
  <c r="DA19" i="2"/>
  <c r="DB19" i="2"/>
  <c r="DC19" i="2" s="1"/>
  <c r="DA20" i="2"/>
  <c r="DB20" i="2"/>
  <c r="DC20" i="2" s="1"/>
  <c r="DA21" i="2"/>
  <c r="DB21" i="2"/>
  <c r="DC21" i="2" s="1"/>
  <c r="DA22" i="2"/>
  <c r="DB22" i="2"/>
  <c r="DC22" i="2" s="1"/>
  <c r="DA23" i="2"/>
  <c r="DB23" i="2"/>
  <c r="DC23" i="2" s="1"/>
  <c r="DA24" i="2"/>
  <c r="DF24" i="2" s="1"/>
  <c r="DB24" i="2"/>
  <c r="DC24" i="2" s="1"/>
  <c r="DA25" i="2"/>
  <c r="DB25" i="2"/>
  <c r="DC25" i="2" s="1"/>
  <c r="DA26" i="2"/>
  <c r="DB26" i="2"/>
  <c r="DC26" i="2" s="1"/>
  <c r="DA27" i="2"/>
  <c r="DB27" i="2"/>
  <c r="DC27" i="2" s="1"/>
  <c r="DA28" i="2"/>
  <c r="DE28" i="2" s="1"/>
  <c r="DB28" i="2"/>
  <c r="DC28" i="2" s="1"/>
  <c r="DA29" i="2"/>
  <c r="DB29" i="2"/>
  <c r="DC29" i="2" s="1"/>
  <c r="DA30" i="2"/>
  <c r="DB30" i="2"/>
  <c r="DC30" i="2" s="1"/>
  <c r="DA31" i="2"/>
  <c r="DB31" i="2"/>
  <c r="DC31" i="2" s="1"/>
  <c r="DA32" i="2"/>
  <c r="DB32" i="2"/>
  <c r="DC32" i="2" s="1"/>
  <c r="CY10" i="2"/>
  <c r="CX11" i="2"/>
  <c r="CX13" i="2"/>
  <c r="CX15" i="2"/>
  <c r="CY17" i="2"/>
  <c r="CY19" i="2"/>
  <c r="CY21" i="2"/>
  <c r="CX23" i="2"/>
  <c r="CY24" i="2"/>
  <c r="CY25" i="2"/>
  <c r="CY26" i="2"/>
  <c r="CX27" i="2"/>
  <c r="CY29" i="2"/>
  <c r="CX31" i="2"/>
  <c r="CI7" i="2"/>
  <c r="CI8" i="2"/>
  <c r="CI9" i="2"/>
  <c r="CI10" i="2"/>
  <c r="CI11" i="2"/>
  <c r="CI12" i="2"/>
  <c r="CI13" i="2"/>
  <c r="CI14" i="2"/>
  <c r="CI15" i="2"/>
  <c r="CI16" i="2"/>
  <c r="CI17" i="2"/>
  <c r="CI18" i="2"/>
  <c r="CI19" i="2"/>
  <c r="CI20" i="2"/>
  <c r="CI21" i="2"/>
  <c r="CI22" i="2"/>
  <c r="CI23" i="2"/>
  <c r="CI24" i="2"/>
  <c r="CI25" i="2"/>
  <c r="CI26" i="2"/>
  <c r="CI27" i="2"/>
  <c r="CI28" i="2"/>
  <c r="CI29" i="2"/>
  <c r="CI30" i="2"/>
  <c r="CI31" i="2"/>
  <c r="CF8" i="2"/>
  <c r="CG8" i="2"/>
  <c r="CH8" i="2" s="1"/>
  <c r="CF9" i="2"/>
  <c r="CG9" i="2"/>
  <c r="CH9" i="2" s="1"/>
  <c r="CF10" i="2"/>
  <c r="CG10" i="2"/>
  <c r="CH10" i="2" s="1"/>
  <c r="CF11" i="2"/>
  <c r="CG11" i="2"/>
  <c r="CH11" i="2" s="1"/>
  <c r="CF12" i="2"/>
  <c r="CJ12" i="2" s="1"/>
  <c r="CG12" i="2"/>
  <c r="CH12" i="2" s="1"/>
  <c r="CF13" i="2"/>
  <c r="CG13" i="2"/>
  <c r="CH13" i="2" s="1"/>
  <c r="CF14" i="2"/>
  <c r="CG14" i="2"/>
  <c r="CH14" i="2" s="1"/>
  <c r="CF15" i="2"/>
  <c r="CG15" i="2"/>
  <c r="CH15" i="2" s="1"/>
  <c r="CF16" i="2"/>
  <c r="CJ16" i="2" s="1"/>
  <c r="CG16" i="2"/>
  <c r="CH16" i="2" s="1"/>
  <c r="CF17" i="2"/>
  <c r="CG17" i="2"/>
  <c r="CH17" i="2" s="1"/>
  <c r="CF18" i="2"/>
  <c r="CG18" i="2"/>
  <c r="CH18" i="2" s="1"/>
  <c r="CF19" i="2"/>
  <c r="CG19" i="2"/>
  <c r="CH19" i="2" s="1"/>
  <c r="CF20" i="2"/>
  <c r="CG20" i="2"/>
  <c r="CH20" i="2" s="1"/>
  <c r="CF21" i="2"/>
  <c r="CG21" i="2"/>
  <c r="CH21" i="2" s="1"/>
  <c r="CF22" i="2"/>
  <c r="CG22" i="2"/>
  <c r="CF23" i="2"/>
  <c r="CG23" i="2"/>
  <c r="CH23" i="2" s="1"/>
  <c r="CF24" i="2"/>
  <c r="CG24" i="2"/>
  <c r="CH24" i="2" s="1"/>
  <c r="CF25" i="2"/>
  <c r="CG25" i="2"/>
  <c r="CH25" i="2" s="1"/>
  <c r="CF26" i="2"/>
  <c r="CG26" i="2"/>
  <c r="CF27" i="2"/>
  <c r="CG27" i="2"/>
  <c r="CH27" i="2" s="1"/>
  <c r="CF28" i="2"/>
  <c r="CJ28" i="2" s="1"/>
  <c r="CG28" i="2"/>
  <c r="CH28" i="2" s="1"/>
  <c r="CF29" i="2"/>
  <c r="CG29" i="2"/>
  <c r="CH29" i="2" s="1"/>
  <c r="CF30" i="2"/>
  <c r="CG30" i="2"/>
  <c r="CF31" i="2"/>
  <c r="CG31" i="2"/>
  <c r="CH31" i="2" s="1"/>
  <c r="CF32" i="2"/>
  <c r="CG32" i="2"/>
  <c r="CH32" i="2" s="1"/>
  <c r="CB7" i="2"/>
  <c r="CB8" i="2"/>
  <c r="CB9" i="2"/>
  <c r="CB10" i="2"/>
  <c r="CB11" i="2"/>
  <c r="CB12" i="2"/>
  <c r="CB13" i="2"/>
  <c r="CB14" i="2"/>
  <c r="CB15" i="2"/>
  <c r="CB16" i="2"/>
  <c r="CB17" i="2"/>
  <c r="CB18" i="2"/>
  <c r="CB19" i="2"/>
  <c r="CB20" i="2"/>
  <c r="CB21" i="2"/>
  <c r="CB22" i="2"/>
  <c r="CB23" i="2"/>
  <c r="CB24" i="2"/>
  <c r="CB25" i="2"/>
  <c r="CB26" i="2"/>
  <c r="CB27" i="2"/>
  <c r="CB28" i="2"/>
  <c r="CB29" i="2"/>
  <c r="CB30" i="2"/>
  <c r="CB31" i="2"/>
  <c r="CK31" i="2" s="1"/>
  <c r="CB6" i="2"/>
  <c r="BY8" i="2"/>
  <c r="BZ8" i="2"/>
  <c r="CA8" i="2" s="1"/>
  <c r="BY9" i="2"/>
  <c r="BZ9" i="2"/>
  <c r="CA9" i="2" s="1"/>
  <c r="BY10" i="2"/>
  <c r="BZ10" i="2"/>
  <c r="CA10" i="2" s="1"/>
  <c r="BY11" i="2"/>
  <c r="BZ11" i="2"/>
  <c r="CA11" i="2" s="1"/>
  <c r="BY12" i="2"/>
  <c r="BZ12" i="2"/>
  <c r="CA12" i="2" s="1"/>
  <c r="BY13" i="2"/>
  <c r="BZ13" i="2"/>
  <c r="CA13" i="2" s="1"/>
  <c r="BY14" i="2"/>
  <c r="BZ14" i="2"/>
  <c r="BY15" i="2"/>
  <c r="BZ15" i="2"/>
  <c r="CA15" i="2" s="1"/>
  <c r="BY16" i="2"/>
  <c r="BZ16" i="2"/>
  <c r="CA16" i="2" s="1"/>
  <c r="BY17" i="2"/>
  <c r="BZ17" i="2"/>
  <c r="CA17" i="2" s="1"/>
  <c r="BY18" i="2"/>
  <c r="BZ18" i="2"/>
  <c r="CA18" i="2" s="1"/>
  <c r="BY19" i="2"/>
  <c r="BZ19" i="2"/>
  <c r="CA19" i="2" s="1"/>
  <c r="BY20" i="2"/>
  <c r="BZ20" i="2"/>
  <c r="CA20" i="2" s="1"/>
  <c r="BY21" i="2"/>
  <c r="BZ21" i="2"/>
  <c r="CA21" i="2" s="1"/>
  <c r="BY22" i="2"/>
  <c r="BZ22" i="2"/>
  <c r="CA22" i="2" s="1"/>
  <c r="BY23" i="2"/>
  <c r="CC23" i="2" s="1"/>
  <c r="BZ23" i="2"/>
  <c r="CA23" i="2" s="1"/>
  <c r="BY24" i="2"/>
  <c r="BZ24" i="2"/>
  <c r="CA24" i="2" s="1"/>
  <c r="BY25" i="2"/>
  <c r="BZ25" i="2"/>
  <c r="CA25" i="2" s="1"/>
  <c r="BY26" i="2"/>
  <c r="BZ26" i="2"/>
  <c r="CA26" i="2" s="1"/>
  <c r="BY27" i="2"/>
  <c r="BZ27" i="2"/>
  <c r="CA27" i="2" s="1"/>
  <c r="BY28" i="2"/>
  <c r="BZ28" i="2"/>
  <c r="CA28" i="2" s="1"/>
  <c r="BY29" i="2"/>
  <c r="BZ29" i="2"/>
  <c r="CA29" i="2" s="1"/>
  <c r="BY30" i="2"/>
  <c r="BZ30" i="2"/>
  <c r="CA30" i="2" s="1"/>
  <c r="BY31" i="2"/>
  <c r="CC31" i="2" s="1"/>
  <c r="BZ31" i="2"/>
  <c r="CA31" i="2" s="1"/>
  <c r="BY32" i="2"/>
  <c r="BZ32" i="2"/>
  <c r="CA32" i="2" s="1"/>
  <c r="BU11" i="2"/>
  <c r="BU12" i="2"/>
  <c r="BU13" i="2"/>
  <c r="BU14" i="2"/>
  <c r="BU15" i="2"/>
  <c r="BU16" i="2"/>
  <c r="BU17" i="2"/>
  <c r="BU18" i="2"/>
  <c r="BU19" i="2"/>
  <c r="BU20" i="2"/>
  <c r="BU21" i="2"/>
  <c r="BU22" i="2"/>
  <c r="BU23" i="2"/>
  <c r="BU24" i="2"/>
  <c r="BU25" i="2"/>
  <c r="BU26" i="2"/>
  <c r="BU27" i="2"/>
  <c r="BU28" i="2"/>
  <c r="BU29" i="2"/>
  <c r="BU30" i="2"/>
  <c r="BU31" i="2"/>
  <c r="BR8" i="2"/>
  <c r="BS8" i="2"/>
  <c r="BT8" i="2" s="1"/>
  <c r="BR9" i="2"/>
  <c r="BS9" i="2"/>
  <c r="BT9" i="2" s="1"/>
  <c r="BR10" i="2"/>
  <c r="BS10" i="2"/>
  <c r="BT10" i="2" s="1"/>
  <c r="BR11" i="2"/>
  <c r="BS11" i="2"/>
  <c r="BT11" i="2" s="1"/>
  <c r="BR12" i="2"/>
  <c r="BS12" i="2"/>
  <c r="BT12" i="2" s="1"/>
  <c r="BR13" i="2"/>
  <c r="BS13" i="2"/>
  <c r="BT13" i="2" s="1"/>
  <c r="BR14" i="2"/>
  <c r="BS14" i="2"/>
  <c r="BT14" i="2" s="1"/>
  <c r="BR15" i="2"/>
  <c r="BS15" i="2"/>
  <c r="BT15" i="2" s="1"/>
  <c r="BR16" i="2"/>
  <c r="BV16" i="2" s="1"/>
  <c r="BS16" i="2"/>
  <c r="BT16" i="2" s="1"/>
  <c r="BR17" i="2"/>
  <c r="BS17" i="2"/>
  <c r="BT17" i="2" s="1"/>
  <c r="BR18" i="2"/>
  <c r="BS18" i="2"/>
  <c r="BT18" i="2" s="1"/>
  <c r="BR19" i="2"/>
  <c r="BS19" i="2"/>
  <c r="BT19" i="2" s="1"/>
  <c r="BR20" i="2"/>
  <c r="BS20" i="2"/>
  <c r="BT20" i="2" s="1"/>
  <c r="BR21" i="2"/>
  <c r="BS21" i="2"/>
  <c r="BT21" i="2" s="1"/>
  <c r="BR22" i="2"/>
  <c r="BS22" i="2"/>
  <c r="BT22" i="2" s="1"/>
  <c r="BR23" i="2"/>
  <c r="BS23" i="2"/>
  <c r="BT23" i="2" s="1"/>
  <c r="BR24" i="2"/>
  <c r="BV24" i="2" s="1"/>
  <c r="BS24" i="2"/>
  <c r="BT24" i="2" s="1"/>
  <c r="BR25" i="2"/>
  <c r="BS25" i="2"/>
  <c r="BT25" i="2" s="1"/>
  <c r="BR26" i="2"/>
  <c r="BS26" i="2"/>
  <c r="BT26" i="2" s="1"/>
  <c r="BR27" i="2"/>
  <c r="BS27" i="2"/>
  <c r="BT27" i="2" s="1"/>
  <c r="BR28" i="2"/>
  <c r="BS28" i="2"/>
  <c r="BT28" i="2" s="1"/>
  <c r="BR29" i="2"/>
  <c r="BS29" i="2"/>
  <c r="BT29" i="2" s="1"/>
  <c r="BR30" i="2"/>
  <c r="BS30" i="2"/>
  <c r="BT30" i="2" s="1"/>
  <c r="BR31" i="2"/>
  <c r="BS31" i="2"/>
  <c r="BT31" i="2" s="1"/>
  <c r="BR32" i="2"/>
  <c r="BS32" i="2"/>
  <c r="BT32" i="2" s="1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6" i="2"/>
  <c r="FB22" i="2" l="1"/>
  <c r="BV28" i="2"/>
  <c r="BV20" i="2"/>
  <c r="BV12" i="2"/>
  <c r="EV27" i="2"/>
  <c r="EV19" i="2"/>
  <c r="FB30" i="2"/>
  <c r="CD27" i="2"/>
  <c r="EA27" i="2"/>
  <c r="EB27" i="2" s="1"/>
  <c r="EA19" i="2"/>
  <c r="CC17" i="2"/>
  <c r="EA11" i="2"/>
  <c r="EB11" i="2" s="1"/>
  <c r="FI16" i="2"/>
  <c r="FI17" i="2"/>
  <c r="CJ8" i="2"/>
  <c r="FI12" i="2"/>
  <c r="FB14" i="2"/>
  <c r="FC10" i="2"/>
  <c r="FD10" i="2" s="1"/>
  <c r="EH14" i="2"/>
  <c r="EI14" i="2" s="1"/>
  <c r="CC12" i="2"/>
  <c r="EH22" i="2"/>
  <c r="EI22" i="2" s="1"/>
  <c r="EV26" i="2"/>
  <c r="EV22" i="2"/>
  <c r="EW22" i="2" s="1"/>
  <c r="DE29" i="2"/>
  <c r="DE21" i="2"/>
  <c r="DE19" i="2"/>
  <c r="DE15" i="2"/>
  <c r="JV26" i="2"/>
  <c r="JS28" i="2"/>
  <c r="BV11" i="2"/>
  <c r="DE13" i="2"/>
  <c r="EN13" i="2"/>
  <c r="FI13" i="2"/>
  <c r="BW14" i="2"/>
  <c r="JS32" i="2"/>
  <c r="JQ14" i="2"/>
  <c r="EN12" i="2"/>
  <c r="FC9" i="2"/>
  <c r="FD9" i="2" s="1"/>
  <c r="CY13" i="2"/>
  <c r="CZ13" i="2" s="1"/>
  <c r="EN9" i="2"/>
  <c r="EO9" i="2"/>
  <c r="EP9" i="2" s="1"/>
  <c r="BW9" i="2"/>
  <c r="BX9" i="2" s="1"/>
  <c r="BV9" i="2"/>
  <c r="BV8" i="2"/>
  <c r="BW8" i="2"/>
  <c r="BX8" i="2" s="1"/>
  <c r="DF31" i="2"/>
  <c r="BW30" i="2"/>
  <c r="BX30" i="2" s="1"/>
  <c r="BW26" i="2"/>
  <c r="BX26" i="2" s="1"/>
  <c r="BW22" i="2"/>
  <c r="BX22" i="2" s="1"/>
  <c r="BW18" i="2"/>
  <c r="BX18" i="2" s="1"/>
  <c r="CC24" i="2"/>
  <c r="CC16" i="2"/>
  <c r="CX29" i="2"/>
  <c r="DE20" i="2"/>
  <c r="DF16" i="2"/>
  <c r="DG16" i="2" s="1"/>
  <c r="CD22" i="2"/>
  <c r="CE22" i="2" s="1"/>
  <c r="CD18" i="2"/>
  <c r="CE18" i="2" s="1"/>
  <c r="CX25" i="2"/>
  <c r="FJ27" i="2"/>
  <c r="FK27" i="2" s="1"/>
  <c r="FI19" i="2"/>
  <c r="EN27" i="2"/>
  <c r="EN19" i="2"/>
  <c r="EO11" i="2"/>
  <c r="EP11" i="2" s="1"/>
  <c r="FB11" i="2"/>
  <c r="CJ31" i="2"/>
  <c r="CJ19" i="2"/>
  <c r="CJ15" i="2"/>
  <c r="CJ11" i="2"/>
  <c r="CX19" i="2"/>
  <c r="DZ29" i="2"/>
  <c r="DZ25" i="2"/>
  <c r="DZ21" i="2"/>
  <c r="DZ17" i="2"/>
  <c r="DZ13" i="2"/>
  <c r="EH15" i="2"/>
  <c r="EI15" i="2" s="1"/>
  <c r="FQ30" i="2"/>
  <c r="FR30" i="2" s="1"/>
  <c r="FP20" i="2"/>
  <c r="JU18" i="2"/>
  <c r="JR21" i="2"/>
  <c r="JV20" i="2"/>
  <c r="JT20" i="2"/>
  <c r="JV24" i="2"/>
  <c r="JP24" i="2"/>
  <c r="JV31" i="2"/>
  <c r="FK28" i="2"/>
  <c r="JV27" i="2"/>
  <c r="JQ20" i="2"/>
  <c r="BW19" i="2"/>
  <c r="BX19" i="2" s="1"/>
  <c r="CK28" i="2"/>
  <c r="CL28" i="2" s="1"/>
  <c r="CK24" i="2"/>
  <c r="CL24" i="2" s="1"/>
  <c r="DE26" i="2"/>
  <c r="CD31" i="2"/>
  <c r="CE31" i="2" s="1"/>
  <c r="EO15" i="2"/>
  <c r="EP15" i="2" s="1"/>
  <c r="BV10" i="2"/>
  <c r="BW10" i="2"/>
  <c r="BX10" i="2" s="1"/>
  <c r="CC27" i="2"/>
  <c r="CD23" i="2"/>
  <c r="CE23" i="2" s="1"/>
  <c r="CJ18" i="2"/>
  <c r="EN29" i="2"/>
  <c r="EN21" i="2"/>
  <c r="CD15" i="2"/>
  <c r="CE15" i="2" s="1"/>
  <c r="CJ24" i="2"/>
  <c r="CJ10" i="2"/>
  <c r="EN28" i="2"/>
  <c r="EN24" i="2"/>
  <c r="BW11" i="2"/>
  <c r="BX11" i="2" s="1"/>
  <c r="CD10" i="2"/>
  <c r="CE10" i="2" s="1"/>
  <c r="CK19" i="2"/>
  <c r="CL19" i="2" s="1"/>
  <c r="CK12" i="2"/>
  <c r="CL12" i="2" s="1"/>
  <c r="EO23" i="2"/>
  <c r="EP23" i="2" s="1"/>
  <c r="EG13" i="2"/>
  <c r="EU29" i="2"/>
  <c r="CJ13" i="2"/>
  <c r="DE30" i="2"/>
  <c r="DF20" i="2"/>
  <c r="DG20" i="2" s="1"/>
  <c r="DF19" i="2"/>
  <c r="DG19" i="2" s="1"/>
  <c r="DE16" i="2"/>
  <c r="DE14" i="2"/>
  <c r="DL18" i="2"/>
  <c r="DM14" i="2"/>
  <c r="DN14" i="2" s="1"/>
  <c r="EG19" i="2"/>
  <c r="EV31" i="2"/>
  <c r="EW31" i="2" s="1"/>
  <c r="FI30" i="2"/>
  <c r="HL32" i="2"/>
  <c r="JU32" i="2"/>
  <c r="HF32" i="2"/>
  <c r="JR32" i="2"/>
  <c r="JQ31" i="2"/>
  <c r="JT30" i="2"/>
  <c r="JQ30" i="2"/>
  <c r="JT29" i="2"/>
  <c r="JR29" i="2"/>
  <c r="JV28" i="2"/>
  <c r="JU25" i="2"/>
  <c r="JT19" i="2"/>
  <c r="JR19" i="2"/>
  <c r="DE31" i="2"/>
  <c r="DF21" i="2"/>
  <c r="DG21" i="2" s="1"/>
  <c r="DE22" i="2"/>
  <c r="DF13" i="2"/>
  <c r="DG13" i="2" s="1"/>
  <c r="DF11" i="2"/>
  <c r="DG11" i="2" s="1"/>
  <c r="BW27" i="2"/>
  <c r="BX27" i="2" s="1"/>
  <c r="CC13" i="2"/>
  <c r="CJ26" i="2"/>
  <c r="CJ22" i="2"/>
  <c r="CY11" i="2"/>
  <c r="CZ11" i="2" s="1"/>
  <c r="CY8" i="2"/>
  <c r="CZ8" i="2" s="1"/>
  <c r="DE24" i="2"/>
  <c r="DF17" i="2"/>
  <c r="DG17" i="2" s="1"/>
  <c r="DE10" i="2"/>
  <c r="DM20" i="2"/>
  <c r="DN20" i="2" s="1"/>
  <c r="DM16" i="2"/>
  <c r="DN16" i="2" s="1"/>
  <c r="DM12" i="2"/>
  <c r="DN12" i="2" s="1"/>
  <c r="EO20" i="2"/>
  <c r="EP20" i="2" s="1"/>
  <c r="EN11" i="2"/>
  <c r="FJ29" i="2"/>
  <c r="FK29" i="2" s="1"/>
  <c r="JV32" i="2"/>
  <c r="HI32" i="2"/>
  <c r="JT32" i="2"/>
  <c r="GZ32" i="2"/>
  <c r="JQ32" i="2"/>
  <c r="JS27" i="2"/>
  <c r="JU11" i="2"/>
  <c r="JR11" i="2"/>
  <c r="EN10" i="2"/>
  <c r="EO8" i="2"/>
  <c r="EP8" i="2" s="1"/>
  <c r="JP10" i="2"/>
  <c r="JT9" i="2"/>
  <c r="JU10" i="2"/>
  <c r="JV9" i="2"/>
  <c r="JQ9" i="2"/>
  <c r="JT8" i="2"/>
  <c r="JQ8" i="2"/>
  <c r="JT7" i="2"/>
  <c r="EU15" i="2"/>
  <c r="FQ10" i="2"/>
  <c r="FR10" i="2" s="1"/>
  <c r="FJ23" i="2"/>
  <c r="FK23" i="2" s="1"/>
  <c r="EU17" i="2"/>
  <c r="EU23" i="2"/>
  <c r="EU19" i="2"/>
  <c r="EU13" i="2"/>
  <c r="FJ21" i="2"/>
  <c r="FK21" i="2" s="1"/>
  <c r="FI9" i="2"/>
  <c r="FC11" i="2"/>
  <c r="FD11" i="2" s="1"/>
  <c r="EV11" i="2"/>
  <c r="EW11" i="2" s="1"/>
  <c r="FB9" i="2"/>
  <c r="FJ8" i="2"/>
  <c r="FK8" i="2" s="1"/>
  <c r="EH8" i="2"/>
  <c r="EI8" i="2" s="1"/>
  <c r="DZ8" i="2"/>
  <c r="DM9" i="2"/>
  <c r="DN9" i="2" s="1"/>
  <c r="DL10" i="2"/>
  <c r="CY9" i="2"/>
  <c r="CZ9" i="2" s="1"/>
  <c r="CJ9" i="2"/>
  <c r="CD8" i="2"/>
  <c r="CE8" i="2" s="1"/>
  <c r="CX9" i="2"/>
  <c r="EV10" i="2"/>
  <c r="EW10" i="2" s="1"/>
  <c r="EU8" i="2"/>
  <c r="FI8" i="2"/>
  <c r="CK10" i="2"/>
  <c r="CL10" i="2" s="1"/>
  <c r="DZ9" i="2"/>
  <c r="EA8" i="2"/>
  <c r="EB8" i="2" s="1"/>
  <c r="CK14" i="2"/>
  <c r="CL14" i="2" s="1"/>
  <c r="DL25" i="2"/>
  <c r="DL17" i="2"/>
  <c r="EG12" i="2"/>
  <c r="FP28" i="2"/>
  <c r="FQ22" i="2"/>
  <c r="FR22" i="2" s="1"/>
  <c r="CC20" i="2"/>
  <c r="CD14" i="2"/>
  <c r="CE14" i="2" s="1"/>
  <c r="CK27" i="2"/>
  <c r="CL27" i="2" s="1"/>
  <c r="CK23" i="2"/>
  <c r="CL23" i="2" s="1"/>
  <c r="EA28" i="2"/>
  <c r="EB28" i="2" s="1"/>
  <c r="EN15" i="2"/>
  <c r="EU28" i="2"/>
  <c r="EU24" i="2"/>
  <c r="EU12" i="2"/>
  <c r="FB15" i="2"/>
  <c r="FI29" i="2"/>
  <c r="FI25" i="2"/>
  <c r="FI23" i="2"/>
  <c r="FI15" i="2"/>
  <c r="FI11" i="2"/>
  <c r="CY30" i="2"/>
  <c r="CZ30" i="2" s="1"/>
  <c r="CY22" i="2"/>
  <c r="CZ22" i="2" s="1"/>
  <c r="CY18" i="2"/>
  <c r="CZ18" i="2" s="1"/>
  <c r="CY14" i="2"/>
  <c r="CZ14" i="2" s="1"/>
  <c r="DF15" i="2"/>
  <c r="DG15" i="2" s="1"/>
  <c r="DE17" i="2"/>
  <c r="DL30" i="2"/>
  <c r="DL14" i="2"/>
  <c r="EH27" i="2"/>
  <c r="EI27" i="2" s="1"/>
  <c r="EG23" i="2"/>
  <c r="FQ31" i="2"/>
  <c r="FR31" i="2" s="1"/>
  <c r="FP27" i="2"/>
  <c r="FQ15" i="2"/>
  <c r="FR15" i="2" s="1"/>
  <c r="FP11" i="2"/>
  <c r="EW15" i="2"/>
  <c r="JP29" i="2"/>
  <c r="JP22" i="2"/>
  <c r="JT31" i="2"/>
  <c r="JS26" i="2"/>
  <c r="JQ22" i="2"/>
  <c r="JR12" i="2"/>
  <c r="JV11" i="2"/>
  <c r="JS11" i="2"/>
  <c r="BX14" i="2"/>
  <c r="JP16" i="2"/>
  <c r="JP13" i="2"/>
  <c r="JP19" i="2"/>
  <c r="JR26" i="2"/>
  <c r="JU24" i="2"/>
  <c r="JQ23" i="2"/>
  <c r="JT22" i="2"/>
  <c r="JQ18" i="2"/>
  <c r="JR17" i="2"/>
  <c r="JS16" i="2"/>
  <c r="JV15" i="2"/>
  <c r="JS15" i="2"/>
  <c r="JV14" i="2"/>
  <c r="JU13" i="2"/>
  <c r="JR13" i="2"/>
  <c r="JU12" i="2"/>
  <c r="JU28" i="2"/>
  <c r="JQ26" i="2"/>
  <c r="JR25" i="2"/>
  <c r="JS24" i="2"/>
  <c r="JT23" i="2"/>
  <c r="JR23" i="2"/>
  <c r="JU22" i="2"/>
  <c r="JR22" i="2"/>
  <c r="JQ19" i="2"/>
  <c r="JT18" i="2"/>
  <c r="JV16" i="2"/>
  <c r="JR14" i="2"/>
  <c r="BV18" i="2"/>
  <c r="CC18" i="2"/>
  <c r="CD16" i="2"/>
  <c r="CE16" i="2" s="1"/>
  <c r="DL21" i="2"/>
  <c r="DM21" i="2"/>
  <c r="DN21" i="2" s="1"/>
  <c r="FQ20" i="2"/>
  <c r="FR20" i="2" s="1"/>
  <c r="FP12" i="2"/>
  <c r="BV26" i="2"/>
  <c r="CC22" i="2"/>
  <c r="CJ21" i="2"/>
  <c r="DM27" i="2"/>
  <c r="DN27" i="2" s="1"/>
  <c r="DL23" i="2"/>
  <c r="DM11" i="2"/>
  <c r="DN11" i="2" s="1"/>
  <c r="FJ12" i="2"/>
  <c r="FK12" i="2" s="1"/>
  <c r="FP30" i="2"/>
  <c r="CC14" i="2"/>
  <c r="CX22" i="2"/>
  <c r="DM26" i="2"/>
  <c r="DN26" i="2" s="1"/>
  <c r="DL26" i="2"/>
  <c r="DL22" i="2"/>
  <c r="DM22" i="2"/>
  <c r="DN22" i="2" s="1"/>
  <c r="DM29" i="2"/>
  <c r="DN29" i="2" s="1"/>
  <c r="DM17" i="2"/>
  <c r="DN17" i="2" s="1"/>
  <c r="EG26" i="2"/>
  <c r="FC23" i="2"/>
  <c r="FD23" i="2" s="1"/>
  <c r="FC15" i="2"/>
  <c r="FD15" i="2" s="1"/>
  <c r="CC28" i="2"/>
  <c r="CJ30" i="2"/>
  <c r="CX14" i="2"/>
  <c r="DF28" i="2"/>
  <c r="DG28" i="2" s="1"/>
  <c r="DZ30" i="2"/>
  <c r="EN23" i="2"/>
  <c r="EO19" i="2"/>
  <c r="EP19" i="2" s="1"/>
  <c r="FJ24" i="2"/>
  <c r="FK24" i="2" s="1"/>
  <c r="FI22" i="2"/>
  <c r="DL31" i="2"/>
  <c r="DM13" i="2"/>
  <c r="DN13" i="2" s="1"/>
  <c r="EH31" i="2"/>
  <c r="EI31" i="2" s="1"/>
  <c r="EG17" i="2"/>
  <c r="EV28" i="2"/>
  <c r="EW28" i="2" s="1"/>
  <c r="FB17" i="2"/>
  <c r="FI14" i="2"/>
  <c r="BW28" i="2"/>
  <c r="BX28" i="2" s="1"/>
  <c r="BW20" i="2"/>
  <c r="BX20" i="2" s="1"/>
  <c r="BW12" i="2"/>
  <c r="BX12" i="2" s="1"/>
  <c r="CC29" i="2"/>
  <c r="CD24" i="2"/>
  <c r="CE24" i="2" s="1"/>
  <c r="CC21" i="2"/>
  <c r="CC19" i="2"/>
  <c r="CJ29" i="2"/>
  <c r="CJ25" i="2"/>
  <c r="CJ20" i="2"/>
  <c r="CJ17" i="2"/>
  <c r="CJ14" i="2"/>
  <c r="CX30" i="2"/>
  <c r="CY27" i="2"/>
  <c r="CZ27" i="2" s="1"/>
  <c r="CX21" i="2"/>
  <c r="CY16" i="2"/>
  <c r="CZ16" i="2" s="1"/>
  <c r="DF29" i="2"/>
  <c r="DG29" i="2" s="1"/>
  <c r="DE18" i="2"/>
  <c r="DM28" i="2"/>
  <c r="DN28" i="2" s="1"/>
  <c r="DM24" i="2"/>
  <c r="DN24" i="2" s="1"/>
  <c r="EA24" i="2"/>
  <c r="EB24" i="2" s="1"/>
  <c r="EG27" i="2"/>
  <c r="EG14" i="2"/>
  <c r="EN30" i="2"/>
  <c r="EO27" i="2"/>
  <c r="EP27" i="2" s="1"/>
  <c r="EN20" i="2"/>
  <c r="EN18" i="2"/>
  <c r="EN14" i="2"/>
  <c r="EU25" i="2"/>
  <c r="FB29" i="2"/>
  <c r="FC19" i="2"/>
  <c r="FD19" i="2" s="1"/>
  <c r="FI31" i="2"/>
  <c r="FJ20" i="2"/>
  <c r="FK20" i="2" s="1"/>
  <c r="FJ16" i="2"/>
  <c r="FK16" i="2" s="1"/>
  <c r="FJ13" i="2"/>
  <c r="FK13" i="2" s="1"/>
  <c r="FQ26" i="2"/>
  <c r="FR26" i="2" s="1"/>
  <c r="FP18" i="2"/>
  <c r="CC11" i="2"/>
  <c r="CK11" i="2"/>
  <c r="CL11" i="2" s="1"/>
  <c r="CC30" i="2"/>
  <c r="CD30" i="2"/>
  <c r="CE30" i="2" s="1"/>
  <c r="CK30" i="2"/>
  <c r="CL30" i="2" s="1"/>
  <c r="DE23" i="2"/>
  <c r="DF23" i="2"/>
  <c r="DG23" i="2" s="1"/>
  <c r="EO17" i="2"/>
  <c r="EP17" i="2" s="1"/>
  <c r="EN17" i="2"/>
  <c r="FQ16" i="2"/>
  <c r="FR16" i="2" s="1"/>
  <c r="FP16" i="2"/>
  <c r="CD26" i="2"/>
  <c r="CE26" i="2" s="1"/>
  <c r="CK26" i="2"/>
  <c r="CL26" i="2" s="1"/>
  <c r="DF12" i="2"/>
  <c r="DG12" i="2" s="1"/>
  <c r="DE12" i="2"/>
  <c r="FP14" i="2"/>
  <c r="FQ14" i="2"/>
  <c r="FR14" i="2" s="1"/>
  <c r="CK15" i="2"/>
  <c r="CL15" i="2" s="1"/>
  <c r="DF27" i="2"/>
  <c r="DG27" i="2" s="1"/>
  <c r="DE27" i="2"/>
  <c r="DE8" i="2"/>
  <c r="DF8" i="2"/>
  <c r="DG8" i="2" s="1"/>
  <c r="CD19" i="2"/>
  <c r="CE19" i="2" s="1"/>
  <c r="CC15" i="2"/>
  <c r="CD11" i="2"/>
  <c r="CE11" i="2" s="1"/>
  <c r="CD20" i="2"/>
  <c r="CE20" i="2" s="1"/>
  <c r="CK20" i="2"/>
  <c r="CL20" i="2" s="1"/>
  <c r="DF9" i="2"/>
  <c r="DG9" i="2" s="1"/>
  <c r="DE9" i="2"/>
  <c r="DM10" i="2"/>
  <c r="DN10" i="2" s="1"/>
  <c r="EO25" i="2"/>
  <c r="EP25" i="2" s="1"/>
  <c r="EN25" i="2"/>
  <c r="FJ31" i="2"/>
  <c r="FK31" i="2" s="1"/>
  <c r="BV31" i="2"/>
  <c r="BV27" i="2"/>
  <c r="BV23" i="2"/>
  <c r="BV19" i="2"/>
  <c r="BV15" i="2"/>
  <c r="CK22" i="2"/>
  <c r="CL22" i="2" s="1"/>
  <c r="CK18" i="2"/>
  <c r="CL18" i="2" s="1"/>
  <c r="CK16" i="2"/>
  <c r="CL16" i="2" s="1"/>
  <c r="CK8" i="2"/>
  <c r="CL8" i="2" s="1"/>
  <c r="DF25" i="2"/>
  <c r="DG25" i="2" s="1"/>
  <c r="DE25" i="2"/>
  <c r="DE11" i="2"/>
  <c r="DL27" i="2"/>
  <c r="EG31" i="2"/>
  <c r="EH23" i="2"/>
  <c r="EI23" i="2" s="1"/>
  <c r="EG15" i="2"/>
  <c r="EH11" i="2"/>
  <c r="EI11" i="2" s="1"/>
  <c r="EH19" i="2"/>
  <c r="EI19" i="2" s="1"/>
  <c r="EO12" i="2"/>
  <c r="EP12" i="2" s="1"/>
  <c r="EV30" i="2"/>
  <c r="EW30" i="2" s="1"/>
  <c r="EU20" i="2"/>
  <c r="EV18" i="2"/>
  <c r="EW18" i="2" s="1"/>
  <c r="EU16" i="2"/>
  <c r="EV14" i="2"/>
  <c r="EW14" i="2" s="1"/>
  <c r="FI24" i="2"/>
  <c r="CC8" i="2"/>
  <c r="CK29" i="2"/>
  <c r="CL29" i="2" s="1"/>
  <c r="CJ27" i="2"/>
  <c r="CK25" i="2"/>
  <c r="CL25" i="2" s="1"/>
  <c r="CJ23" i="2"/>
  <c r="CK21" i="2"/>
  <c r="CL21" i="2" s="1"/>
  <c r="CK17" i="2"/>
  <c r="CL17" i="2" s="1"/>
  <c r="CK13" i="2"/>
  <c r="CL13" i="2" s="1"/>
  <c r="CK9" i="2"/>
  <c r="CL9" i="2" s="1"/>
  <c r="EU27" i="2"/>
  <c r="EV23" i="2"/>
  <c r="EW23" i="2" s="1"/>
  <c r="EU11" i="2"/>
  <c r="FP24" i="2"/>
  <c r="FQ18" i="2"/>
  <c r="FR18" i="2" s="1"/>
  <c r="FP8" i="2"/>
  <c r="DZ28" i="2"/>
  <c r="DZ24" i="2"/>
  <c r="DZ20" i="2"/>
  <c r="DZ16" i="2"/>
  <c r="DZ12" i="2"/>
  <c r="EH30" i="2"/>
  <c r="EI30" i="2" s="1"/>
  <c r="EG28" i="2"/>
  <c r="EG20" i="2"/>
  <c r="EH18" i="2"/>
  <c r="EI18" i="2" s="1"/>
  <c r="EG8" i="2"/>
  <c r="EO28" i="2"/>
  <c r="EP28" i="2" s="1"/>
  <c r="EO24" i="2"/>
  <c r="EP24" i="2" s="1"/>
  <c r="EO16" i="2"/>
  <c r="EP16" i="2" s="1"/>
  <c r="EN8" i="2"/>
  <c r="FB31" i="2"/>
  <c r="FC29" i="2"/>
  <c r="FD29" i="2" s="1"/>
  <c r="FB27" i="2"/>
  <c r="FB25" i="2"/>
  <c r="FB23" i="2"/>
  <c r="FC21" i="2"/>
  <c r="FD21" i="2" s="1"/>
  <c r="FB19" i="2"/>
  <c r="FC17" i="2"/>
  <c r="FD17" i="2" s="1"/>
  <c r="FC13" i="2"/>
  <c r="FD13" i="2" s="1"/>
  <c r="FI28" i="2"/>
  <c r="FI20" i="2"/>
  <c r="JP8" i="2"/>
  <c r="JR31" i="2"/>
  <c r="JU30" i="2"/>
  <c r="JU23" i="2"/>
  <c r="JP27" i="2"/>
  <c r="JP20" i="2"/>
  <c r="JP17" i="2"/>
  <c r="JP30" i="2"/>
  <c r="JU21" i="2"/>
  <c r="JU19" i="2"/>
  <c r="JR18" i="2"/>
  <c r="JU17" i="2"/>
  <c r="JT16" i="2"/>
  <c r="JQ16" i="2"/>
  <c r="JT14" i="2"/>
  <c r="JS12" i="2"/>
  <c r="JV10" i="2"/>
  <c r="JS10" i="2"/>
  <c r="JR9" i="2"/>
  <c r="JU8" i="2"/>
  <c r="JR7" i="2"/>
  <c r="JP23" i="2"/>
  <c r="JP14" i="2"/>
  <c r="JP11" i="2"/>
  <c r="JU31" i="2"/>
  <c r="JR30" i="2"/>
  <c r="JU29" i="2"/>
  <c r="JT28" i="2"/>
  <c r="JQ28" i="2"/>
  <c r="JT26" i="2"/>
  <c r="JR24" i="2"/>
  <c r="JS23" i="2"/>
  <c r="JQ21" i="2"/>
  <c r="JS19" i="2"/>
  <c r="JQ17" i="2"/>
  <c r="JT15" i="2"/>
  <c r="JQ15" i="2"/>
  <c r="JV13" i="2"/>
  <c r="JS13" i="2"/>
  <c r="JQ12" i="2"/>
  <c r="JU9" i="2"/>
  <c r="JR8" i="2"/>
  <c r="JU7" i="2"/>
  <c r="JP26" i="2"/>
  <c r="JP21" i="2"/>
  <c r="JP7" i="2"/>
  <c r="JS31" i="2"/>
  <c r="JQ29" i="2"/>
  <c r="JT27" i="2"/>
  <c r="JQ27" i="2"/>
  <c r="JV25" i="2"/>
  <c r="JS25" i="2"/>
  <c r="JV23" i="2"/>
  <c r="JT21" i="2"/>
  <c r="JU20" i="2"/>
  <c r="JR20" i="2"/>
  <c r="JV19" i="2"/>
  <c r="JT17" i="2"/>
  <c r="JU16" i="2"/>
  <c r="JS14" i="2"/>
  <c r="JV12" i="2"/>
  <c r="JT12" i="2"/>
  <c r="JR10" i="2"/>
  <c r="JS9" i="2"/>
  <c r="JQ7" i="2"/>
  <c r="JP31" i="2"/>
  <c r="JP28" i="2"/>
  <c r="JP25" i="2"/>
  <c r="JP18" i="2"/>
  <c r="JP15" i="2"/>
  <c r="JP12" i="2"/>
  <c r="JP9" i="2"/>
  <c r="JV30" i="2"/>
  <c r="JS30" i="2"/>
  <c r="JV29" i="2"/>
  <c r="JS29" i="2"/>
  <c r="JR28" i="2"/>
  <c r="JU27" i="2"/>
  <c r="JR27" i="2"/>
  <c r="JU26" i="2"/>
  <c r="JT25" i="2"/>
  <c r="JQ25" i="2"/>
  <c r="JT24" i="2"/>
  <c r="JQ24" i="2"/>
  <c r="JV22" i="2"/>
  <c r="JS22" i="2"/>
  <c r="JV21" i="2"/>
  <c r="JS21" i="2"/>
  <c r="JS20" i="2"/>
  <c r="JV18" i="2"/>
  <c r="JS18" i="2"/>
  <c r="JV17" i="2"/>
  <c r="JS17" i="2"/>
  <c r="JR16" i="2"/>
  <c r="JU15" i="2"/>
  <c r="JR15" i="2"/>
  <c r="JU14" i="2"/>
  <c r="JT13" i="2"/>
  <c r="JQ13" i="2"/>
  <c r="JT11" i="2"/>
  <c r="JQ11" i="2"/>
  <c r="JT10" i="2"/>
  <c r="JQ10" i="2"/>
  <c r="JV8" i="2"/>
  <c r="JS8" i="2"/>
  <c r="JV7" i="2"/>
  <c r="JS7" i="2"/>
  <c r="CH26" i="2"/>
  <c r="CE27" i="2"/>
  <c r="CA14" i="2"/>
  <c r="CL31" i="2"/>
  <c r="CH22" i="2"/>
  <c r="DN8" i="2"/>
  <c r="ES10" i="2"/>
  <c r="EZ29" i="2"/>
  <c r="CH30" i="2"/>
  <c r="CZ19" i="2"/>
  <c r="CZ29" i="2"/>
  <c r="CZ21" i="2"/>
  <c r="CZ17" i="2"/>
  <c r="CZ26" i="2"/>
  <c r="CZ24" i="2"/>
  <c r="CZ10" i="2"/>
  <c r="DG31" i="2"/>
  <c r="DG24" i="2"/>
  <c r="DN30" i="2"/>
  <c r="EE30" i="2"/>
  <c r="EL11" i="2"/>
  <c r="EL19" i="2"/>
  <c r="DN18" i="2"/>
  <c r="FG27" i="2"/>
  <c r="EW19" i="2"/>
  <c r="FN10" i="2"/>
  <c r="EW27" i="2"/>
  <c r="EA21" i="2"/>
  <c r="EB21" i="2" s="1"/>
  <c r="EA17" i="2"/>
  <c r="EB17" i="2" s="1"/>
  <c r="DZ15" i="2"/>
  <c r="FB10" i="2"/>
  <c r="FB8" i="2"/>
  <c r="FP19" i="2"/>
  <c r="FQ19" i="2"/>
  <c r="FR19" i="2" s="1"/>
  <c r="FP21" i="2"/>
  <c r="FQ11" i="2"/>
  <c r="FR11" i="2" s="1"/>
  <c r="FP9" i="2"/>
  <c r="EA31" i="2"/>
  <c r="EB31" i="2" s="1"/>
  <c r="DZ27" i="2"/>
  <c r="EB19" i="2"/>
  <c r="EA13" i="2"/>
  <c r="EB13" i="2" s="1"/>
  <c r="EA9" i="2"/>
  <c r="EB9" i="2" s="1"/>
  <c r="EG30" i="2"/>
  <c r="EH24" i="2"/>
  <c r="EI24" i="2" s="1"/>
  <c r="EG22" i="2"/>
  <c r="EH12" i="2"/>
  <c r="EI12" i="2" s="1"/>
  <c r="EW26" i="2"/>
  <c r="EU22" i="2"/>
  <c r="EU10" i="2"/>
  <c r="FC30" i="2"/>
  <c r="FD30" i="2" s="1"/>
  <c r="FC26" i="2"/>
  <c r="FD26" i="2" s="1"/>
  <c r="FP15" i="2"/>
  <c r="EA23" i="2"/>
  <c r="EB23" i="2" s="1"/>
  <c r="DZ22" i="2"/>
  <c r="EA20" i="2"/>
  <c r="EB20" i="2" s="1"/>
  <c r="DZ19" i="2"/>
  <c r="EA16" i="2"/>
  <c r="EB16" i="2" s="1"/>
  <c r="EB15" i="2"/>
  <c r="EH28" i="2"/>
  <c r="EI28" i="2" s="1"/>
  <c r="EH16" i="2"/>
  <c r="EI16" i="2" s="1"/>
  <c r="EH10" i="2"/>
  <c r="EI10" i="2" s="1"/>
  <c r="EU26" i="2"/>
  <c r="EV20" i="2"/>
  <c r="EW20" i="2" s="1"/>
  <c r="EU18" i="2"/>
  <c r="EV8" i="2"/>
  <c r="EW8" i="2" s="1"/>
  <c r="FC25" i="2"/>
  <c r="FD25" i="2" s="1"/>
  <c r="FB24" i="2"/>
  <c r="FC22" i="2"/>
  <c r="FD22" i="2" s="1"/>
  <c r="FB21" i="2"/>
  <c r="FC18" i="2"/>
  <c r="FD18" i="2" s="1"/>
  <c r="FQ27" i="2"/>
  <c r="FR27" i="2" s="1"/>
  <c r="FP25" i="2"/>
  <c r="FQ23" i="2"/>
  <c r="FR23" i="2" s="1"/>
  <c r="DM25" i="2"/>
  <c r="DN25" i="2" s="1"/>
  <c r="DM19" i="2"/>
  <c r="DN19" i="2" s="1"/>
  <c r="EA29" i="2"/>
  <c r="EB29" i="2" s="1"/>
  <c r="EA25" i="2"/>
  <c r="EB25" i="2" s="1"/>
  <c r="DZ14" i="2"/>
  <c r="EA12" i="2"/>
  <c r="EB12" i="2" s="1"/>
  <c r="DZ11" i="2"/>
  <c r="EG29" i="2"/>
  <c r="EH26" i="2"/>
  <c r="EI26" i="2" s="1"/>
  <c r="EG21" i="2"/>
  <c r="EG11" i="2"/>
  <c r="EG10" i="2"/>
  <c r="EN26" i="2"/>
  <c r="EN22" i="2"/>
  <c r="EV24" i="2"/>
  <c r="EW24" i="2" s="1"/>
  <c r="EV12" i="2"/>
  <c r="EW12" i="2" s="1"/>
  <c r="EU9" i="2"/>
  <c r="FC31" i="2"/>
  <c r="FD31" i="2" s="1"/>
  <c r="FC27" i="2"/>
  <c r="FD27" i="2" s="1"/>
  <c r="FB16" i="2"/>
  <c r="FC14" i="2"/>
  <c r="FD14" i="2" s="1"/>
  <c r="FB13" i="2"/>
  <c r="FJ19" i="2"/>
  <c r="FK19" i="2" s="1"/>
  <c r="FJ11" i="2"/>
  <c r="FK11" i="2" s="1"/>
  <c r="FI27" i="2"/>
  <c r="FJ15" i="2"/>
  <c r="FK15" i="2" s="1"/>
  <c r="FP31" i="2"/>
  <c r="FJ25" i="2"/>
  <c r="FK25" i="2" s="1"/>
  <c r="FJ17" i="2"/>
  <c r="FK17" i="2" s="1"/>
  <c r="FJ9" i="2"/>
  <c r="FK9" i="2" s="1"/>
  <c r="FQ28" i="2"/>
  <c r="FR28" i="2" s="1"/>
  <c r="FP26" i="2"/>
  <c r="FP17" i="2"/>
  <c r="FQ12" i="2"/>
  <c r="FR12" i="2" s="1"/>
  <c r="FP10" i="2"/>
  <c r="DM31" i="2"/>
  <c r="DN31" i="2" s="1"/>
  <c r="DM23" i="2"/>
  <c r="DN23" i="2" s="1"/>
  <c r="DM15" i="2"/>
  <c r="DN15" i="2" s="1"/>
  <c r="DZ26" i="2"/>
  <c r="DZ18" i="2"/>
  <c r="DZ10" i="2"/>
  <c r="EG25" i="2"/>
  <c r="EH20" i="2"/>
  <c r="EI20" i="2" s="1"/>
  <c r="EG18" i="2"/>
  <c r="EG9" i="2"/>
  <c r="EO29" i="2"/>
  <c r="EP29" i="2" s="1"/>
  <c r="EO21" i="2"/>
  <c r="EP21" i="2" s="1"/>
  <c r="EO13" i="2"/>
  <c r="EP13" i="2" s="1"/>
  <c r="EU30" i="2"/>
  <c r="EU21" i="2"/>
  <c r="EV16" i="2"/>
  <c r="EW16" i="2" s="1"/>
  <c r="EU14" i="2"/>
  <c r="FB28" i="2"/>
  <c r="FB20" i="2"/>
  <c r="FB12" i="2"/>
  <c r="FI26" i="2"/>
  <c r="FI18" i="2"/>
  <c r="FI10" i="2"/>
  <c r="FP29" i="2"/>
  <c r="FQ24" i="2"/>
  <c r="FR24" i="2" s="1"/>
  <c r="FP22" i="2"/>
  <c r="FP13" i="2"/>
  <c r="FQ8" i="2"/>
  <c r="FR8" i="2" s="1"/>
  <c r="BW23" i="2"/>
  <c r="BX23" i="2" s="1"/>
  <c r="BV22" i="2"/>
  <c r="BW16" i="2"/>
  <c r="BX16" i="2" s="1"/>
  <c r="BW31" i="2"/>
  <c r="BX31" i="2" s="1"/>
  <c r="BV30" i="2"/>
  <c r="BW24" i="2"/>
  <c r="BX24" i="2" s="1"/>
  <c r="BW15" i="2"/>
  <c r="BX15" i="2" s="1"/>
  <c r="BV14" i="2"/>
  <c r="BV29" i="2"/>
  <c r="BV21" i="2"/>
  <c r="BV13" i="2"/>
  <c r="CD28" i="2"/>
  <c r="CE28" i="2" s="1"/>
  <c r="CC26" i="2"/>
  <c r="CD12" i="2"/>
  <c r="CE12" i="2" s="1"/>
  <c r="CC10" i="2"/>
  <c r="CY28" i="2"/>
  <c r="CZ28" i="2" s="1"/>
  <c r="CZ25" i="2"/>
  <c r="CY23" i="2"/>
  <c r="CZ23" i="2" s="1"/>
  <c r="CX18" i="2"/>
  <c r="CX17" i="2"/>
  <c r="CY12" i="2"/>
  <c r="CZ12" i="2" s="1"/>
  <c r="BV25" i="2"/>
  <c r="BV17" i="2"/>
  <c r="CC25" i="2"/>
  <c r="CC9" i="2"/>
  <c r="CY31" i="2"/>
  <c r="CZ31" i="2" s="1"/>
  <c r="CX26" i="2"/>
  <c r="CY20" i="2"/>
  <c r="CZ20" i="2" s="1"/>
  <c r="CY15" i="2"/>
  <c r="CZ15" i="2" s="1"/>
  <c r="CX10" i="2"/>
  <c r="EO31" i="2"/>
  <c r="EP31" i="2" s="1"/>
  <c r="EN31" i="2"/>
  <c r="FQ29" i="2"/>
  <c r="FR29" i="2" s="1"/>
  <c r="FQ25" i="2"/>
  <c r="FR25" i="2" s="1"/>
  <c r="FQ21" i="2"/>
  <c r="FR21" i="2" s="1"/>
  <c r="FQ17" i="2"/>
  <c r="FR17" i="2" s="1"/>
  <c r="FQ13" i="2"/>
  <c r="FR13" i="2" s="1"/>
  <c r="FQ9" i="2"/>
  <c r="FR9" i="2" s="1"/>
  <c r="FJ30" i="2"/>
  <c r="FK30" i="2" s="1"/>
  <c r="FJ26" i="2"/>
  <c r="FK26" i="2" s="1"/>
  <c r="FJ22" i="2"/>
  <c r="FK22" i="2" s="1"/>
  <c r="FJ18" i="2"/>
  <c r="FK18" i="2" s="1"/>
  <c r="FJ14" i="2"/>
  <c r="FK14" i="2" s="1"/>
  <c r="FJ10" i="2"/>
  <c r="FK10" i="2" s="1"/>
  <c r="FC28" i="2"/>
  <c r="FD28" i="2" s="1"/>
  <c r="FC24" i="2"/>
  <c r="FD24" i="2" s="1"/>
  <c r="FC20" i="2"/>
  <c r="FD20" i="2" s="1"/>
  <c r="FC16" i="2"/>
  <c r="FD16" i="2" s="1"/>
  <c r="FC12" i="2"/>
  <c r="FD12" i="2" s="1"/>
  <c r="FC8" i="2"/>
  <c r="FD8" i="2" s="1"/>
  <c r="EV29" i="2"/>
  <c r="EW29" i="2" s="1"/>
  <c r="EV25" i="2"/>
  <c r="EW25" i="2" s="1"/>
  <c r="EV21" i="2"/>
  <c r="EW21" i="2" s="1"/>
  <c r="EV17" i="2"/>
  <c r="EW17" i="2" s="1"/>
  <c r="EV13" i="2"/>
  <c r="EW13" i="2" s="1"/>
  <c r="EV9" i="2"/>
  <c r="EW9" i="2" s="1"/>
  <c r="EO30" i="2"/>
  <c r="EP30" i="2" s="1"/>
  <c r="EO26" i="2"/>
  <c r="EP26" i="2" s="1"/>
  <c r="EO22" i="2"/>
  <c r="EP22" i="2" s="1"/>
  <c r="EO18" i="2"/>
  <c r="EP18" i="2" s="1"/>
  <c r="EO14" i="2"/>
  <c r="EP14" i="2" s="1"/>
  <c r="EO10" i="2"/>
  <c r="EP10" i="2" s="1"/>
  <c r="EH29" i="2"/>
  <c r="EI29" i="2" s="1"/>
  <c r="EH25" i="2"/>
  <c r="EI25" i="2" s="1"/>
  <c r="EH21" i="2"/>
  <c r="EI21" i="2" s="1"/>
  <c r="EH17" i="2"/>
  <c r="EI17" i="2" s="1"/>
  <c r="EH13" i="2"/>
  <c r="EI13" i="2" s="1"/>
  <c r="EH9" i="2"/>
  <c r="EI9" i="2" s="1"/>
  <c r="EA30" i="2"/>
  <c r="EB30" i="2" s="1"/>
  <c r="EA26" i="2"/>
  <c r="EB26" i="2" s="1"/>
  <c r="EA22" i="2"/>
  <c r="EB22" i="2" s="1"/>
  <c r="EA18" i="2"/>
  <c r="EB18" i="2" s="1"/>
  <c r="EA14" i="2"/>
  <c r="EB14" i="2" s="1"/>
  <c r="EA10" i="2"/>
  <c r="EB10" i="2" s="1"/>
  <c r="DL28" i="2"/>
  <c r="DL24" i="2"/>
  <c r="DL20" i="2"/>
  <c r="DL16" i="2"/>
  <c r="DL12" i="2"/>
  <c r="DL8" i="2"/>
  <c r="DF30" i="2"/>
  <c r="DG30" i="2" s="1"/>
  <c r="DF26" i="2"/>
  <c r="DG26" i="2" s="1"/>
  <c r="DF22" i="2"/>
  <c r="DG22" i="2" s="1"/>
  <c r="DF18" i="2"/>
  <c r="DG18" i="2" s="1"/>
  <c r="DF14" i="2"/>
  <c r="DG14" i="2" s="1"/>
  <c r="DF10" i="2"/>
  <c r="DG10" i="2" s="1"/>
  <c r="CX28" i="2"/>
  <c r="CX24" i="2"/>
  <c r="CX20" i="2"/>
  <c r="CX16" i="2"/>
  <c r="CX12" i="2"/>
  <c r="CX8" i="2"/>
  <c r="CD29" i="2"/>
  <c r="CE29" i="2" s="1"/>
  <c r="CD25" i="2"/>
  <c r="CE25" i="2" s="1"/>
  <c r="CD21" i="2"/>
  <c r="CE21" i="2" s="1"/>
  <c r="CD17" i="2"/>
  <c r="CE17" i="2" s="1"/>
  <c r="CD13" i="2"/>
  <c r="CE13" i="2" s="1"/>
  <c r="CD9" i="2"/>
  <c r="CE9" i="2" s="1"/>
  <c r="BW29" i="2"/>
  <c r="BX29" i="2" s="1"/>
  <c r="BW25" i="2"/>
  <c r="BX25" i="2" s="1"/>
  <c r="BW21" i="2"/>
  <c r="BX21" i="2" s="1"/>
  <c r="BW17" i="2"/>
  <c r="BX17" i="2" s="1"/>
  <c r="BW13" i="2"/>
  <c r="BX13" i="2" s="1"/>
  <c r="BF11" i="2" l="1"/>
  <c r="BF12" i="2"/>
  <c r="BF13" i="2"/>
  <c r="BF14" i="2"/>
  <c r="BF15" i="2"/>
  <c r="BF16" i="2"/>
  <c r="BF17" i="2"/>
  <c r="BF18" i="2"/>
  <c r="BF19" i="2"/>
  <c r="BF20" i="2"/>
  <c r="BF21" i="2"/>
  <c r="BF22" i="2"/>
  <c r="BF23" i="2"/>
  <c r="BF24" i="2"/>
  <c r="BF25" i="2"/>
  <c r="BF26" i="2"/>
  <c r="BF27" i="2"/>
  <c r="BF28" i="2"/>
  <c r="BF29" i="2"/>
  <c r="BF30" i="2"/>
  <c r="BF31" i="2"/>
  <c r="BD32" i="2"/>
  <c r="BE32" i="2"/>
  <c r="BF32" i="2" s="1"/>
  <c r="AZ7" i="2"/>
  <c r="AZ8" i="2"/>
  <c r="AZ9" i="2"/>
  <c r="AZ10" i="2"/>
  <c r="AZ11" i="2"/>
  <c r="BA11" i="2" s="1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W8" i="2"/>
  <c r="AX8" i="2"/>
  <c r="AY8" i="2" s="1"/>
  <c r="AW9" i="2"/>
  <c r="AX9" i="2"/>
  <c r="AY9" i="2" s="1"/>
  <c r="AW10" i="2"/>
  <c r="AX10" i="2"/>
  <c r="AY10" i="2" s="1"/>
  <c r="AX11" i="2"/>
  <c r="AY11" i="2" s="1"/>
  <c r="AW12" i="2"/>
  <c r="AX12" i="2"/>
  <c r="AY12" i="2" s="1"/>
  <c r="AW13" i="2"/>
  <c r="AX13" i="2"/>
  <c r="AY13" i="2" s="1"/>
  <c r="AW14" i="2"/>
  <c r="AX14" i="2"/>
  <c r="AY14" i="2" s="1"/>
  <c r="AW15" i="2"/>
  <c r="AX15" i="2"/>
  <c r="AY15" i="2" s="1"/>
  <c r="AW16" i="2"/>
  <c r="AX16" i="2"/>
  <c r="AY16" i="2" s="1"/>
  <c r="AW17" i="2"/>
  <c r="AX17" i="2"/>
  <c r="AY17" i="2" s="1"/>
  <c r="AW18" i="2"/>
  <c r="AX18" i="2"/>
  <c r="AY18" i="2" s="1"/>
  <c r="AW19" i="2"/>
  <c r="AX19" i="2"/>
  <c r="AY19" i="2" s="1"/>
  <c r="AW20" i="2"/>
  <c r="AX20" i="2"/>
  <c r="AY20" i="2" s="1"/>
  <c r="AW21" i="2"/>
  <c r="AX21" i="2"/>
  <c r="AY21" i="2" s="1"/>
  <c r="AW22" i="2"/>
  <c r="AX22" i="2"/>
  <c r="AY22" i="2" s="1"/>
  <c r="AW23" i="2"/>
  <c r="AX23" i="2"/>
  <c r="AY23" i="2" s="1"/>
  <c r="AW24" i="2"/>
  <c r="AX24" i="2"/>
  <c r="AY24" i="2" s="1"/>
  <c r="AW25" i="2"/>
  <c r="AX25" i="2"/>
  <c r="AY25" i="2" s="1"/>
  <c r="AW26" i="2"/>
  <c r="AX26" i="2"/>
  <c r="AY26" i="2" s="1"/>
  <c r="AW27" i="2"/>
  <c r="AX27" i="2"/>
  <c r="AY27" i="2" s="1"/>
  <c r="AW28" i="2"/>
  <c r="AX28" i="2"/>
  <c r="AY28" i="2" s="1"/>
  <c r="AW29" i="2"/>
  <c r="AX29" i="2"/>
  <c r="AY29" i="2" s="1"/>
  <c r="AW30" i="2"/>
  <c r="AX30" i="2"/>
  <c r="AY30" i="2" s="1"/>
  <c r="AW31" i="2"/>
  <c r="AX31" i="2"/>
  <c r="AY31" i="2" s="1"/>
  <c r="AW32" i="2"/>
  <c r="AX32" i="2"/>
  <c r="AY32" i="2" s="1"/>
  <c r="AS7" i="2"/>
  <c r="AS8" i="2"/>
  <c r="AS9" i="2"/>
  <c r="AS10" i="2"/>
  <c r="AS11" i="2"/>
  <c r="AT11" i="2" s="1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P8" i="2"/>
  <c r="AQ8" i="2"/>
  <c r="AR8" i="2" s="1"/>
  <c r="AP9" i="2"/>
  <c r="AQ9" i="2"/>
  <c r="AR9" i="2" s="1"/>
  <c r="AP10" i="2"/>
  <c r="AQ10" i="2"/>
  <c r="AR10" i="2" s="1"/>
  <c r="AQ11" i="2"/>
  <c r="AR11" i="2" s="1"/>
  <c r="AP12" i="2"/>
  <c r="AQ12" i="2"/>
  <c r="AR12" i="2" s="1"/>
  <c r="AP13" i="2"/>
  <c r="AQ13" i="2"/>
  <c r="AR13" i="2" s="1"/>
  <c r="AP14" i="2"/>
  <c r="AQ14" i="2"/>
  <c r="AR14" i="2" s="1"/>
  <c r="AP15" i="2"/>
  <c r="AQ15" i="2"/>
  <c r="AR15" i="2" s="1"/>
  <c r="AP16" i="2"/>
  <c r="AQ16" i="2"/>
  <c r="AR16" i="2" s="1"/>
  <c r="AP17" i="2"/>
  <c r="AQ17" i="2"/>
  <c r="AR17" i="2" s="1"/>
  <c r="AP18" i="2"/>
  <c r="AQ18" i="2"/>
  <c r="AR18" i="2" s="1"/>
  <c r="AP19" i="2"/>
  <c r="AQ19" i="2"/>
  <c r="AR19" i="2" s="1"/>
  <c r="AP20" i="2"/>
  <c r="AQ20" i="2"/>
  <c r="AR20" i="2" s="1"/>
  <c r="AP21" i="2"/>
  <c r="AQ21" i="2"/>
  <c r="AR21" i="2" s="1"/>
  <c r="AP22" i="2"/>
  <c r="AQ22" i="2"/>
  <c r="AR22" i="2" s="1"/>
  <c r="AP23" i="2"/>
  <c r="AQ23" i="2"/>
  <c r="AR23" i="2" s="1"/>
  <c r="AP24" i="2"/>
  <c r="AQ24" i="2"/>
  <c r="AR24" i="2" s="1"/>
  <c r="AP25" i="2"/>
  <c r="AQ25" i="2"/>
  <c r="AR25" i="2" s="1"/>
  <c r="AP26" i="2"/>
  <c r="AQ26" i="2"/>
  <c r="AR26" i="2" s="1"/>
  <c r="AP27" i="2"/>
  <c r="AQ27" i="2"/>
  <c r="AR27" i="2" s="1"/>
  <c r="AP28" i="2"/>
  <c r="AQ28" i="2"/>
  <c r="AR28" i="2" s="1"/>
  <c r="AP29" i="2"/>
  <c r="AQ29" i="2"/>
  <c r="AR29" i="2" s="1"/>
  <c r="AP30" i="2"/>
  <c r="AQ30" i="2"/>
  <c r="AR30" i="2" s="1"/>
  <c r="AP31" i="2"/>
  <c r="AQ31" i="2"/>
  <c r="AR31" i="2" s="1"/>
  <c r="AP32" i="2"/>
  <c r="AQ32" i="2"/>
  <c r="AR32" i="2" s="1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I8" i="2"/>
  <c r="AJ8" i="2"/>
  <c r="AK8" i="2" s="1"/>
  <c r="AI9" i="2"/>
  <c r="AH9" i="2" s="1"/>
  <c r="AJ9" i="2"/>
  <c r="AK9" i="2" s="1"/>
  <c r="AI10" i="2"/>
  <c r="AJ10" i="2"/>
  <c r="AK10" i="2" s="1"/>
  <c r="AI11" i="2"/>
  <c r="AJ11" i="2"/>
  <c r="AK11" i="2" s="1"/>
  <c r="AI12" i="2"/>
  <c r="AH12" i="2" s="1"/>
  <c r="AJ12" i="2"/>
  <c r="AK12" i="2" s="1"/>
  <c r="AI13" i="2"/>
  <c r="AH13" i="2" s="1"/>
  <c r="AJ13" i="2"/>
  <c r="AK13" i="2" s="1"/>
  <c r="AI14" i="2"/>
  <c r="AJ14" i="2"/>
  <c r="AK14" i="2" s="1"/>
  <c r="AI15" i="2"/>
  <c r="AJ15" i="2"/>
  <c r="AK15" i="2" s="1"/>
  <c r="AI16" i="2"/>
  <c r="AJ16" i="2"/>
  <c r="AK16" i="2" s="1"/>
  <c r="AI17" i="2"/>
  <c r="AH17" i="2" s="1"/>
  <c r="AJ17" i="2"/>
  <c r="AK17" i="2" s="1"/>
  <c r="AI18" i="2"/>
  <c r="AJ18" i="2"/>
  <c r="AK18" i="2" s="1"/>
  <c r="AI19" i="2"/>
  <c r="AJ19" i="2"/>
  <c r="AK19" i="2" s="1"/>
  <c r="AI20" i="2"/>
  <c r="AH20" i="2" s="1"/>
  <c r="AJ20" i="2"/>
  <c r="AK20" i="2" s="1"/>
  <c r="AI21" i="2"/>
  <c r="AH21" i="2" s="1"/>
  <c r="AJ21" i="2"/>
  <c r="AK21" i="2" s="1"/>
  <c r="AI22" i="2"/>
  <c r="AJ22" i="2"/>
  <c r="AK22" i="2" s="1"/>
  <c r="AI23" i="2"/>
  <c r="AJ23" i="2"/>
  <c r="AK23" i="2" s="1"/>
  <c r="AI24" i="2"/>
  <c r="AJ24" i="2"/>
  <c r="AK24" i="2" s="1"/>
  <c r="AI25" i="2"/>
  <c r="AH25" i="2" s="1"/>
  <c r="AJ25" i="2"/>
  <c r="AK25" i="2" s="1"/>
  <c r="AI26" i="2"/>
  <c r="AJ26" i="2"/>
  <c r="AK26" i="2" s="1"/>
  <c r="AI27" i="2"/>
  <c r="AJ27" i="2"/>
  <c r="AK27" i="2" s="1"/>
  <c r="AI28" i="2"/>
  <c r="AH28" i="2" s="1"/>
  <c r="AJ28" i="2"/>
  <c r="AK28" i="2" s="1"/>
  <c r="AI29" i="2"/>
  <c r="AH29" i="2" s="1"/>
  <c r="AJ29" i="2"/>
  <c r="AK29" i="2" s="1"/>
  <c r="AI30" i="2"/>
  <c r="AJ30" i="2"/>
  <c r="AK30" i="2" s="1"/>
  <c r="AI31" i="2"/>
  <c r="AJ31" i="2"/>
  <c r="AK31" i="2" s="1"/>
  <c r="AI32" i="2"/>
  <c r="AH32" i="2" s="1"/>
  <c r="AJ32" i="2"/>
  <c r="AK32" i="2" s="1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A8" i="2"/>
  <c r="AB8" i="2"/>
  <c r="AC8" i="2" s="1"/>
  <c r="AA9" i="2"/>
  <c r="AB9" i="2"/>
  <c r="AC9" i="2" s="1"/>
  <c r="AA10" i="2"/>
  <c r="AB10" i="2"/>
  <c r="AC10" i="2" s="1"/>
  <c r="AA11" i="2"/>
  <c r="AB11" i="2"/>
  <c r="AC11" i="2" s="1"/>
  <c r="AA12" i="2"/>
  <c r="AB12" i="2"/>
  <c r="AC12" i="2" s="1"/>
  <c r="AA13" i="2"/>
  <c r="AB13" i="2"/>
  <c r="AC13" i="2" s="1"/>
  <c r="AA14" i="2"/>
  <c r="AB14" i="2"/>
  <c r="AC14" i="2" s="1"/>
  <c r="AA15" i="2"/>
  <c r="AB15" i="2"/>
  <c r="AC15" i="2" s="1"/>
  <c r="AA16" i="2"/>
  <c r="AB16" i="2"/>
  <c r="AC16" i="2" s="1"/>
  <c r="AA17" i="2"/>
  <c r="AB17" i="2"/>
  <c r="AC17" i="2" s="1"/>
  <c r="AA18" i="2"/>
  <c r="AB18" i="2"/>
  <c r="AC18" i="2" s="1"/>
  <c r="AA19" i="2"/>
  <c r="AB19" i="2"/>
  <c r="AC19" i="2" s="1"/>
  <c r="AA20" i="2"/>
  <c r="AB20" i="2"/>
  <c r="AC20" i="2" s="1"/>
  <c r="AA21" i="2"/>
  <c r="AB21" i="2"/>
  <c r="AC21" i="2" s="1"/>
  <c r="AA22" i="2"/>
  <c r="AB22" i="2"/>
  <c r="AC22" i="2" s="1"/>
  <c r="AA23" i="2"/>
  <c r="AB23" i="2"/>
  <c r="AC23" i="2" s="1"/>
  <c r="AA24" i="2"/>
  <c r="AB24" i="2"/>
  <c r="AC24" i="2" s="1"/>
  <c r="AA25" i="2"/>
  <c r="AB25" i="2"/>
  <c r="AC25" i="2" s="1"/>
  <c r="AA26" i="2"/>
  <c r="AB26" i="2"/>
  <c r="AC26" i="2" s="1"/>
  <c r="AA27" i="2"/>
  <c r="AB27" i="2"/>
  <c r="AC27" i="2" s="1"/>
  <c r="AA28" i="2"/>
  <c r="AB28" i="2"/>
  <c r="AC28" i="2" s="1"/>
  <c r="AA29" i="2"/>
  <c r="AB29" i="2"/>
  <c r="AC29" i="2" s="1"/>
  <c r="AA30" i="2"/>
  <c r="AB30" i="2"/>
  <c r="AC30" i="2" s="1"/>
  <c r="AA31" i="2"/>
  <c r="AB31" i="2"/>
  <c r="AC31" i="2" s="1"/>
  <c r="AA32" i="2"/>
  <c r="AB32" i="2"/>
  <c r="AC32" i="2" s="1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T8" i="2"/>
  <c r="U8" i="2"/>
  <c r="V8" i="2" s="1"/>
  <c r="T9" i="2"/>
  <c r="U9" i="2"/>
  <c r="V9" i="2" s="1"/>
  <c r="T10" i="2"/>
  <c r="U10" i="2"/>
  <c r="V10" i="2" s="1"/>
  <c r="T11" i="2"/>
  <c r="U11" i="2"/>
  <c r="V11" i="2" s="1"/>
  <c r="T12" i="2"/>
  <c r="U12" i="2"/>
  <c r="V12" i="2" s="1"/>
  <c r="T13" i="2"/>
  <c r="U13" i="2"/>
  <c r="V13" i="2" s="1"/>
  <c r="T14" i="2"/>
  <c r="U14" i="2"/>
  <c r="V14" i="2" s="1"/>
  <c r="T15" i="2"/>
  <c r="U15" i="2"/>
  <c r="V15" i="2" s="1"/>
  <c r="T16" i="2"/>
  <c r="U16" i="2"/>
  <c r="V16" i="2" s="1"/>
  <c r="T17" i="2"/>
  <c r="U17" i="2"/>
  <c r="V17" i="2" s="1"/>
  <c r="T18" i="2"/>
  <c r="U18" i="2"/>
  <c r="V18" i="2" s="1"/>
  <c r="T19" i="2"/>
  <c r="U19" i="2"/>
  <c r="V19" i="2" s="1"/>
  <c r="T20" i="2"/>
  <c r="U20" i="2"/>
  <c r="V20" i="2" s="1"/>
  <c r="T21" i="2"/>
  <c r="U21" i="2"/>
  <c r="V21" i="2" s="1"/>
  <c r="T22" i="2"/>
  <c r="U22" i="2"/>
  <c r="V22" i="2" s="1"/>
  <c r="T23" i="2"/>
  <c r="U23" i="2"/>
  <c r="V23" i="2" s="1"/>
  <c r="T24" i="2"/>
  <c r="U24" i="2"/>
  <c r="V24" i="2" s="1"/>
  <c r="T25" i="2"/>
  <c r="U25" i="2"/>
  <c r="V25" i="2" s="1"/>
  <c r="T26" i="2"/>
  <c r="U26" i="2"/>
  <c r="V26" i="2" s="1"/>
  <c r="T27" i="2"/>
  <c r="U27" i="2"/>
  <c r="V27" i="2" s="1"/>
  <c r="T28" i="2"/>
  <c r="U28" i="2"/>
  <c r="V28" i="2" s="1"/>
  <c r="T29" i="2"/>
  <c r="U29" i="2"/>
  <c r="V29" i="2" s="1"/>
  <c r="T30" i="2"/>
  <c r="U30" i="2"/>
  <c r="V30" i="2" s="1"/>
  <c r="T31" i="2"/>
  <c r="U31" i="2"/>
  <c r="V31" i="2" s="1"/>
  <c r="T32" i="2"/>
  <c r="U32" i="2"/>
  <c r="V32" i="2" s="1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M8" i="2"/>
  <c r="N8" i="2"/>
  <c r="O8" i="2" s="1"/>
  <c r="M9" i="2"/>
  <c r="N9" i="2"/>
  <c r="O9" i="2" s="1"/>
  <c r="M10" i="2"/>
  <c r="N10" i="2"/>
  <c r="O10" i="2" s="1"/>
  <c r="M11" i="2"/>
  <c r="N11" i="2"/>
  <c r="O11" i="2" s="1"/>
  <c r="M12" i="2"/>
  <c r="N12" i="2"/>
  <c r="O12" i="2" s="1"/>
  <c r="M13" i="2"/>
  <c r="N13" i="2"/>
  <c r="O13" i="2" s="1"/>
  <c r="M14" i="2"/>
  <c r="N14" i="2"/>
  <c r="O14" i="2" s="1"/>
  <c r="M15" i="2"/>
  <c r="N15" i="2"/>
  <c r="O15" i="2" s="1"/>
  <c r="M16" i="2"/>
  <c r="N16" i="2"/>
  <c r="O16" i="2" s="1"/>
  <c r="M17" i="2"/>
  <c r="N17" i="2"/>
  <c r="O17" i="2" s="1"/>
  <c r="M18" i="2"/>
  <c r="N18" i="2"/>
  <c r="O18" i="2" s="1"/>
  <c r="M19" i="2"/>
  <c r="N19" i="2"/>
  <c r="O19" i="2" s="1"/>
  <c r="M20" i="2"/>
  <c r="N20" i="2"/>
  <c r="O20" i="2" s="1"/>
  <c r="M21" i="2"/>
  <c r="N21" i="2"/>
  <c r="O21" i="2" s="1"/>
  <c r="M22" i="2"/>
  <c r="N22" i="2"/>
  <c r="O22" i="2" s="1"/>
  <c r="M23" i="2"/>
  <c r="N23" i="2"/>
  <c r="O23" i="2" s="1"/>
  <c r="M24" i="2"/>
  <c r="N24" i="2"/>
  <c r="O24" i="2" s="1"/>
  <c r="M25" i="2"/>
  <c r="N25" i="2"/>
  <c r="O25" i="2" s="1"/>
  <c r="M26" i="2"/>
  <c r="N26" i="2"/>
  <c r="O26" i="2" s="1"/>
  <c r="M27" i="2"/>
  <c r="N27" i="2"/>
  <c r="O27" i="2" s="1"/>
  <c r="M28" i="2"/>
  <c r="N28" i="2"/>
  <c r="O28" i="2" s="1"/>
  <c r="M29" i="2"/>
  <c r="N29" i="2"/>
  <c r="O29" i="2" s="1"/>
  <c r="M30" i="2"/>
  <c r="N30" i="2"/>
  <c r="O30" i="2" s="1"/>
  <c r="M31" i="2"/>
  <c r="N31" i="2"/>
  <c r="O31" i="2" s="1"/>
  <c r="M32" i="2"/>
  <c r="N32" i="2"/>
  <c r="O32" i="2" s="1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6" i="2"/>
  <c r="AE8" i="2" l="1"/>
  <c r="AU18" i="2"/>
  <c r="AV18" i="2" s="1"/>
  <c r="AT12" i="2"/>
  <c r="AT28" i="2"/>
  <c r="AT20" i="2"/>
  <c r="AT16" i="2"/>
  <c r="AU14" i="2"/>
  <c r="AV14" i="2" s="1"/>
  <c r="X31" i="2"/>
  <c r="Y27" i="2"/>
  <c r="Z27" i="2" s="1"/>
  <c r="X15" i="2"/>
  <c r="Y11" i="2"/>
  <c r="Z11" i="2" s="1"/>
  <c r="X14" i="2"/>
  <c r="AN18" i="2"/>
  <c r="AO18" i="2" s="1"/>
  <c r="BB29" i="2"/>
  <c r="BC29" i="2" s="1"/>
  <c r="BB21" i="2"/>
  <c r="BC21" i="2" s="1"/>
  <c r="BB13" i="2"/>
  <c r="BC13" i="2" s="1"/>
  <c r="AE26" i="2"/>
  <c r="AF22" i="2"/>
  <c r="AG22" i="2" s="1"/>
  <c r="AE18" i="2"/>
  <c r="AE23" i="2"/>
  <c r="AE15" i="2"/>
  <c r="AF13" i="2"/>
  <c r="AG13" i="2" s="1"/>
  <c r="Y8" i="2"/>
  <c r="Z8" i="2" s="1"/>
  <c r="Q27" i="2"/>
  <c r="Q19" i="2"/>
  <c r="AM19" i="2"/>
  <c r="AU31" i="2"/>
  <c r="AV31" i="2" s="1"/>
  <c r="AT27" i="2"/>
  <c r="AT23" i="2"/>
  <c r="Q30" i="2"/>
  <c r="Q26" i="2"/>
  <c r="R22" i="2"/>
  <c r="S22" i="2" s="1"/>
  <c r="Q18" i="2"/>
  <c r="R14" i="2"/>
  <c r="S14" i="2" s="1"/>
  <c r="Q10" i="2"/>
  <c r="AE31" i="2"/>
  <c r="AE11" i="2"/>
  <c r="Y26" i="2"/>
  <c r="Z26" i="2" s="1"/>
  <c r="X22" i="2"/>
  <c r="AM27" i="2"/>
  <c r="AF29" i="2"/>
  <c r="AG29" i="2" s="1"/>
  <c r="AE25" i="2"/>
  <c r="AE22" i="2"/>
  <c r="AF8" i="2"/>
  <c r="AG8" i="2" s="1"/>
  <c r="AM21" i="2"/>
  <c r="AU22" i="2"/>
  <c r="AV22" i="2" s="1"/>
  <c r="AT15" i="2"/>
  <c r="AU11" i="2"/>
  <c r="AV11" i="2" s="1"/>
  <c r="AT25" i="2"/>
  <c r="Q22" i="2"/>
  <c r="AF27" i="2"/>
  <c r="AG27" i="2" s="1"/>
  <c r="AF10" i="2"/>
  <c r="AG10" i="2" s="1"/>
  <c r="AU27" i="2"/>
  <c r="AV27" i="2" s="1"/>
  <c r="AT8" i="2"/>
  <c r="AT10" i="2"/>
  <c r="AT9" i="2"/>
  <c r="AE9" i="2"/>
  <c r="X8" i="2"/>
  <c r="BB10" i="2"/>
  <c r="BC10" i="2" s="1"/>
  <c r="AF9" i="2"/>
  <c r="AG9" i="2" s="1"/>
  <c r="AU10" i="2"/>
  <c r="AV10" i="2" s="1"/>
  <c r="AN10" i="2"/>
  <c r="AO10" i="2" s="1"/>
  <c r="X23" i="2"/>
  <c r="AE19" i="2"/>
  <c r="AF17" i="2"/>
  <c r="AG17" i="2" s="1"/>
  <c r="AN15" i="2"/>
  <c r="AO15" i="2" s="1"/>
  <c r="AU19" i="2"/>
  <c r="X28" i="2"/>
  <c r="X24" i="2"/>
  <c r="Y22" i="2"/>
  <c r="Z22" i="2" s="1"/>
  <c r="Y18" i="2"/>
  <c r="Z18" i="2" s="1"/>
  <c r="AF30" i="2"/>
  <c r="AG30" i="2" s="1"/>
  <c r="AF14" i="2"/>
  <c r="AG14" i="2" s="1"/>
  <c r="AU26" i="2"/>
  <c r="AV26" i="2" s="1"/>
  <c r="BA30" i="2"/>
  <c r="BB26" i="2"/>
  <c r="BC26" i="2" s="1"/>
  <c r="BA22" i="2"/>
  <c r="BB18" i="2"/>
  <c r="BC18" i="2" s="1"/>
  <c r="BA14" i="2"/>
  <c r="Q17" i="2"/>
  <c r="R11" i="2"/>
  <c r="S11" i="2" s="1"/>
  <c r="AM13" i="2"/>
  <c r="Q23" i="2"/>
  <c r="R16" i="2"/>
  <c r="S16" i="2" s="1"/>
  <c r="R13" i="2"/>
  <c r="S13" i="2" s="1"/>
  <c r="Y23" i="2"/>
  <c r="Z23" i="2" s="1"/>
  <c r="X11" i="2"/>
  <c r="AF26" i="2"/>
  <c r="AG26" i="2" s="1"/>
  <c r="AF24" i="2"/>
  <c r="AG24" i="2" s="1"/>
  <c r="AF19" i="2"/>
  <c r="AG19" i="2" s="1"/>
  <c r="AE17" i="2"/>
  <c r="AE14" i="2"/>
  <c r="AM29" i="2"/>
  <c r="AT31" i="2"/>
  <c r="AT24" i="2"/>
  <c r="AT17" i="2"/>
  <c r="AU12" i="2"/>
  <c r="AV12" i="2" s="1"/>
  <c r="BB23" i="2"/>
  <c r="BC23" i="2" s="1"/>
  <c r="Q29" i="2"/>
  <c r="Q25" i="2"/>
  <c r="R19" i="2"/>
  <c r="S19" i="2" s="1"/>
  <c r="Q15" i="2"/>
  <c r="AF21" i="2"/>
  <c r="AG21" i="2" s="1"/>
  <c r="AF18" i="2"/>
  <c r="AG18" i="2" s="1"/>
  <c r="AF16" i="2"/>
  <c r="AG16" i="2" s="1"/>
  <c r="AF11" i="2"/>
  <c r="AG11" i="2" s="1"/>
  <c r="AN26" i="2"/>
  <c r="AO26" i="2" s="1"/>
  <c r="AM12" i="2"/>
  <c r="AU28" i="2"/>
  <c r="AV28" i="2" s="1"/>
  <c r="AT26" i="2"/>
  <c r="R31" i="2"/>
  <c r="S31" i="2" s="1"/>
  <c r="Y24" i="2"/>
  <c r="Z24" i="2" s="1"/>
  <c r="X20" i="2"/>
  <c r="X12" i="2"/>
  <c r="AE30" i="2"/>
  <c r="AU30" i="2"/>
  <c r="AV30" i="2" s="1"/>
  <c r="AU20" i="2"/>
  <c r="AV20" i="2" s="1"/>
  <c r="AT18" i="2"/>
  <c r="BB17" i="2"/>
  <c r="BC17" i="2" s="1"/>
  <c r="Q31" i="2"/>
  <c r="R29" i="2"/>
  <c r="S29" i="2" s="1"/>
  <c r="R25" i="2"/>
  <c r="S25" i="2" s="1"/>
  <c r="R17" i="2"/>
  <c r="S17" i="2" s="1"/>
  <c r="Q11" i="2"/>
  <c r="R9" i="2"/>
  <c r="S9" i="2" s="1"/>
  <c r="BA31" i="2"/>
  <c r="BA27" i="2"/>
  <c r="BA23" i="2"/>
  <c r="BA19" i="2"/>
  <c r="BA15" i="2"/>
  <c r="Y19" i="2"/>
  <c r="Z19" i="2" s="1"/>
  <c r="AE10" i="2"/>
  <c r="Y30" i="2"/>
  <c r="Z30" i="2" s="1"/>
  <c r="X16" i="2"/>
  <c r="Y14" i="2"/>
  <c r="Z14" i="2" s="1"/>
  <c r="AE27" i="2"/>
  <c r="AF25" i="2"/>
  <c r="AG25" i="2" s="1"/>
  <c r="AU23" i="2"/>
  <c r="AV23" i="2" s="1"/>
  <c r="AT19" i="2"/>
  <c r="AU15" i="2"/>
  <c r="AV15" i="2" s="1"/>
  <c r="AV19" i="2"/>
  <c r="AN30" i="2"/>
  <c r="AO30" i="2" s="1"/>
  <c r="AH30" i="2"/>
  <c r="AH23" i="2"/>
  <c r="AM23" i="2"/>
  <c r="AN14" i="2"/>
  <c r="AO14" i="2" s="1"/>
  <c r="AH14" i="2"/>
  <c r="BA26" i="2"/>
  <c r="R26" i="2"/>
  <c r="S26" i="2" s="1"/>
  <c r="R8" i="2"/>
  <c r="S8" i="2" s="1"/>
  <c r="R30" i="2"/>
  <c r="S30" i="2" s="1"/>
  <c r="R18" i="2"/>
  <c r="S18" i="2" s="1"/>
  <c r="X27" i="2"/>
  <c r="X21" i="2"/>
  <c r="AH31" i="2"/>
  <c r="AM31" i="2"/>
  <c r="AH24" i="2"/>
  <c r="AM24" i="2"/>
  <c r="AN22" i="2"/>
  <c r="AO22" i="2" s="1"/>
  <c r="AH22" i="2"/>
  <c r="AH15" i="2"/>
  <c r="AM15" i="2"/>
  <c r="AH8" i="2"/>
  <c r="AM8" i="2"/>
  <c r="AN31" i="2"/>
  <c r="AO31" i="2" s="1"/>
  <c r="AM30" i="2"/>
  <c r="AM28" i="2"/>
  <c r="AN16" i="2"/>
  <c r="AO16" i="2" s="1"/>
  <c r="BB22" i="2"/>
  <c r="BC22" i="2" s="1"/>
  <c r="BA21" i="2"/>
  <c r="BA10" i="2"/>
  <c r="R27" i="2"/>
  <c r="S27" i="2" s="1"/>
  <c r="R24" i="2"/>
  <c r="S24" i="2" s="1"/>
  <c r="R21" i="2"/>
  <c r="S21" i="2" s="1"/>
  <c r="R10" i="2"/>
  <c r="S10" i="2" s="1"/>
  <c r="Q9" i="2"/>
  <c r="Y31" i="2"/>
  <c r="Z31" i="2" s="1"/>
  <c r="X30" i="2"/>
  <c r="X19" i="2"/>
  <c r="Y16" i="2"/>
  <c r="Z16" i="2" s="1"/>
  <c r="X13" i="2"/>
  <c r="Y10" i="2"/>
  <c r="Z10" i="2" s="1"/>
  <c r="AH27" i="2"/>
  <c r="AN27" i="2"/>
  <c r="AO27" i="2" s="1"/>
  <c r="AH18" i="2"/>
  <c r="AH11" i="2"/>
  <c r="AN11" i="2"/>
  <c r="AO11" i="2" s="1"/>
  <c r="AN23" i="2"/>
  <c r="AO23" i="2" s="1"/>
  <c r="AM22" i="2"/>
  <c r="AM20" i="2"/>
  <c r="AM11" i="2"/>
  <c r="AN8" i="2"/>
  <c r="AO8" i="2" s="1"/>
  <c r="BB31" i="2"/>
  <c r="BC31" i="2" s="1"/>
  <c r="BB28" i="2"/>
  <c r="BC28" i="2" s="1"/>
  <c r="BB25" i="2"/>
  <c r="BC25" i="2" s="1"/>
  <c r="BB14" i="2"/>
  <c r="BC14" i="2" s="1"/>
  <c r="BA13" i="2"/>
  <c r="AH16" i="2"/>
  <c r="AM16" i="2"/>
  <c r="AM14" i="2"/>
  <c r="BB20" i="2"/>
  <c r="BC20" i="2" s="1"/>
  <c r="Q14" i="2"/>
  <c r="X29" i="2"/>
  <c r="Y15" i="2"/>
  <c r="Z15" i="2" s="1"/>
  <c r="AH26" i="2"/>
  <c r="AH19" i="2"/>
  <c r="AN19" i="2"/>
  <c r="AO19" i="2" s="1"/>
  <c r="AH10" i="2"/>
  <c r="AN24" i="2"/>
  <c r="AO24" i="2" s="1"/>
  <c r="BB30" i="2"/>
  <c r="BC30" i="2" s="1"/>
  <c r="BA29" i="2"/>
  <c r="BA18" i="2"/>
  <c r="BB15" i="2"/>
  <c r="BC15" i="2" s="1"/>
  <c r="BB12" i="2"/>
  <c r="BC12" i="2" s="1"/>
  <c r="BB9" i="2"/>
  <c r="BC9" i="2" s="1"/>
  <c r="R28" i="2"/>
  <c r="S28" i="2" s="1"/>
  <c r="R23" i="2"/>
  <c r="S23" i="2" s="1"/>
  <c r="Q21" i="2"/>
  <c r="R12" i="2"/>
  <c r="S12" i="2" s="1"/>
  <c r="X25" i="2"/>
  <c r="Y20" i="2"/>
  <c r="Z20" i="2" s="1"/>
  <c r="X18" i="2"/>
  <c r="X9" i="2"/>
  <c r="AF28" i="2"/>
  <c r="AG28" i="2" s="1"/>
  <c r="AF23" i="2"/>
  <c r="AG23" i="2" s="1"/>
  <c r="AE21" i="2"/>
  <c r="AF12" i="2"/>
  <c r="AG12" i="2" s="1"/>
  <c r="AM25" i="2"/>
  <c r="AN20" i="2"/>
  <c r="AO20" i="2" s="1"/>
  <c r="AM18" i="2"/>
  <c r="AM9" i="2"/>
  <c r="AT30" i="2"/>
  <c r="AT21" i="2"/>
  <c r="AU16" i="2"/>
  <c r="AV16" i="2" s="1"/>
  <c r="AT14" i="2"/>
  <c r="BB24" i="2"/>
  <c r="BC24" i="2" s="1"/>
  <c r="BB19" i="2"/>
  <c r="BC19" i="2" s="1"/>
  <c r="BA17" i="2"/>
  <c r="BB8" i="2"/>
  <c r="BC8" i="2" s="1"/>
  <c r="BI31" i="2"/>
  <c r="BJ31" i="2" s="1"/>
  <c r="BH31" i="2"/>
  <c r="BH29" i="2"/>
  <c r="BI29" i="2"/>
  <c r="BJ29" i="2" s="1"/>
  <c r="BI27" i="2"/>
  <c r="BJ27" i="2" s="1"/>
  <c r="BH27" i="2"/>
  <c r="BH25" i="2"/>
  <c r="BI25" i="2"/>
  <c r="BJ25" i="2" s="1"/>
  <c r="BI23" i="2"/>
  <c r="BJ23" i="2" s="1"/>
  <c r="BH23" i="2"/>
  <c r="BI21" i="2"/>
  <c r="BJ21" i="2" s="1"/>
  <c r="BH21" i="2"/>
  <c r="BI19" i="2"/>
  <c r="BJ19" i="2" s="1"/>
  <c r="BH19" i="2"/>
  <c r="BI17" i="2"/>
  <c r="BJ17" i="2" s="1"/>
  <c r="BH17" i="2"/>
  <c r="BI15" i="2"/>
  <c r="BJ15" i="2" s="1"/>
  <c r="BH15" i="2"/>
  <c r="BI13" i="2"/>
  <c r="BJ13" i="2" s="1"/>
  <c r="BH13" i="2"/>
  <c r="BI11" i="2"/>
  <c r="BJ11" i="2" s="1"/>
  <c r="BH11" i="2"/>
  <c r="R20" i="2"/>
  <c r="S20" i="2" s="1"/>
  <c r="R15" i="2"/>
  <c r="S15" i="2" s="1"/>
  <c r="Q13" i="2"/>
  <c r="Y28" i="2"/>
  <c r="Z28" i="2" s="1"/>
  <c r="X26" i="2"/>
  <c r="X17" i="2"/>
  <c r="Y12" i="2"/>
  <c r="Z12" i="2" s="1"/>
  <c r="X10" i="2"/>
  <c r="AF31" i="2"/>
  <c r="AG31" i="2" s="1"/>
  <c r="AE29" i="2"/>
  <c r="AF20" i="2"/>
  <c r="AG20" i="2" s="1"/>
  <c r="AF15" i="2"/>
  <c r="AG15" i="2" s="1"/>
  <c r="AE13" i="2"/>
  <c r="AN28" i="2"/>
  <c r="AO28" i="2" s="1"/>
  <c r="AM26" i="2"/>
  <c r="AM17" i="2"/>
  <c r="AN12" i="2"/>
  <c r="AO12" i="2" s="1"/>
  <c r="AM10" i="2"/>
  <c r="AT29" i="2"/>
  <c r="AU24" i="2"/>
  <c r="AV24" i="2" s="1"/>
  <c r="AT22" i="2"/>
  <c r="AT13" i="2"/>
  <c r="AU8" i="2"/>
  <c r="AV8" i="2" s="1"/>
  <c r="BB27" i="2"/>
  <c r="BC27" i="2" s="1"/>
  <c r="BA25" i="2"/>
  <c r="BB16" i="2"/>
  <c r="BC16" i="2" s="1"/>
  <c r="BB11" i="2"/>
  <c r="BC11" i="2" s="1"/>
  <c r="BA9" i="2"/>
  <c r="BH30" i="2"/>
  <c r="BI30" i="2"/>
  <c r="BJ30" i="2" s="1"/>
  <c r="BH28" i="2"/>
  <c r="BI28" i="2"/>
  <c r="BJ28" i="2" s="1"/>
  <c r="BH26" i="2"/>
  <c r="BI26" i="2"/>
  <c r="BJ26" i="2" s="1"/>
  <c r="BH24" i="2"/>
  <c r="BI24" i="2"/>
  <c r="BJ24" i="2" s="1"/>
  <c r="BH22" i="2"/>
  <c r="BI22" i="2"/>
  <c r="BJ22" i="2" s="1"/>
  <c r="BH20" i="2"/>
  <c r="BI20" i="2"/>
  <c r="BJ20" i="2" s="1"/>
  <c r="BH18" i="2"/>
  <c r="BI18" i="2"/>
  <c r="BJ18" i="2" s="1"/>
  <c r="BH16" i="2"/>
  <c r="BI16" i="2"/>
  <c r="BJ16" i="2" s="1"/>
  <c r="BH14" i="2"/>
  <c r="BI14" i="2"/>
  <c r="BJ14" i="2" s="1"/>
  <c r="BH12" i="2"/>
  <c r="BI12" i="2"/>
  <c r="BJ12" i="2" s="1"/>
  <c r="BA28" i="2"/>
  <c r="BA24" i="2"/>
  <c r="BA20" i="2"/>
  <c r="BA16" i="2"/>
  <c r="BA12" i="2"/>
  <c r="BA8" i="2"/>
  <c r="AU29" i="2"/>
  <c r="AV29" i="2" s="1"/>
  <c r="AU25" i="2"/>
  <c r="AV25" i="2" s="1"/>
  <c r="AU21" i="2"/>
  <c r="AV21" i="2" s="1"/>
  <c r="AU17" i="2"/>
  <c r="AV17" i="2" s="1"/>
  <c r="AU13" i="2"/>
  <c r="AV13" i="2" s="1"/>
  <c r="AU9" i="2"/>
  <c r="AV9" i="2" s="1"/>
  <c r="AN29" i="2"/>
  <c r="AO29" i="2" s="1"/>
  <c r="AN25" i="2"/>
  <c r="AO25" i="2" s="1"/>
  <c r="AN21" i="2"/>
  <c r="AO21" i="2" s="1"/>
  <c r="AN17" i="2"/>
  <c r="AO17" i="2" s="1"/>
  <c r="AN13" i="2"/>
  <c r="AO13" i="2" s="1"/>
  <c r="AN9" i="2"/>
  <c r="AO9" i="2" s="1"/>
  <c r="AE28" i="2"/>
  <c r="AE24" i="2"/>
  <c r="AE20" i="2"/>
  <c r="AE16" i="2"/>
  <c r="AE12" i="2"/>
  <c r="Y29" i="2"/>
  <c r="Z29" i="2" s="1"/>
  <c r="Y25" i="2"/>
  <c r="Z25" i="2" s="1"/>
  <c r="Y21" i="2"/>
  <c r="Z21" i="2" s="1"/>
  <c r="Y17" i="2"/>
  <c r="Z17" i="2" s="1"/>
  <c r="Y13" i="2"/>
  <c r="Z13" i="2" s="1"/>
  <c r="Y9" i="2"/>
  <c r="Z9" i="2" s="1"/>
  <c r="Q28" i="2"/>
  <c r="Q24" i="2"/>
  <c r="Q20" i="2"/>
  <c r="Q16" i="2"/>
  <c r="Q12" i="2"/>
  <c r="Q8" i="2"/>
  <c r="F8" i="2" l="1"/>
  <c r="G8" i="2"/>
  <c r="H8" i="2" s="1"/>
  <c r="F9" i="2"/>
  <c r="G9" i="2"/>
  <c r="H9" i="2" s="1"/>
  <c r="F10" i="2"/>
  <c r="G10" i="2"/>
  <c r="H10" i="2" s="1"/>
  <c r="F11" i="2"/>
  <c r="G11" i="2"/>
  <c r="H11" i="2" s="1"/>
  <c r="F12" i="2"/>
  <c r="G12" i="2"/>
  <c r="H12" i="2" s="1"/>
  <c r="F13" i="2"/>
  <c r="G13" i="2"/>
  <c r="H13" i="2" s="1"/>
  <c r="F14" i="2"/>
  <c r="G14" i="2"/>
  <c r="H14" i="2" s="1"/>
  <c r="F15" i="2"/>
  <c r="G15" i="2"/>
  <c r="H15" i="2" s="1"/>
  <c r="F16" i="2"/>
  <c r="G16" i="2"/>
  <c r="H16" i="2" s="1"/>
  <c r="F17" i="2"/>
  <c r="G17" i="2"/>
  <c r="H17" i="2" s="1"/>
  <c r="F18" i="2"/>
  <c r="G18" i="2"/>
  <c r="H18" i="2" s="1"/>
  <c r="F19" i="2"/>
  <c r="G19" i="2"/>
  <c r="H19" i="2" s="1"/>
  <c r="F20" i="2"/>
  <c r="G20" i="2"/>
  <c r="H20" i="2" s="1"/>
  <c r="F21" i="2"/>
  <c r="G21" i="2"/>
  <c r="H21" i="2" s="1"/>
  <c r="F22" i="2"/>
  <c r="G22" i="2"/>
  <c r="H22" i="2" s="1"/>
  <c r="F23" i="2"/>
  <c r="G23" i="2"/>
  <c r="H23" i="2" s="1"/>
  <c r="F24" i="2"/>
  <c r="G24" i="2"/>
  <c r="H24" i="2" s="1"/>
  <c r="F25" i="2"/>
  <c r="G25" i="2"/>
  <c r="H25" i="2" s="1"/>
  <c r="F26" i="2"/>
  <c r="G26" i="2"/>
  <c r="H26" i="2" s="1"/>
  <c r="F27" i="2"/>
  <c r="G27" i="2"/>
  <c r="H27" i="2" s="1"/>
  <c r="F28" i="2"/>
  <c r="G28" i="2"/>
  <c r="H28" i="2" s="1"/>
  <c r="F29" i="2"/>
  <c r="G29" i="2"/>
  <c r="H29" i="2" s="1"/>
  <c r="F30" i="2"/>
  <c r="G30" i="2"/>
  <c r="H30" i="2" s="1"/>
  <c r="F31" i="2"/>
  <c r="G31" i="2"/>
  <c r="H31" i="2" s="1"/>
  <c r="F32" i="2"/>
  <c r="G32" i="2"/>
  <c r="H32" i="2" s="1"/>
  <c r="J7" i="2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HN6" i="2"/>
  <c r="HO6" i="2" s="1"/>
  <c r="HM6" i="2"/>
  <c r="HK6" i="2"/>
  <c r="HL6" i="2" s="1"/>
  <c r="HJ6" i="2"/>
  <c r="HH6" i="2"/>
  <c r="JT6" i="2" s="1"/>
  <c r="HG6" i="2"/>
  <c r="HE6" i="2"/>
  <c r="HD6" i="2"/>
  <c r="HB6" i="2"/>
  <c r="HC6" i="2" s="1"/>
  <c r="HA6" i="2"/>
  <c r="GY6" i="2"/>
  <c r="GZ6" i="2" s="1"/>
  <c r="GX6" i="2"/>
  <c r="GV6" i="2"/>
  <c r="GW6" i="2" s="1"/>
  <c r="GU6" i="2"/>
  <c r="FH6" i="2"/>
  <c r="FJ6" i="2" s="1"/>
  <c r="FK6" i="2" s="1"/>
  <c r="FA6" i="2"/>
  <c r="FB6" i="2" s="1"/>
  <c r="EM6" i="2"/>
  <c r="EO6" i="2" s="1"/>
  <c r="EP6" i="2" s="1"/>
  <c r="EF6" i="2"/>
  <c r="DT6" i="2"/>
  <c r="DU6" i="2" s="1"/>
  <c r="DK6" i="2"/>
  <c r="DL6" i="2" s="1"/>
  <c r="DD6" i="2"/>
  <c r="DF6" i="2" s="1"/>
  <c r="DG6" i="2" s="1"/>
  <c r="CX6" i="2"/>
  <c r="CP6" i="2"/>
  <c r="CR6" i="2" s="1"/>
  <c r="CS6" i="2" s="1"/>
  <c r="CI6" i="2"/>
  <c r="CJ6" i="2" s="1"/>
  <c r="BU6" i="2"/>
  <c r="BW6" i="2" s="1"/>
  <c r="BX6" i="2" s="1"/>
  <c r="BI6" i="2"/>
  <c r="BJ6" i="2" s="1"/>
  <c r="AZ6" i="2"/>
  <c r="BB6" i="2" s="1"/>
  <c r="BC6" i="2" s="1"/>
  <c r="AS6" i="2"/>
  <c r="AT6" i="2" s="1"/>
  <c r="AN6" i="2"/>
  <c r="AO6" i="2" s="1"/>
  <c r="AD6" i="2"/>
  <c r="AF6" i="2" s="1"/>
  <c r="AG6" i="2" s="1"/>
  <c r="W6" i="2"/>
  <c r="Y6" i="2" s="1"/>
  <c r="Z6" i="2" s="1"/>
  <c r="P6" i="2"/>
  <c r="R6" i="2" s="1"/>
  <c r="S6" i="2" s="1"/>
  <c r="J6" i="2"/>
  <c r="E6" i="2"/>
  <c r="GA6" i="2" s="1"/>
  <c r="JW6" i="2"/>
  <c r="JO6" i="2"/>
  <c r="JN6" i="2"/>
  <c r="JM6" i="2"/>
  <c r="JL6" i="2"/>
  <c r="JK6" i="2"/>
  <c r="JJ6" i="2"/>
  <c r="JI6" i="2"/>
  <c r="JH6" i="2"/>
  <c r="JG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C6" i="2"/>
  <c r="ID6" i="2" s="1"/>
  <c r="IB6" i="2"/>
  <c r="IA6" i="2"/>
  <c r="HX6" i="2"/>
  <c r="HU6" i="2"/>
  <c r="HR6" i="2"/>
  <c r="GT6" i="2"/>
  <c r="GQ6" i="2"/>
  <c r="GM6" i="2"/>
  <c r="GJ6" i="2"/>
  <c r="GG6" i="2"/>
  <c r="GD6" i="2"/>
  <c r="FZ6" i="2"/>
  <c r="FV6" i="2"/>
  <c r="FT6" i="2"/>
  <c r="FQ6" i="2"/>
  <c r="FR6" i="2" s="1"/>
  <c r="FP6" i="2"/>
  <c r="FN6" i="2"/>
  <c r="FG6" i="2"/>
  <c r="EZ6" i="2"/>
  <c r="EV6" i="2"/>
  <c r="EW6" i="2" s="1"/>
  <c r="EU6" i="2"/>
  <c r="ES6" i="2"/>
  <c r="EL6" i="2"/>
  <c r="EH6" i="2"/>
  <c r="EI6" i="2" s="1"/>
  <c r="EE6" i="2"/>
  <c r="DZ6" i="2"/>
  <c r="DX6" i="2"/>
  <c r="DQ6" i="2"/>
  <c r="DJ6" i="2"/>
  <c r="DC6" i="2"/>
  <c r="CO6" i="2"/>
  <c r="CK6" i="2"/>
  <c r="CL6" i="2" s="1"/>
  <c r="CH6" i="2"/>
  <c r="CD6" i="2"/>
  <c r="CE6" i="2" s="1"/>
  <c r="CA6" i="2"/>
  <c r="BT6" i="2"/>
  <c r="BP6" i="2"/>
  <c r="BQ6" i="2" s="1"/>
  <c r="BM6" i="2"/>
  <c r="BH6" i="2"/>
  <c r="BF6" i="2"/>
  <c r="AY6" i="2"/>
  <c r="AR6" i="2"/>
  <c r="AM6" i="2"/>
  <c r="AK6" i="2"/>
  <c r="AC6" i="2"/>
  <c r="V6" i="2"/>
  <c r="O6" i="2"/>
  <c r="K6" i="2"/>
  <c r="CV6" i="2" s="1"/>
  <c r="H6" i="2"/>
  <c r="II6" i="2" l="1"/>
  <c r="FC6" i="2"/>
  <c r="FD6" i="2" s="1"/>
  <c r="IE6" i="2"/>
  <c r="DM6" i="2"/>
  <c r="DN6" i="2" s="1"/>
  <c r="IF6" i="2"/>
  <c r="IG6" i="2" s="1"/>
  <c r="JQ6" i="2"/>
  <c r="JU6" i="2"/>
  <c r="CQ6" i="2"/>
  <c r="K7" i="2"/>
  <c r="J31" i="2"/>
  <c r="K31" i="2"/>
  <c r="K29" i="2"/>
  <c r="CV29" i="2" s="1"/>
  <c r="J29" i="2"/>
  <c r="J27" i="2"/>
  <c r="K27" i="2"/>
  <c r="J25" i="2"/>
  <c r="K25" i="2"/>
  <c r="CV25" i="2" s="1"/>
  <c r="J23" i="2"/>
  <c r="K23" i="2"/>
  <c r="K21" i="2"/>
  <c r="CV21" i="2" s="1"/>
  <c r="J21" i="2"/>
  <c r="J19" i="2"/>
  <c r="K19" i="2"/>
  <c r="J17" i="2"/>
  <c r="K17" i="2"/>
  <c r="CV17" i="2" s="1"/>
  <c r="J15" i="2"/>
  <c r="K15" i="2"/>
  <c r="J13" i="2"/>
  <c r="K13" i="2"/>
  <c r="CV13" i="2" s="1"/>
  <c r="J11" i="2"/>
  <c r="K11" i="2"/>
  <c r="J9" i="2"/>
  <c r="K9" i="2"/>
  <c r="CV9" i="2" s="1"/>
  <c r="J30" i="2"/>
  <c r="K30" i="2"/>
  <c r="K28" i="2"/>
  <c r="J28" i="2"/>
  <c r="J26" i="2"/>
  <c r="K26" i="2"/>
  <c r="J24" i="2"/>
  <c r="K24" i="2"/>
  <c r="J22" i="2"/>
  <c r="K22" i="2"/>
  <c r="J20" i="2"/>
  <c r="K20" i="2"/>
  <c r="J18" i="2"/>
  <c r="K18" i="2"/>
  <c r="J16" i="2"/>
  <c r="K16" i="2"/>
  <c r="J14" i="2"/>
  <c r="K14" i="2"/>
  <c r="K12" i="2"/>
  <c r="J12" i="2"/>
  <c r="K10" i="2"/>
  <c r="J10" i="2"/>
  <c r="J8" i="2"/>
  <c r="K8" i="2"/>
  <c r="JS6" i="2"/>
  <c r="EN6" i="2"/>
  <c r="AE6" i="2"/>
  <c r="DS6" i="2"/>
  <c r="FW6" i="2"/>
  <c r="JP6" i="2"/>
  <c r="Q6" i="2"/>
  <c r="BV6" i="2"/>
  <c r="FI6" i="2"/>
  <c r="HI6" i="2"/>
  <c r="L6" i="2"/>
  <c r="X6" i="2"/>
  <c r="AU6" i="2"/>
  <c r="AV6" i="2" s="1"/>
  <c r="BA6" i="2"/>
  <c r="CC6" i="2"/>
  <c r="CY6" i="2"/>
  <c r="CZ6" i="2" s="1"/>
  <c r="DE6" i="2"/>
  <c r="EA6" i="2"/>
  <c r="EB6" i="2" s="1"/>
  <c r="EG6" i="2"/>
  <c r="HF6" i="2"/>
  <c r="IH6" i="2"/>
  <c r="JR6" i="2"/>
  <c r="JV6" i="2"/>
  <c r="L21" i="2" l="1"/>
  <c r="L25" i="2"/>
  <c r="L9" i="2"/>
  <c r="L29" i="2"/>
  <c r="L8" i="2"/>
  <c r="CV8" i="2"/>
  <c r="L16" i="2"/>
  <c r="CV16" i="2"/>
  <c r="L20" i="2"/>
  <c r="CV20" i="2"/>
  <c r="L24" i="2"/>
  <c r="CV24" i="2"/>
  <c r="L15" i="2"/>
  <c r="CV15" i="2"/>
  <c r="L17" i="2"/>
  <c r="L31" i="2"/>
  <c r="CV31" i="2"/>
  <c r="L12" i="2"/>
  <c r="CV12" i="2"/>
  <c r="L28" i="2"/>
  <c r="CV28" i="2"/>
  <c r="L13" i="2"/>
  <c r="L19" i="2"/>
  <c r="CV19" i="2"/>
  <c r="L14" i="2"/>
  <c r="CV14" i="2"/>
  <c r="L18" i="2"/>
  <c r="CV18" i="2"/>
  <c r="L22" i="2"/>
  <c r="CV22" i="2"/>
  <c r="L26" i="2"/>
  <c r="CV26" i="2"/>
  <c r="L30" i="2"/>
  <c r="CV30" i="2"/>
  <c r="L23" i="2"/>
  <c r="CV23" i="2"/>
  <c r="L10" i="2"/>
  <c r="CV10" i="2"/>
  <c r="L11" i="2"/>
  <c r="CV11" i="2"/>
  <c r="L27" i="2"/>
  <c r="CV27" i="2"/>
  <c r="E31" i="2"/>
  <c r="JD30" i="2"/>
  <c r="E30" i="2"/>
  <c r="JF29" i="2"/>
  <c r="E29" i="2"/>
  <c r="E28" i="2"/>
  <c r="IT27" i="2"/>
  <c r="E27" i="2"/>
  <c r="E26" i="2"/>
  <c r="E25" i="2"/>
  <c r="E24" i="2"/>
  <c r="IA23" i="2"/>
  <c r="E23" i="2"/>
  <c r="IR22" i="2"/>
  <c r="E22" i="2"/>
  <c r="IA21" i="2"/>
  <c r="E21" i="2"/>
  <c r="E20" i="2"/>
  <c r="E19" i="2"/>
  <c r="JI18" i="2"/>
  <c r="JH18" i="2"/>
  <c r="E18" i="2"/>
  <c r="JC17" i="2"/>
  <c r="IA17" i="2"/>
  <c r="E17" i="2"/>
  <c r="IZ16" i="2"/>
  <c r="IL16" i="2"/>
  <c r="E16" i="2"/>
  <c r="IW15" i="2"/>
  <c r="E15" i="2"/>
  <c r="JB14" i="2"/>
  <c r="E14" i="2"/>
  <c r="IA13" i="2"/>
  <c r="E13" i="2"/>
  <c r="E12" i="2"/>
  <c r="IA11" i="2"/>
  <c r="E11" i="2"/>
  <c r="JB10" i="2"/>
  <c r="IA10" i="2"/>
  <c r="E10" i="2"/>
  <c r="E9" i="2"/>
  <c r="IX8" i="2"/>
  <c r="E8" i="2"/>
  <c r="GS7" i="2"/>
  <c r="GT7" i="2" s="1"/>
  <c r="GR7" i="2"/>
  <c r="GP7" i="2"/>
  <c r="GQ7" i="2" s="1"/>
  <c r="GO7" i="2"/>
  <c r="GL7" i="2"/>
  <c r="GM7" i="2" s="1"/>
  <c r="GK7" i="2"/>
  <c r="GI7" i="2"/>
  <c r="GJ7" i="2" s="1"/>
  <c r="GH7" i="2"/>
  <c r="GF7" i="2"/>
  <c r="GG7" i="2" s="1"/>
  <c r="GE7" i="2"/>
  <c r="GC7" i="2"/>
  <c r="GD7" i="2" s="1"/>
  <c r="GB7" i="2"/>
  <c r="FY7" i="2"/>
  <c r="FZ7" i="2" s="1"/>
  <c r="FX7" i="2"/>
  <c r="FU7" i="2"/>
  <c r="FV7" i="2" s="1"/>
  <c r="FS7" i="2"/>
  <c r="FT7" i="2" s="1"/>
  <c r="FM7" i="2"/>
  <c r="FN7" i="2" s="1"/>
  <c r="FL7" i="2"/>
  <c r="FF7" i="2"/>
  <c r="FG7" i="2" s="1"/>
  <c r="FE7" i="2"/>
  <c r="EY7" i="2"/>
  <c r="EZ7" i="2" s="1"/>
  <c r="EX7" i="2"/>
  <c r="ER7" i="2"/>
  <c r="ES7" i="2" s="1"/>
  <c r="EQ7" i="2"/>
  <c r="EK7" i="2"/>
  <c r="EL7" i="2" s="1"/>
  <c r="EJ7" i="2"/>
  <c r="ED7" i="2"/>
  <c r="EE7" i="2" s="1"/>
  <c r="EC7" i="2"/>
  <c r="DW7" i="2"/>
  <c r="DX7" i="2" s="1"/>
  <c r="DV7" i="2"/>
  <c r="DP7" i="2"/>
  <c r="DQ7" i="2" s="1"/>
  <c r="DO7" i="2"/>
  <c r="DI7" i="2"/>
  <c r="DJ7" i="2" s="1"/>
  <c r="DH7" i="2"/>
  <c r="DB7" i="2"/>
  <c r="DA7" i="2"/>
  <c r="CU7" i="2"/>
  <c r="CV7" i="2" s="1"/>
  <c r="CT7" i="2"/>
  <c r="CG7" i="2"/>
  <c r="CH7" i="2" s="1"/>
  <c r="CF7" i="2"/>
  <c r="BZ7" i="2"/>
  <c r="CA7" i="2" s="1"/>
  <c r="BY7" i="2"/>
  <c r="BS7" i="2"/>
  <c r="BT7" i="2" s="1"/>
  <c r="BR7" i="2"/>
  <c r="BL7" i="2"/>
  <c r="BM7" i="2" s="1"/>
  <c r="BK7" i="2"/>
  <c r="BE7" i="2"/>
  <c r="BF7" i="2" s="1"/>
  <c r="BD7" i="2"/>
  <c r="AX7" i="2"/>
  <c r="AY7" i="2" s="1"/>
  <c r="AW7" i="2"/>
  <c r="AQ7" i="2"/>
  <c r="AR7" i="2" s="1"/>
  <c r="AP7" i="2"/>
  <c r="AJ7" i="2"/>
  <c r="AK7" i="2" s="1"/>
  <c r="AI7" i="2"/>
  <c r="AB7" i="2"/>
  <c r="AC7" i="2" s="1"/>
  <c r="AA7" i="2"/>
  <c r="V7" i="2"/>
  <c r="N7" i="2"/>
  <c r="O7" i="2" s="1"/>
  <c r="M7" i="2"/>
  <c r="G7" i="2"/>
  <c r="E7" i="2"/>
  <c r="CJ29" i="3"/>
  <c r="CI29" i="3"/>
  <c r="CH29" i="3"/>
  <c r="CG29" i="3"/>
  <c r="CF29" i="3"/>
  <c r="CE29" i="3"/>
  <c r="CD29" i="3"/>
  <c r="CC29" i="3"/>
  <c r="CB29" i="3"/>
  <c r="CA29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EF32" i="2" s="1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W32" i="2" s="1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GN58" i="2"/>
  <c r="GN57" i="2"/>
  <c r="GN56" i="2"/>
  <c r="GN55" i="2"/>
  <c r="GN54" i="2"/>
  <c r="GN53" i="2"/>
  <c r="GN52" i="2"/>
  <c r="GN51" i="2"/>
  <c r="GN50" i="2"/>
  <c r="GN49" i="2"/>
  <c r="GN48" i="2"/>
  <c r="GN47" i="2"/>
  <c r="GN46" i="2"/>
  <c r="GN45" i="2"/>
  <c r="GN44" i="2"/>
  <c r="GN43" i="2"/>
  <c r="GN42" i="2"/>
  <c r="GM41" i="2"/>
  <c r="GD41" i="2"/>
  <c r="FZ41" i="2"/>
  <c r="FU41" i="2"/>
  <c r="FG41" i="2"/>
  <c r="EZ41" i="2"/>
  <c r="ES41" i="2"/>
  <c r="EL41" i="2"/>
  <c r="EE41" i="2"/>
  <c r="DX41" i="2"/>
  <c r="DJ41" i="2"/>
  <c r="CV41" i="2"/>
  <c r="CO41" i="2"/>
  <c r="CH41" i="2"/>
  <c r="CA41" i="2"/>
  <c r="BT41" i="2"/>
  <c r="BM41" i="2"/>
  <c r="BF41" i="2"/>
  <c r="AY41" i="2"/>
  <c r="AQ41" i="2"/>
  <c r="AJ41" i="2"/>
  <c r="GM40" i="2"/>
  <c r="GD40" i="2"/>
  <c r="FZ40" i="2"/>
  <c r="FU40" i="2"/>
  <c r="FG40" i="2"/>
  <c r="EZ40" i="2"/>
  <c r="ES40" i="2"/>
  <c r="EL40" i="2"/>
  <c r="EE40" i="2"/>
  <c r="DX40" i="2"/>
  <c r="DJ40" i="2"/>
  <c r="CV40" i="2"/>
  <c r="CO40" i="2"/>
  <c r="CH40" i="2"/>
  <c r="CA40" i="2"/>
  <c r="BT40" i="2"/>
  <c r="BM40" i="2"/>
  <c r="BF40" i="2"/>
  <c r="AY40" i="2"/>
  <c r="AQ40" i="2"/>
  <c r="AJ40" i="2"/>
  <c r="GM39" i="2"/>
  <c r="GD39" i="2"/>
  <c r="FZ39" i="2"/>
  <c r="FU39" i="2"/>
  <c r="FG39" i="2"/>
  <c r="EZ39" i="2"/>
  <c r="ES39" i="2"/>
  <c r="EL39" i="2"/>
  <c r="EE39" i="2"/>
  <c r="DX39" i="2"/>
  <c r="DJ39" i="2"/>
  <c r="CV39" i="2"/>
  <c r="CO39" i="2"/>
  <c r="CH39" i="2"/>
  <c r="CA39" i="2"/>
  <c r="BT39" i="2"/>
  <c r="BM39" i="2"/>
  <c r="BF39" i="2"/>
  <c r="AY39" i="2"/>
  <c r="AQ39" i="2"/>
  <c r="AJ39" i="2"/>
  <c r="GM38" i="2"/>
  <c r="GD38" i="2"/>
  <c r="FZ38" i="2"/>
  <c r="FU38" i="2"/>
  <c r="FG38" i="2"/>
  <c r="EZ38" i="2"/>
  <c r="ES38" i="2"/>
  <c r="EL38" i="2"/>
  <c r="EE38" i="2"/>
  <c r="DX38" i="2"/>
  <c r="DJ38" i="2"/>
  <c r="CV38" i="2"/>
  <c r="CO38" i="2"/>
  <c r="CH38" i="2"/>
  <c r="CA38" i="2"/>
  <c r="BT38" i="2"/>
  <c r="BM38" i="2"/>
  <c r="BF38" i="2"/>
  <c r="AY38" i="2"/>
  <c r="AQ38" i="2"/>
  <c r="AJ38" i="2"/>
  <c r="GM37" i="2"/>
  <c r="GD37" i="2"/>
  <c r="FZ37" i="2"/>
  <c r="FU37" i="2"/>
  <c r="FG37" i="2"/>
  <c r="EZ37" i="2"/>
  <c r="ES37" i="2"/>
  <c r="EL37" i="2"/>
  <c r="EE37" i="2"/>
  <c r="DX37" i="2"/>
  <c r="DJ37" i="2"/>
  <c r="CV37" i="2"/>
  <c r="CO37" i="2"/>
  <c r="CH37" i="2"/>
  <c r="CA37" i="2"/>
  <c r="BT37" i="2"/>
  <c r="BM37" i="2"/>
  <c r="BF37" i="2"/>
  <c r="AY37" i="2"/>
  <c r="AQ37" i="2"/>
  <c r="AJ37" i="2"/>
  <c r="AC37" i="2"/>
  <c r="V37" i="2"/>
  <c r="O37" i="2"/>
  <c r="H37" i="2"/>
  <c r="GM36" i="2"/>
  <c r="GD36" i="2"/>
  <c r="FZ36" i="2"/>
  <c r="FU36" i="2"/>
  <c r="FG36" i="2"/>
  <c r="EZ36" i="2"/>
  <c r="ES36" i="2"/>
  <c r="EL36" i="2"/>
  <c r="EE36" i="2"/>
  <c r="DX36" i="2"/>
  <c r="DJ36" i="2"/>
  <c r="CV36" i="2"/>
  <c r="CO36" i="2"/>
  <c r="CH36" i="2"/>
  <c r="CA36" i="2"/>
  <c r="BT36" i="2"/>
  <c r="BM36" i="2"/>
  <c r="BF36" i="2"/>
  <c r="AY36" i="2"/>
  <c r="AQ36" i="2"/>
  <c r="AJ36" i="2"/>
  <c r="AC36" i="2"/>
  <c r="V36" i="2"/>
  <c r="O36" i="2"/>
  <c r="H36" i="2"/>
  <c r="GM35" i="2"/>
  <c r="GD35" i="2"/>
  <c r="FZ35" i="2"/>
  <c r="FU35" i="2"/>
  <c r="FG35" i="2"/>
  <c r="EZ35" i="2"/>
  <c r="FA35" i="2" s="1"/>
  <c r="ES35" i="2"/>
  <c r="EL35" i="2"/>
  <c r="EE35" i="2"/>
  <c r="DX35" i="2"/>
  <c r="DJ35" i="2"/>
  <c r="CV35" i="2"/>
  <c r="CO35" i="2"/>
  <c r="CH35" i="2"/>
  <c r="CA35" i="2"/>
  <c r="BT35" i="2"/>
  <c r="BM35" i="2"/>
  <c r="BF35" i="2"/>
  <c r="AY35" i="2"/>
  <c r="AQ35" i="2"/>
  <c r="AJ35" i="2"/>
  <c r="AC35" i="2"/>
  <c r="V35" i="2"/>
  <c r="O35" i="2"/>
  <c r="H35" i="2"/>
  <c r="GM34" i="2"/>
  <c r="GD34" i="2"/>
  <c r="FZ34" i="2"/>
  <c r="FU34" i="2"/>
  <c r="FG34" i="2"/>
  <c r="EZ34" i="2"/>
  <c r="ES34" i="2"/>
  <c r="EL34" i="2"/>
  <c r="EE34" i="2"/>
  <c r="DX34" i="2"/>
  <c r="DJ34" i="2"/>
  <c r="CV34" i="2"/>
  <c r="CO34" i="2"/>
  <c r="CH34" i="2"/>
  <c r="CA34" i="2"/>
  <c r="BT34" i="2"/>
  <c r="BM34" i="2"/>
  <c r="BF34" i="2"/>
  <c r="AY34" i="2"/>
  <c r="AQ34" i="2"/>
  <c r="AJ34" i="2"/>
  <c r="AC34" i="2"/>
  <c r="V34" i="2"/>
  <c r="O34" i="2"/>
  <c r="H34" i="2"/>
  <c r="IE32" i="2"/>
  <c r="IC32" i="2"/>
  <c r="ID32" i="2" s="1"/>
  <c r="IB32" i="2"/>
  <c r="IA32" i="2"/>
  <c r="HX32" i="2"/>
  <c r="HU32" i="2"/>
  <c r="IV31" i="2"/>
  <c r="IF31" i="2"/>
  <c r="IG31" i="2" s="1"/>
  <c r="IE31" i="2"/>
  <c r="IB31" i="2"/>
  <c r="HX31" i="2"/>
  <c r="HU31" i="2"/>
  <c r="IC31" i="2"/>
  <c r="ID31" i="2" s="1"/>
  <c r="IV30" i="2"/>
  <c r="IF30" i="2"/>
  <c r="IG30" i="2" s="1"/>
  <c r="IE30" i="2"/>
  <c r="IB30" i="2"/>
  <c r="HX30" i="2"/>
  <c r="HU30" i="2"/>
  <c r="IE29" i="2"/>
  <c r="IB29" i="2"/>
  <c r="HX29" i="2"/>
  <c r="HU29" i="2"/>
  <c r="HR29" i="2"/>
  <c r="IC29" i="2"/>
  <c r="ID29" i="2" s="1"/>
  <c r="JD28" i="2"/>
  <c r="IE28" i="2"/>
  <c r="IB28" i="2"/>
  <c r="HX28" i="2"/>
  <c r="HU28" i="2"/>
  <c r="IE27" i="2"/>
  <c r="IC27" i="2"/>
  <c r="ID27" i="2" s="1"/>
  <c r="IB27" i="2"/>
  <c r="HX27" i="2"/>
  <c r="HU27" i="2"/>
  <c r="JB26" i="2"/>
  <c r="IE26" i="2"/>
  <c r="IB26" i="2"/>
  <c r="HX26" i="2"/>
  <c r="HU26" i="2"/>
  <c r="IF25" i="2"/>
  <c r="IG25" i="2" s="1"/>
  <c r="IE25" i="2"/>
  <c r="IB25" i="2"/>
  <c r="HX25" i="2"/>
  <c r="HU25" i="2"/>
  <c r="IY24" i="2"/>
  <c r="IV24" i="2"/>
  <c r="IE24" i="2"/>
  <c r="IB24" i="2"/>
  <c r="IA24" i="2"/>
  <c r="HX24" i="2"/>
  <c r="HU24" i="2"/>
  <c r="IE23" i="2"/>
  <c r="IC23" i="2"/>
  <c r="ID23" i="2" s="1"/>
  <c r="IB23" i="2"/>
  <c r="HX23" i="2"/>
  <c r="HU23" i="2"/>
  <c r="HR23" i="2"/>
  <c r="IF23" i="2"/>
  <c r="IG23" i="2" s="1"/>
  <c r="IE22" i="2"/>
  <c r="IB22" i="2"/>
  <c r="HX22" i="2"/>
  <c r="HU22" i="2"/>
  <c r="IF21" i="2"/>
  <c r="IG21" i="2" s="1"/>
  <c r="IE21" i="2"/>
  <c r="IB21" i="2"/>
  <c r="HX21" i="2"/>
  <c r="HU21" i="2"/>
  <c r="IC21" i="2"/>
  <c r="ID21" i="2" s="1"/>
  <c r="JD20" i="2"/>
  <c r="IE20" i="2"/>
  <c r="IB20" i="2"/>
  <c r="HX20" i="2"/>
  <c r="HU20" i="2"/>
  <c r="JD19" i="2"/>
  <c r="IE19" i="2"/>
  <c r="IB19" i="2"/>
  <c r="HX19" i="2"/>
  <c r="HU19" i="2"/>
  <c r="IV18" i="2"/>
  <c r="IE18" i="2"/>
  <c r="IB18" i="2"/>
  <c r="HX18" i="2"/>
  <c r="HU18" i="2"/>
  <c r="IV17" i="2"/>
  <c r="IE17" i="2"/>
  <c r="IB17" i="2"/>
  <c r="HX17" i="2"/>
  <c r="HU17" i="2"/>
  <c r="JD16" i="2"/>
  <c r="IF16" i="2"/>
  <c r="IG16" i="2" s="1"/>
  <c r="IE16" i="2"/>
  <c r="IC16" i="2"/>
  <c r="ID16" i="2" s="1"/>
  <c r="IB16" i="2"/>
  <c r="HX16" i="2"/>
  <c r="HU16" i="2"/>
  <c r="HR16" i="2"/>
  <c r="IF15" i="2"/>
  <c r="IG15" i="2" s="1"/>
  <c r="IE15" i="2"/>
  <c r="IC15" i="2"/>
  <c r="ID15" i="2" s="1"/>
  <c r="IB15" i="2"/>
  <c r="HX15" i="2"/>
  <c r="HU15" i="2"/>
  <c r="HR15" i="2"/>
  <c r="IY14" i="2"/>
  <c r="IF14" i="2"/>
  <c r="IG14" i="2" s="1"/>
  <c r="IE14" i="2"/>
  <c r="IB14" i="2"/>
  <c r="HX14" i="2"/>
  <c r="HU14" i="2"/>
  <c r="IC14" i="2"/>
  <c r="ID14" i="2" s="1"/>
  <c r="IY13" i="2"/>
  <c r="IV13" i="2"/>
  <c r="IE13" i="2"/>
  <c r="IB13" i="2"/>
  <c r="HX13" i="2"/>
  <c r="HU13" i="2"/>
  <c r="IC13" i="2"/>
  <c r="ID13" i="2" s="1"/>
  <c r="IV12" i="2"/>
  <c r="IF12" i="2"/>
  <c r="IG12" i="2" s="1"/>
  <c r="IE12" i="2"/>
  <c r="IC12" i="2"/>
  <c r="ID12" i="2" s="1"/>
  <c r="IB12" i="2"/>
  <c r="HX12" i="2"/>
  <c r="HU12" i="2"/>
  <c r="HR12" i="2"/>
  <c r="IV11" i="2"/>
  <c r="IF11" i="2"/>
  <c r="IG11" i="2" s="1"/>
  <c r="IE11" i="2"/>
  <c r="IC11" i="2"/>
  <c r="ID11" i="2" s="1"/>
  <c r="IB11" i="2"/>
  <c r="HX11" i="2"/>
  <c r="HU11" i="2"/>
  <c r="HR11" i="2"/>
  <c r="IV10" i="2"/>
  <c r="IF10" i="2"/>
  <c r="IG10" i="2" s="1"/>
  <c r="IE10" i="2"/>
  <c r="IC10" i="2"/>
  <c r="ID10" i="2" s="1"/>
  <c r="IB10" i="2"/>
  <c r="HX10" i="2"/>
  <c r="HU10" i="2"/>
  <c r="HR10" i="2"/>
  <c r="IF9" i="2"/>
  <c r="IG9" i="2" s="1"/>
  <c r="IE9" i="2"/>
  <c r="IC9" i="2"/>
  <c r="ID9" i="2" s="1"/>
  <c r="IB9" i="2"/>
  <c r="HX9" i="2"/>
  <c r="HU9" i="2"/>
  <c r="HR9" i="2"/>
  <c r="IA9" i="2"/>
  <c r="IE8" i="2"/>
  <c r="IB8" i="2"/>
  <c r="HX8" i="2"/>
  <c r="HU8" i="2"/>
  <c r="HR8" i="2"/>
  <c r="IC8" i="2"/>
  <c r="ID8" i="2" s="1"/>
  <c r="IF7" i="2"/>
  <c r="IG7" i="2" s="1"/>
  <c r="IE7" i="2"/>
  <c r="IC7" i="2"/>
  <c r="ID7" i="2" s="1"/>
  <c r="IB7" i="2"/>
  <c r="HX7" i="2"/>
  <c r="HU7" i="2"/>
  <c r="HR7" i="2"/>
  <c r="CW32" i="2" l="1"/>
  <c r="CY32" i="2" s="1"/>
  <c r="CZ32" i="2" s="1"/>
  <c r="DT7" i="2"/>
  <c r="DU7" i="2" s="1"/>
  <c r="DS7" i="2"/>
  <c r="BO7" i="2"/>
  <c r="BP7" i="2"/>
  <c r="BQ7" i="2" s="1"/>
  <c r="BH7" i="2"/>
  <c r="BI7" i="2"/>
  <c r="BJ7" i="2" s="1"/>
  <c r="BV7" i="2"/>
  <c r="BW7" i="2"/>
  <c r="BX7" i="2" s="1"/>
  <c r="I32" i="2"/>
  <c r="DR32" i="2"/>
  <c r="BN32" i="2"/>
  <c r="CP32" i="2"/>
  <c r="DK35" i="2"/>
  <c r="DK36" i="2"/>
  <c r="DK37" i="2"/>
  <c r="CW34" i="2"/>
  <c r="DE7" i="2"/>
  <c r="DF7" i="2"/>
  <c r="DG7" i="2" s="1"/>
  <c r="FO32" i="2"/>
  <c r="FQ32" i="2" s="1"/>
  <c r="FR32" i="2" s="1"/>
  <c r="EM32" i="2"/>
  <c r="EN32" i="2" s="1"/>
  <c r="BU32" i="2"/>
  <c r="BV32" i="2" s="1"/>
  <c r="Y32" i="2"/>
  <c r="Z32" i="2" s="1"/>
  <c r="X32" i="2"/>
  <c r="FH32" i="2"/>
  <c r="CB32" i="2"/>
  <c r="BG32" i="2"/>
  <c r="AL32" i="2"/>
  <c r="AD32" i="2"/>
  <c r="FW10" i="2"/>
  <c r="GA10" i="2"/>
  <c r="GA14" i="2"/>
  <c r="FW14" i="2"/>
  <c r="FW16" i="2"/>
  <c r="GA16" i="2"/>
  <c r="GA27" i="2"/>
  <c r="FW27" i="2"/>
  <c r="FA32" i="2"/>
  <c r="P32" i="2"/>
  <c r="CI32" i="2"/>
  <c r="CJ32" i="2" s="1"/>
  <c r="DD32" i="2"/>
  <c r="FW7" i="2"/>
  <c r="FW8" i="2"/>
  <c r="GA8" i="2"/>
  <c r="FW12" i="2"/>
  <c r="GA12" i="2"/>
  <c r="GA19" i="2"/>
  <c r="FW19" i="2"/>
  <c r="FW22" i="2"/>
  <c r="GA22" i="2"/>
  <c r="FW24" i="2"/>
  <c r="GA24" i="2"/>
  <c r="FW30" i="2"/>
  <c r="GA30" i="2"/>
  <c r="GA7" i="2"/>
  <c r="FW9" i="2"/>
  <c r="GA9" i="2"/>
  <c r="GA11" i="2"/>
  <c r="FW11" i="2"/>
  <c r="FW17" i="2"/>
  <c r="GA17" i="2"/>
  <c r="FW21" i="2"/>
  <c r="GA21" i="2"/>
  <c r="FW23" i="2"/>
  <c r="GA23" i="2"/>
  <c r="FW26" i="2"/>
  <c r="GA26" i="2"/>
  <c r="FW29" i="2"/>
  <c r="GA29" i="2"/>
  <c r="GA31" i="2"/>
  <c r="FW31" i="2"/>
  <c r="DK32" i="2"/>
  <c r="ET32" i="2"/>
  <c r="DY32" i="2"/>
  <c r="AS32" i="2"/>
  <c r="AZ32" i="2"/>
  <c r="EH32" i="2"/>
  <c r="EI32" i="2" s="1"/>
  <c r="EG32" i="2"/>
  <c r="FW13" i="2"/>
  <c r="GA13" i="2"/>
  <c r="GA15" i="2"/>
  <c r="FW15" i="2"/>
  <c r="GA18" i="2"/>
  <c r="FW18" i="2"/>
  <c r="FW20" i="2"/>
  <c r="GA20" i="2"/>
  <c r="FW25" i="2"/>
  <c r="GA25" i="2"/>
  <c r="FW28" i="2"/>
  <c r="GA28" i="2"/>
  <c r="IA7" i="2"/>
  <c r="H7" i="2"/>
  <c r="DC7" i="2"/>
  <c r="L7" i="2"/>
  <c r="DL7" i="2"/>
  <c r="DM7" i="2"/>
  <c r="DN7" i="2" s="1"/>
  <c r="DZ7" i="2"/>
  <c r="EA7" i="2"/>
  <c r="EB7" i="2" s="1"/>
  <c r="EO7" i="2"/>
  <c r="EP7" i="2" s="1"/>
  <c r="EN7" i="2"/>
  <c r="FB7" i="2"/>
  <c r="FC7" i="2"/>
  <c r="FD7" i="2" s="1"/>
  <c r="FP7" i="2"/>
  <c r="FQ7" i="2"/>
  <c r="FR7" i="2" s="1"/>
  <c r="EG7" i="2"/>
  <c r="EH7" i="2"/>
  <c r="EI7" i="2" s="1"/>
  <c r="EV7" i="2"/>
  <c r="EW7" i="2" s="1"/>
  <c r="EU7" i="2"/>
  <c r="FI7" i="2"/>
  <c r="FJ7" i="2"/>
  <c r="FK7" i="2" s="1"/>
  <c r="Q7" i="2"/>
  <c r="R7" i="2"/>
  <c r="S7" i="2" s="1"/>
  <c r="AE7" i="2"/>
  <c r="AF7" i="2"/>
  <c r="AG7" i="2" s="1"/>
  <c r="AU7" i="2"/>
  <c r="AV7" i="2" s="1"/>
  <c r="AT7" i="2"/>
  <c r="CJ7" i="2"/>
  <c r="CK7" i="2"/>
  <c r="CL7" i="2" s="1"/>
  <c r="X7" i="2"/>
  <c r="Y7" i="2"/>
  <c r="Z7" i="2" s="1"/>
  <c r="AH7" i="2"/>
  <c r="AM7" i="2"/>
  <c r="AN7" i="2"/>
  <c r="AO7" i="2" s="1"/>
  <c r="BA7" i="2"/>
  <c r="BB7" i="2"/>
  <c r="BC7" i="2" s="1"/>
  <c r="CC7" i="2"/>
  <c r="CD7" i="2"/>
  <c r="CE7" i="2" s="1"/>
  <c r="CX7" i="2"/>
  <c r="CY7" i="2"/>
  <c r="CZ7" i="2" s="1"/>
  <c r="EF34" i="2"/>
  <c r="CW35" i="2"/>
  <c r="BU36" i="2"/>
  <c r="AR37" i="2"/>
  <c r="CB39" i="2"/>
  <c r="GN41" i="2"/>
  <c r="ET34" i="2"/>
  <c r="CB36" i="2"/>
  <c r="BG37" i="2"/>
  <c r="ET39" i="2"/>
  <c r="AZ34" i="2"/>
  <c r="W35" i="2"/>
  <c r="GE35" i="2"/>
  <c r="FH36" i="2"/>
  <c r="EF37" i="2"/>
  <c r="CP38" i="2"/>
  <c r="EM40" i="2"/>
  <c r="BG34" i="2"/>
  <c r="AD35" i="2"/>
  <c r="I36" i="2"/>
  <c r="FV36" i="2"/>
  <c r="EM37" i="2"/>
  <c r="DK38" i="2"/>
  <c r="JB12" i="2"/>
  <c r="IA19" i="2"/>
  <c r="IM22" i="2"/>
  <c r="JM7" i="2"/>
  <c r="JH9" i="2"/>
  <c r="IO10" i="2"/>
  <c r="JB11" i="2"/>
  <c r="IW12" i="2"/>
  <c r="JI13" i="2"/>
  <c r="IL8" i="2"/>
  <c r="JF8" i="2"/>
  <c r="JC9" i="2"/>
  <c r="IJ10" i="2"/>
  <c r="IR10" i="2"/>
  <c r="IM11" i="2"/>
  <c r="IQ11" i="2"/>
  <c r="IW11" i="2"/>
  <c r="IT16" i="2"/>
  <c r="IX16" i="2"/>
  <c r="JB16" i="2"/>
  <c r="JO18" i="2"/>
  <c r="IL20" i="2"/>
  <c r="JB20" i="2"/>
  <c r="JO22" i="2"/>
  <c r="IQ32" i="2"/>
  <c r="IU23" i="2"/>
  <c r="JM10" i="2"/>
  <c r="JD14" i="2"/>
  <c r="IZ7" i="2"/>
  <c r="JL7" i="2"/>
  <c r="JM9" i="2"/>
  <c r="IQ10" i="2"/>
  <c r="JE10" i="2"/>
  <c r="JD11" i="2"/>
  <c r="IO12" i="2"/>
  <c r="JD13" i="2"/>
  <c r="JH13" i="2"/>
  <c r="JJ13" i="2"/>
  <c r="IS14" i="2"/>
  <c r="IR15" i="2"/>
  <c r="IK16" i="2"/>
  <c r="IO16" i="2"/>
  <c r="IW16" i="2"/>
  <c r="JI17" i="2"/>
  <c r="IU18" i="2"/>
  <c r="IK22" i="2"/>
  <c r="JD22" i="2"/>
  <c r="JM23" i="2"/>
  <c r="IM24" i="2"/>
  <c r="JC24" i="2"/>
  <c r="JA26" i="2"/>
  <c r="IN27" i="2"/>
  <c r="IR27" i="2"/>
  <c r="JD27" i="2"/>
  <c r="JN27" i="2"/>
  <c r="IV29" i="2"/>
  <c r="IX32" i="2"/>
  <c r="JE7" i="2"/>
  <c r="IX10" i="2"/>
  <c r="IN12" i="2"/>
  <c r="JM15" i="2"/>
  <c r="IQ22" i="2"/>
  <c r="IR23" i="2"/>
  <c r="JO27" i="2"/>
  <c r="IU28" i="2"/>
  <c r="JD31" i="2"/>
  <c r="JM12" i="2"/>
  <c r="IX7" i="2"/>
  <c r="JA7" i="2"/>
  <c r="JO8" i="2"/>
  <c r="JE11" i="2"/>
  <c r="IP12" i="2"/>
  <c r="JL12" i="2"/>
  <c r="JL14" i="2"/>
  <c r="JN14" i="2"/>
  <c r="IO15" i="2"/>
  <c r="JE19" i="2"/>
  <c r="IX20" i="2"/>
  <c r="JN20" i="2"/>
  <c r="IW21" i="2"/>
  <c r="JF22" i="2"/>
  <c r="IQ23" i="2"/>
  <c r="IY23" i="2"/>
  <c r="JC23" i="2"/>
  <c r="JE27" i="2"/>
  <c r="JH28" i="2"/>
  <c r="JJ28" i="2"/>
  <c r="IL30" i="2"/>
  <c r="IP31" i="2"/>
  <c r="IU17" i="2"/>
  <c r="IY18" i="2"/>
  <c r="IL19" i="2"/>
  <c r="IN29" i="2"/>
  <c r="IW9" i="2"/>
  <c r="JA9" i="2"/>
  <c r="IZ10" i="2"/>
  <c r="JM14" i="2"/>
  <c r="IW17" i="2"/>
  <c r="IM21" i="2"/>
  <c r="JN22" i="2"/>
  <c r="IU25" i="2"/>
  <c r="IP7" i="2"/>
  <c r="IK10" i="2"/>
  <c r="FH41" i="2"/>
  <c r="CP41" i="2"/>
  <c r="AK41" i="2"/>
  <c r="FV40" i="2"/>
  <c r="CW40" i="2"/>
  <c r="AR40" i="2"/>
  <c r="GA39" i="2"/>
  <c r="DK39" i="2"/>
  <c r="AZ39" i="2"/>
  <c r="GE38" i="2"/>
  <c r="DY38" i="2"/>
  <c r="CB38" i="2"/>
  <c r="AK38" i="2"/>
  <c r="GN37" i="2"/>
  <c r="FA37" i="2"/>
  <c r="CW37" i="2"/>
  <c r="BN37" i="2"/>
  <c r="AD37" i="2"/>
  <c r="GA36" i="2"/>
  <c r="EM36" i="2"/>
  <c r="CP36" i="2"/>
  <c r="AZ36" i="2"/>
  <c r="P36" i="2"/>
  <c r="FV35" i="2"/>
  <c r="DY35" i="2"/>
  <c r="CB35" i="2"/>
  <c r="AR35" i="2"/>
  <c r="GN34" i="2"/>
  <c r="FA34" i="2"/>
  <c r="DK34" i="2"/>
  <c r="BN34" i="2"/>
  <c r="AD34" i="2"/>
  <c r="EM41" i="2"/>
  <c r="BU41" i="2"/>
  <c r="ET40" i="2"/>
  <c r="CB40" i="2"/>
  <c r="FA39" i="2"/>
  <c r="CI39" i="2"/>
  <c r="FH38" i="2"/>
  <c r="I34" i="2"/>
  <c r="CI34" i="2"/>
  <c r="GA34" i="2"/>
  <c r="BG35" i="2"/>
  <c r="ET35" i="2"/>
  <c r="AK36" i="2"/>
  <c r="I37" i="2"/>
  <c r="CI37" i="2"/>
  <c r="FV37" i="2"/>
  <c r="BG38" i="2"/>
  <c r="FA38" i="2"/>
  <c r="BN41" i="2"/>
  <c r="W34" i="2"/>
  <c r="CP34" i="2"/>
  <c r="GE34" i="2"/>
  <c r="BU35" i="2"/>
  <c r="AR36" i="2"/>
  <c r="EF36" i="2"/>
  <c r="P37" i="2"/>
  <c r="CP37" i="2"/>
  <c r="GE37" i="2"/>
  <c r="BN38" i="2"/>
  <c r="BU40" i="2"/>
  <c r="EF41" i="2"/>
  <c r="GE41" i="2"/>
  <c r="FA41" i="2"/>
  <c r="DY41" i="2"/>
  <c r="CI41" i="2"/>
  <c r="BG41" i="2"/>
  <c r="GN40" i="2"/>
  <c r="FH40" i="2"/>
  <c r="EF40" i="2"/>
  <c r="CP40" i="2"/>
  <c r="BN40" i="2"/>
  <c r="AK40" i="2"/>
  <c r="FV39" i="2"/>
  <c r="EM39" i="2"/>
  <c r="CW39" i="2"/>
  <c r="BU39" i="2"/>
  <c r="AR39" i="2"/>
  <c r="GA38" i="2"/>
  <c r="ET38" i="2"/>
  <c r="GA41" i="2"/>
  <c r="ET41" i="2"/>
  <c r="DK41" i="2"/>
  <c r="CB41" i="2"/>
  <c r="AZ41" i="2"/>
  <c r="GE40" i="2"/>
  <c r="FA40" i="2"/>
  <c r="DY40" i="2"/>
  <c r="CI40" i="2"/>
  <c r="BG40" i="2"/>
  <c r="GN39" i="2"/>
  <c r="FH39" i="2"/>
  <c r="EF39" i="2"/>
  <c r="CP39" i="2"/>
  <c r="BN39" i="2"/>
  <c r="AK39" i="2"/>
  <c r="FV38" i="2"/>
  <c r="EM38" i="2"/>
  <c r="CW38" i="2"/>
  <c r="BU38" i="2"/>
  <c r="AR38" i="2"/>
  <c r="GA37" i="2"/>
  <c r="ET37" i="2"/>
  <c r="CB37" i="2"/>
  <c r="AZ37" i="2"/>
  <c r="W37" i="2"/>
  <c r="GE36" i="2"/>
  <c r="FA36" i="2"/>
  <c r="DY36" i="2"/>
  <c r="CI36" i="2"/>
  <c r="BG36" i="2"/>
  <c r="AD36" i="2"/>
  <c r="GN35" i="2"/>
  <c r="FH35" i="2"/>
  <c r="EF35" i="2"/>
  <c r="CP35" i="2"/>
  <c r="BN35" i="2"/>
  <c r="AK35" i="2"/>
  <c r="I35" i="2"/>
  <c r="FV34" i="2"/>
  <c r="EM34" i="2"/>
  <c r="BU34" i="2"/>
  <c r="AR34" i="2"/>
  <c r="P34" i="2"/>
  <c r="AK34" i="2"/>
  <c r="CB34" i="2"/>
  <c r="DY34" i="2"/>
  <c r="FH34" i="2"/>
  <c r="P35" i="2"/>
  <c r="AZ35" i="2"/>
  <c r="CI35" i="2"/>
  <c r="EM35" i="2"/>
  <c r="GA35" i="2"/>
  <c r="W36" i="2"/>
  <c r="BN36" i="2"/>
  <c r="CW36" i="2"/>
  <c r="ET36" i="2"/>
  <c r="GN36" i="2"/>
  <c r="AK37" i="2"/>
  <c r="BU37" i="2"/>
  <c r="DY37" i="2"/>
  <c r="FH37" i="2"/>
  <c r="AZ38" i="2"/>
  <c r="CI38" i="2"/>
  <c r="EF38" i="2"/>
  <c r="GN38" i="2"/>
  <c r="BG39" i="2"/>
  <c r="DY39" i="2"/>
  <c r="GE39" i="2"/>
  <c r="AZ40" i="2"/>
  <c r="DK40" i="2"/>
  <c r="GA40" i="2"/>
  <c r="AR41" i="2"/>
  <c r="CW41" i="2"/>
  <c r="FV41" i="2"/>
  <c r="IP9" i="2"/>
  <c r="IX9" i="2"/>
  <c r="JF9" i="2"/>
  <c r="IR13" i="2"/>
  <c r="JN13" i="2"/>
  <c r="JL21" i="2"/>
  <c r="IS22" i="2"/>
  <c r="JI23" i="2"/>
  <c r="JO23" i="2"/>
  <c r="IA27" i="2"/>
  <c r="JJ27" i="2"/>
  <c r="JN29" i="2"/>
  <c r="IJ31" i="2"/>
  <c r="IR8" i="2"/>
  <c r="IT9" i="2"/>
  <c r="IZ13" i="2"/>
  <c r="JH15" i="2"/>
  <c r="IU29" i="2"/>
  <c r="JM32" i="2"/>
  <c r="IV8" i="2"/>
  <c r="JD8" i="2"/>
  <c r="JJ8" i="2"/>
  <c r="IK9" i="2"/>
  <c r="JE9" i="2"/>
  <c r="IK11" i="2"/>
  <c r="IJ12" i="2"/>
  <c r="IX12" i="2"/>
  <c r="JF12" i="2"/>
  <c r="JK12" i="2"/>
  <c r="IW13" i="2"/>
  <c r="JC13" i="2"/>
  <c r="JO14" i="2"/>
  <c r="JF16" i="2"/>
  <c r="JE17" i="2"/>
  <c r="IT18" i="2"/>
  <c r="JD18" i="2"/>
  <c r="JO20" i="2"/>
  <c r="JH22" i="2"/>
  <c r="IN23" i="2"/>
  <c r="JI24" i="2"/>
  <c r="IM25" i="2"/>
  <c r="IQ25" i="2"/>
  <c r="IY25" i="2"/>
  <c r="JG25" i="2"/>
  <c r="IA26" i="2"/>
  <c r="IZ26" i="2"/>
  <c r="IY27" i="2"/>
  <c r="IA28" i="2"/>
  <c r="JI28" i="2"/>
  <c r="IA30" i="2"/>
  <c r="JO30" i="2"/>
  <c r="IL31" i="2"/>
  <c r="IM31" i="2"/>
  <c r="IK32" i="2"/>
  <c r="JA32" i="2"/>
  <c r="IX13" i="2"/>
  <c r="JL13" i="2"/>
  <c r="JF14" i="2"/>
  <c r="JG14" i="2"/>
  <c r="JO17" i="2"/>
  <c r="JF21" i="2"/>
  <c r="JA22" i="2"/>
  <c r="IA25" i="2"/>
  <c r="IJ25" i="2"/>
  <c r="JF7" i="2"/>
  <c r="IM8" i="2"/>
  <c r="JL9" i="2"/>
  <c r="IJ11" i="2"/>
  <c r="IR11" i="2"/>
  <c r="JC16" i="2"/>
  <c r="JD17" i="2"/>
  <c r="JC18" i="2"/>
  <c r="JF19" i="2"/>
  <c r="JD23" i="2"/>
  <c r="JH23" i="2"/>
  <c r="IQ26" i="2"/>
  <c r="IA12" i="2"/>
  <c r="IR12" i="2"/>
  <c r="JE12" i="2"/>
  <c r="JB15" i="2"/>
  <c r="IA22" i="2"/>
  <c r="JK30" i="2"/>
  <c r="IW32" i="2"/>
  <c r="IU12" i="2"/>
  <c r="IL17" i="2"/>
  <c r="JH17" i="2"/>
  <c r="IK18" i="2"/>
  <c r="JO19" i="2"/>
  <c r="IP21" i="2"/>
  <c r="JB21" i="2"/>
  <c r="JG22" i="2"/>
  <c r="IK24" i="2"/>
  <c r="IS24" i="2"/>
  <c r="JA24" i="2"/>
  <c r="JO29" i="2"/>
  <c r="JF11" i="2"/>
  <c r="IS15" i="2"/>
  <c r="JE16" i="2"/>
  <c r="IP23" i="2"/>
  <c r="JI27" i="2"/>
  <c r="IN30" i="2"/>
  <c r="JB7" i="2"/>
  <c r="IU8" i="2"/>
  <c r="JC8" i="2"/>
  <c r="JN8" i="2"/>
  <c r="IY9" i="2"/>
  <c r="IL10" i="2"/>
  <c r="IM10" i="2"/>
  <c r="JA10" i="2"/>
  <c r="IN11" i="2"/>
  <c r="JI11" i="2"/>
  <c r="JJ12" i="2"/>
  <c r="JM13" i="2"/>
  <c r="JO13" i="2"/>
  <c r="JB13" i="2"/>
  <c r="IO14" i="2"/>
  <c r="IX14" i="2"/>
  <c r="JC14" i="2"/>
  <c r="JE15" i="2"/>
  <c r="IR16" i="2"/>
  <c r="IY16" i="2"/>
  <c r="JA16" i="2"/>
  <c r="IV16" i="2"/>
  <c r="IK17" i="2"/>
  <c r="IA18" i="2"/>
  <c r="IL18" i="2"/>
  <c r="JE18" i="2"/>
  <c r="IK19" i="2"/>
  <c r="IT19" i="2"/>
  <c r="IA20" i="2"/>
  <c r="IY22" i="2"/>
  <c r="JD24" i="2"/>
  <c r="JH24" i="2"/>
  <c r="JJ7" i="2"/>
  <c r="IN8" i="2"/>
  <c r="IM17" i="2"/>
  <c r="IK20" i="2"/>
  <c r="IT7" i="2"/>
  <c r="IJ7" i="2"/>
  <c r="IS9" i="2"/>
  <c r="IN10" i="2"/>
  <c r="JG13" i="2"/>
  <c r="IW14" i="2"/>
  <c r="IM14" i="2"/>
  <c r="JJ16" i="2"/>
  <c r="JL16" i="2"/>
  <c r="JA17" i="2"/>
  <c r="JE20" i="2"/>
  <c r="JH21" i="2"/>
  <c r="JF23" i="2"/>
  <c r="JE26" i="2"/>
  <c r="JI26" i="2"/>
  <c r="JO26" i="2"/>
  <c r="IU32" i="2"/>
  <c r="JG32" i="2"/>
  <c r="IS11" i="2"/>
  <c r="IL13" i="2"/>
  <c r="IK21" i="2"/>
  <c r="JC31" i="2"/>
  <c r="JK7" i="2"/>
  <c r="IV7" i="2"/>
  <c r="JI8" i="2"/>
  <c r="IU9" i="2"/>
  <c r="IU10" i="2"/>
  <c r="IW10" i="2"/>
  <c r="JH10" i="2"/>
  <c r="IO11" i="2"/>
  <c r="JM11" i="2"/>
  <c r="IK7" i="2"/>
  <c r="IL7" i="2"/>
  <c r="IM7" i="2"/>
  <c r="IN7" i="2"/>
  <c r="IS7" i="2"/>
  <c r="JD7" i="2"/>
  <c r="IO7" i="2"/>
  <c r="IQ8" i="2"/>
  <c r="JK8" i="2"/>
  <c r="IQ9" i="2"/>
  <c r="JB9" i="2"/>
  <c r="JG9" i="2"/>
  <c r="IO9" i="2"/>
  <c r="JI9" i="2"/>
  <c r="IS10" i="2"/>
  <c r="JD10" i="2"/>
  <c r="JF10" i="2"/>
  <c r="JI10" i="2"/>
  <c r="IL11" i="2"/>
  <c r="IU11" i="2"/>
  <c r="IX11" i="2"/>
  <c r="JH11" i="2"/>
  <c r="JA11" i="2"/>
  <c r="IL12" i="2"/>
  <c r="IQ12" i="2"/>
  <c r="IM13" i="2"/>
  <c r="JF13" i="2"/>
  <c r="JJ14" i="2"/>
  <c r="JN15" i="2"/>
  <c r="IP16" i="2"/>
  <c r="IQ16" i="2"/>
  <c r="IU16" i="2"/>
  <c r="IQ17" i="2"/>
  <c r="JA18" i="2"/>
  <c r="IW18" i="2"/>
  <c r="JB19" i="2"/>
  <c r="IX23" i="2"/>
  <c r="JN19" i="2"/>
  <c r="IT20" i="2"/>
  <c r="JF20" i="2"/>
  <c r="JI20" i="2"/>
  <c r="IL21" i="2"/>
  <c r="JO21" i="2"/>
  <c r="IO22" i="2"/>
  <c r="IW22" i="2"/>
  <c r="JE22" i="2"/>
  <c r="JB22" i="2"/>
  <c r="IS23" i="2"/>
  <c r="IZ23" i="2"/>
  <c r="JA23" i="2"/>
  <c r="JL24" i="2"/>
  <c r="IK28" i="2"/>
  <c r="IL29" i="2"/>
  <c r="JH29" i="2"/>
  <c r="IQ30" i="2"/>
  <c r="IS32" i="2"/>
  <c r="JI32" i="2"/>
  <c r="IT23" i="2"/>
  <c r="JB23" i="2"/>
  <c r="JI25" i="2"/>
  <c r="IR26" i="2"/>
  <c r="JJ29" i="2"/>
  <c r="IY30" i="2"/>
  <c r="IX31" i="2"/>
  <c r="IY31" i="2"/>
  <c r="JF31" i="2"/>
  <c r="JL31" i="2"/>
  <c r="IM32" i="2"/>
  <c r="JK13" i="2"/>
  <c r="IZ14" i="2"/>
  <c r="JI14" i="2"/>
  <c r="JK14" i="2"/>
  <c r="IK15" i="2"/>
  <c r="JA15" i="2"/>
  <c r="JK16" i="2"/>
  <c r="JM16" i="2"/>
  <c r="JB17" i="2"/>
  <c r="JF17" i="2"/>
  <c r="JN17" i="2"/>
  <c r="IZ18" i="2"/>
  <c r="JF18" i="2"/>
  <c r="JN18" i="2"/>
  <c r="IX19" i="2"/>
  <c r="JH19" i="2"/>
  <c r="JA20" i="2"/>
  <c r="IJ21" i="2"/>
  <c r="IX21" i="2"/>
  <c r="IN22" i="2"/>
  <c r="IP22" i="2"/>
  <c r="IZ22" i="2"/>
  <c r="IL22" i="2"/>
  <c r="IU22" i="2"/>
  <c r="IM23" i="2"/>
  <c r="IO23" i="2"/>
  <c r="IW23" i="2"/>
  <c r="IO24" i="2"/>
  <c r="IK25" i="2"/>
  <c r="JL25" i="2"/>
  <c r="IV26" i="2"/>
  <c r="IP30" i="2"/>
  <c r="JG30" i="2"/>
  <c r="JG31" i="2"/>
  <c r="JE23" i="2"/>
  <c r="JG23" i="2"/>
  <c r="JJ23" i="2"/>
  <c r="IZ24" i="2"/>
  <c r="JJ24" i="2"/>
  <c r="JO24" i="2"/>
  <c r="JH25" i="2"/>
  <c r="IM26" i="2"/>
  <c r="IN26" i="2"/>
  <c r="IW26" i="2"/>
  <c r="IY26" i="2"/>
  <c r="JK26" i="2"/>
  <c r="JN26" i="2"/>
  <c r="IV27" i="2"/>
  <c r="JC28" i="2"/>
  <c r="IJ29" i="2"/>
  <c r="IK29" i="2"/>
  <c r="JK29" i="2"/>
  <c r="IR29" i="2"/>
  <c r="IR30" i="2"/>
  <c r="JN30" i="2"/>
  <c r="IT31" i="2"/>
  <c r="JK31" i="2"/>
  <c r="JO31" i="2"/>
  <c r="IO32" i="2"/>
  <c r="JH32" i="2"/>
  <c r="JH20" i="2"/>
  <c r="IT21" i="2"/>
  <c r="JN21" i="2"/>
  <c r="IV22" i="2"/>
  <c r="JM22" i="2"/>
  <c r="JK23" i="2"/>
  <c r="IJ24" i="2"/>
  <c r="JE24" i="2"/>
  <c r="JF24" i="2"/>
  <c r="JG24" i="2"/>
  <c r="IL25" i="2"/>
  <c r="IS26" i="2"/>
  <c r="JC26" i="2"/>
  <c r="JH26" i="2"/>
  <c r="JL26" i="2"/>
  <c r="JM26" i="2"/>
  <c r="IL27" i="2"/>
  <c r="IY28" i="2"/>
  <c r="JO28" i="2"/>
  <c r="JL28" i="2"/>
  <c r="IZ29" i="2"/>
  <c r="IO30" i="2"/>
  <c r="IZ30" i="2"/>
  <c r="IZ27" i="2"/>
  <c r="IJ28" i="2"/>
  <c r="IL28" i="2"/>
  <c r="IS28" i="2"/>
  <c r="JE28" i="2"/>
  <c r="JF28" i="2"/>
  <c r="JG28" i="2"/>
  <c r="JI29" i="2"/>
  <c r="IY29" i="2"/>
  <c r="IS30" i="2"/>
  <c r="IU30" i="2"/>
  <c r="JC30" i="2"/>
  <c r="IK31" i="2"/>
  <c r="JJ31" i="2"/>
  <c r="IA31" i="2"/>
  <c r="JE32" i="2"/>
  <c r="JO32" i="2"/>
  <c r="JK10" i="2"/>
  <c r="IP11" i="2"/>
  <c r="IT11" i="2"/>
  <c r="IK12" i="2"/>
  <c r="IV15" i="2"/>
  <c r="IA16" i="2"/>
  <c r="IX17" i="2"/>
  <c r="JK17" i="2"/>
  <c r="IN18" i="2"/>
  <c r="JK18" i="2"/>
  <c r="IN19" i="2"/>
  <c r="IV19" i="2"/>
  <c r="IY19" i="2"/>
  <c r="IP19" i="2"/>
  <c r="JA19" i="2"/>
  <c r="IR20" i="2"/>
  <c r="IZ20" i="2"/>
  <c r="JC20" i="2"/>
  <c r="IU20" i="2"/>
  <c r="JK20" i="2"/>
  <c r="IN21" i="2"/>
  <c r="IY21" i="2"/>
  <c r="JD21" i="2"/>
  <c r="JK21" i="2"/>
  <c r="IR24" i="2"/>
  <c r="IP24" i="2"/>
  <c r="IX24" i="2"/>
  <c r="IX25" i="2"/>
  <c r="JA25" i="2"/>
  <c r="JF26" i="2"/>
  <c r="IC26" i="2"/>
  <c r="ID26" i="2" s="1"/>
  <c r="HR26" i="2"/>
  <c r="IK26" i="2"/>
  <c r="IU26" i="2"/>
  <c r="IK27" i="2"/>
  <c r="IP27" i="2"/>
  <c r="JA27" i="2"/>
  <c r="JF27" i="2"/>
  <c r="IR28" i="2"/>
  <c r="IT28" i="2"/>
  <c r="JH30" i="2"/>
  <c r="IL32" i="2"/>
  <c r="IO8" i="2"/>
  <c r="IS8" i="2"/>
  <c r="IW8" i="2"/>
  <c r="JA8" i="2"/>
  <c r="JE8" i="2"/>
  <c r="JL8" i="2"/>
  <c r="IT8" i="2"/>
  <c r="IY8" i="2"/>
  <c r="JG8" i="2"/>
  <c r="JK9" i="2"/>
  <c r="IJ9" i="2"/>
  <c r="IR9" i="2"/>
  <c r="IZ9" i="2"/>
  <c r="IP10" i="2"/>
  <c r="IT10" i="2"/>
  <c r="JO11" i="2"/>
  <c r="JL11" i="2"/>
  <c r="JD12" i="2"/>
  <c r="JI12" i="2"/>
  <c r="IZ12" i="2"/>
  <c r="IO13" i="2"/>
  <c r="IP13" i="2"/>
  <c r="HR13" i="2"/>
  <c r="IJ14" i="2"/>
  <c r="IT14" i="2"/>
  <c r="IQ14" i="2"/>
  <c r="IP15" i="2"/>
  <c r="IU15" i="2"/>
  <c r="JC15" i="2"/>
  <c r="JF15" i="2"/>
  <c r="JD15" i="2"/>
  <c r="IN16" i="2"/>
  <c r="IZ17" i="2"/>
  <c r="IF17" i="2"/>
  <c r="IG17" i="2" s="1"/>
  <c r="HR17" i="2"/>
  <c r="IC17" i="2"/>
  <c r="ID17" i="2" s="1"/>
  <c r="IS18" i="2"/>
  <c r="IF18" i="2"/>
  <c r="IG18" i="2" s="1"/>
  <c r="HR18" i="2"/>
  <c r="IC18" i="2"/>
  <c r="ID18" i="2" s="1"/>
  <c r="IS19" i="2"/>
  <c r="IQ19" i="2"/>
  <c r="JJ19" i="2"/>
  <c r="IO20" i="2"/>
  <c r="IF20" i="2"/>
  <c r="IG20" i="2" s="1"/>
  <c r="HR20" i="2"/>
  <c r="IC20" i="2"/>
  <c r="ID20" i="2" s="1"/>
  <c r="IW20" i="2"/>
  <c r="IS21" i="2"/>
  <c r="JI21" i="2"/>
  <c r="JJ21" i="2"/>
  <c r="IQ21" i="2"/>
  <c r="JA21" i="2"/>
  <c r="IJ22" i="2"/>
  <c r="JK22" i="2"/>
  <c r="IK23" i="2"/>
  <c r="IT24" i="2"/>
  <c r="JB25" i="2"/>
  <c r="JO25" i="2"/>
  <c r="JE25" i="2"/>
  <c r="IO26" i="2"/>
  <c r="JD26" i="2"/>
  <c r="IU27" i="2"/>
  <c r="JH27" i="2"/>
  <c r="IM27" i="2"/>
  <c r="IX27" i="2"/>
  <c r="IV28" i="2"/>
  <c r="IX28" i="2"/>
  <c r="JN28" i="2"/>
  <c r="IW29" i="2"/>
  <c r="IX29" i="2"/>
  <c r="IM29" i="2"/>
  <c r="IQ31" i="2"/>
  <c r="IZ31" i="2"/>
  <c r="JB32" i="2"/>
  <c r="IQ7" i="2"/>
  <c r="IU7" i="2"/>
  <c r="IY7" i="2"/>
  <c r="JC7" i="2"/>
  <c r="JG7" i="2"/>
  <c r="IR7" i="2"/>
  <c r="IW7" i="2"/>
  <c r="JH7" i="2"/>
  <c r="IJ8" i="2"/>
  <c r="IP8" i="2"/>
  <c r="JB8" i="2"/>
  <c r="JO10" i="2"/>
  <c r="JL10" i="2"/>
  <c r="IY11" i="2"/>
  <c r="JC11" i="2"/>
  <c r="JG11" i="2"/>
  <c r="JA12" i="2"/>
  <c r="IS13" i="2"/>
  <c r="IU13" i="2"/>
  <c r="IN14" i="2"/>
  <c r="IA14" i="2"/>
  <c r="IR14" i="2"/>
  <c r="JH14" i="2"/>
  <c r="IZ15" i="2"/>
  <c r="JO15" i="2"/>
  <c r="IL15" i="2"/>
  <c r="JH16" i="2"/>
  <c r="IO17" i="2"/>
  <c r="IR18" i="2"/>
  <c r="IP18" i="2"/>
  <c r="IR19" i="2"/>
  <c r="IZ19" i="2"/>
  <c r="JC19" i="2"/>
  <c r="JI19" i="2"/>
  <c r="IU19" i="2"/>
  <c r="JK19" i="2"/>
  <c r="IN20" i="2"/>
  <c r="IV20" i="2"/>
  <c r="IY20" i="2"/>
  <c r="IP20" i="2"/>
  <c r="IU21" i="2"/>
  <c r="IZ21" i="2"/>
  <c r="IR21" i="2"/>
  <c r="JC21" i="2"/>
  <c r="JM21" i="2"/>
  <c r="IF22" i="2"/>
  <c r="IG22" i="2" s="1"/>
  <c r="HR22" i="2"/>
  <c r="IC22" i="2"/>
  <c r="ID22" i="2" s="1"/>
  <c r="IU24" i="2"/>
  <c r="JN24" i="2"/>
  <c r="IN25" i="2"/>
  <c r="IP25" i="2"/>
  <c r="JD25" i="2"/>
  <c r="JF25" i="2"/>
  <c r="JN25" i="2"/>
  <c r="IC25" i="2"/>
  <c r="ID25" i="2" s="1"/>
  <c r="HR25" i="2"/>
  <c r="IV25" i="2"/>
  <c r="IF26" i="2"/>
  <c r="IG26" i="2" s="1"/>
  <c r="IW27" i="2"/>
  <c r="JB27" i="2"/>
  <c r="JM27" i="2"/>
  <c r="IO27" i="2"/>
  <c r="IZ28" i="2"/>
  <c r="JB28" i="2"/>
  <c r="JK28" i="2"/>
  <c r="IO28" i="2"/>
  <c r="IQ29" i="2"/>
  <c r="JE29" i="2"/>
  <c r="IT30" i="2"/>
  <c r="IU31" i="2"/>
  <c r="JN31" i="2"/>
  <c r="IN32" i="2"/>
  <c r="JO7" i="2"/>
  <c r="JI7" i="2"/>
  <c r="JN7" i="2"/>
  <c r="IK8" i="2"/>
  <c r="JH8" i="2"/>
  <c r="JM8" i="2"/>
  <c r="IA8" i="2"/>
  <c r="IF8" i="2"/>
  <c r="IG8" i="2" s="1"/>
  <c r="IM9" i="2"/>
  <c r="JO9" i="2"/>
  <c r="IN9" i="2"/>
  <c r="IV9" i="2"/>
  <c r="JD9" i="2"/>
  <c r="IY10" i="2"/>
  <c r="JC10" i="2"/>
  <c r="JG10" i="2"/>
  <c r="JK11" i="2"/>
  <c r="IZ11" i="2"/>
  <c r="IS12" i="2"/>
  <c r="JN12" i="2"/>
  <c r="IT12" i="2"/>
  <c r="IF13" i="2"/>
  <c r="IG13" i="2" s="1"/>
  <c r="IQ13" i="2"/>
  <c r="IP14" i="2"/>
  <c r="IU14" i="2"/>
  <c r="HR14" i="2"/>
  <c r="IL14" i="2"/>
  <c r="IV14" i="2"/>
  <c r="IA15" i="2"/>
  <c r="IJ15" i="2"/>
  <c r="IQ15" i="2"/>
  <c r="IT15" i="2"/>
  <c r="IY15" i="2"/>
  <c r="JG15" i="2"/>
  <c r="JJ15" i="2"/>
  <c r="JL15" i="2"/>
  <c r="IN15" i="2"/>
  <c r="IX15" i="2"/>
  <c r="JI15" i="2"/>
  <c r="JN16" i="2"/>
  <c r="IJ16" i="2"/>
  <c r="IS17" i="2"/>
  <c r="IT17" i="2"/>
  <c r="IP17" i="2"/>
  <c r="IY17" i="2"/>
  <c r="JJ17" i="2"/>
  <c r="IO18" i="2"/>
  <c r="IQ18" i="2"/>
  <c r="JJ18" i="2"/>
  <c r="IO19" i="2"/>
  <c r="IF19" i="2"/>
  <c r="IG19" i="2" s="1"/>
  <c r="HR19" i="2"/>
  <c r="IC19" i="2"/>
  <c r="ID19" i="2" s="1"/>
  <c r="IW19" i="2"/>
  <c r="IS20" i="2"/>
  <c r="IQ20" i="2"/>
  <c r="JJ20" i="2"/>
  <c r="IO21" i="2"/>
  <c r="JE21" i="2"/>
  <c r="HR21" i="2"/>
  <c r="IV21" i="2"/>
  <c r="JG21" i="2"/>
  <c r="JJ22" i="2"/>
  <c r="JL23" i="2"/>
  <c r="IN24" i="2"/>
  <c r="IW24" i="2"/>
  <c r="JK24" i="2"/>
  <c r="IR25" i="2"/>
  <c r="IS25" i="2"/>
  <c r="IT25" i="2"/>
  <c r="IO25" i="2"/>
  <c r="IZ25" i="2"/>
  <c r="JK25" i="2"/>
  <c r="IL26" i="2"/>
  <c r="IJ26" i="2"/>
  <c r="IQ27" i="2"/>
  <c r="JG27" i="2"/>
  <c r="JL27" i="2"/>
  <c r="IS27" i="2"/>
  <c r="JC27" i="2"/>
  <c r="IN28" i="2"/>
  <c r="IP28" i="2"/>
  <c r="JA28" i="2"/>
  <c r="JA29" i="2"/>
  <c r="JJ30" i="2"/>
  <c r="IR31" i="2"/>
  <c r="JH31" i="2"/>
  <c r="JI31" i="2"/>
  <c r="IR32" i="2"/>
  <c r="IY32" i="2"/>
  <c r="JN32" i="2"/>
  <c r="IL9" i="2"/>
  <c r="JJ9" i="2"/>
  <c r="JN9" i="2"/>
  <c r="JJ10" i="2"/>
  <c r="JN10" i="2"/>
  <c r="JJ11" i="2"/>
  <c r="JN11" i="2"/>
  <c r="IY12" i="2"/>
  <c r="JC12" i="2"/>
  <c r="JG12" i="2"/>
  <c r="JH12" i="2"/>
  <c r="JA13" i="2"/>
  <c r="JE13" i="2"/>
  <c r="IN13" i="2"/>
  <c r="IT13" i="2"/>
  <c r="JA14" i="2"/>
  <c r="JE14" i="2"/>
  <c r="IM15" i="2"/>
  <c r="JK15" i="2"/>
  <c r="IM16" i="2"/>
  <c r="JG16" i="2"/>
  <c r="IJ17" i="2"/>
  <c r="JG17" i="2"/>
  <c r="JM17" i="2"/>
  <c r="IM18" i="2"/>
  <c r="JB18" i="2"/>
  <c r="JG18" i="2"/>
  <c r="JM18" i="2"/>
  <c r="IM19" i="2"/>
  <c r="JG19" i="2"/>
  <c r="JM19" i="2"/>
  <c r="IM20" i="2"/>
  <c r="JG20" i="2"/>
  <c r="JM20" i="2"/>
  <c r="IX22" i="2"/>
  <c r="JC22" i="2"/>
  <c r="JI22" i="2"/>
  <c r="IJ23" i="2"/>
  <c r="IF24" i="2"/>
  <c r="IG24" i="2" s="1"/>
  <c r="HR24" i="2"/>
  <c r="IL24" i="2"/>
  <c r="IQ24" i="2"/>
  <c r="JJ25" i="2"/>
  <c r="IW25" i="2"/>
  <c r="JC25" i="2"/>
  <c r="JM25" i="2"/>
  <c r="JJ26" i="2"/>
  <c r="JG26" i="2"/>
  <c r="JK27" i="2"/>
  <c r="IF28" i="2"/>
  <c r="IG28" i="2" s="1"/>
  <c r="HR28" i="2"/>
  <c r="IQ28" i="2"/>
  <c r="IW28" i="2"/>
  <c r="IO29" i="2"/>
  <c r="JL29" i="2"/>
  <c r="IW30" i="2"/>
  <c r="IX30" i="2"/>
  <c r="JA30" i="2"/>
  <c r="JE30" i="2"/>
  <c r="JF30" i="2"/>
  <c r="JI30" i="2"/>
  <c r="JL30" i="2"/>
  <c r="JB30" i="2"/>
  <c r="IN31" i="2"/>
  <c r="JM31" i="2"/>
  <c r="JB31" i="2"/>
  <c r="IJ32" i="2"/>
  <c r="IP32" i="2"/>
  <c r="JD32" i="2"/>
  <c r="JK32" i="2"/>
  <c r="IM12" i="2"/>
  <c r="JO12" i="2"/>
  <c r="IK13" i="2"/>
  <c r="IJ13" i="2"/>
  <c r="IK14" i="2"/>
  <c r="JO16" i="2"/>
  <c r="IS16" i="2"/>
  <c r="JI16" i="2"/>
  <c r="IN17" i="2"/>
  <c r="IR17" i="2"/>
  <c r="JL17" i="2"/>
  <c r="IJ18" i="2"/>
  <c r="JL18" i="2"/>
  <c r="IX18" i="2"/>
  <c r="IJ19" i="2"/>
  <c r="JL19" i="2"/>
  <c r="IJ20" i="2"/>
  <c r="JL20" i="2"/>
  <c r="JL22" i="2"/>
  <c r="IT22" i="2"/>
  <c r="IL23" i="2"/>
  <c r="JN23" i="2"/>
  <c r="IV23" i="2"/>
  <c r="IC24" i="2"/>
  <c r="ID24" i="2" s="1"/>
  <c r="JB24" i="2"/>
  <c r="JM24" i="2"/>
  <c r="IP26" i="2"/>
  <c r="IT26" i="2"/>
  <c r="IX26" i="2"/>
  <c r="IJ27" i="2"/>
  <c r="IF27" i="2"/>
  <c r="IG27" i="2" s="1"/>
  <c r="HR27" i="2"/>
  <c r="JM28" i="2"/>
  <c r="IC28" i="2"/>
  <c r="ID28" i="2" s="1"/>
  <c r="IM28" i="2"/>
  <c r="IP29" i="2"/>
  <c r="IS29" i="2"/>
  <c r="JB29" i="2"/>
  <c r="JG29" i="2"/>
  <c r="IT29" i="2"/>
  <c r="JC29" i="2"/>
  <c r="IJ30" i="2"/>
  <c r="IK30" i="2"/>
  <c r="IC30" i="2"/>
  <c r="ID30" i="2" s="1"/>
  <c r="HR30" i="2"/>
  <c r="IS31" i="2"/>
  <c r="HR31" i="2"/>
  <c r="IV32" i="2"/>
  <c r="JC32" i="2"/>
  <c r="JF32" i="2"/>
  <c r="IA29" i="2"/>
  <c r="JD29" i="2"/>
  <c r="IM30" i="2"/>
  <c r="JM30" i="2"/>
  <c r="IO31" i="2"/>
  <c r="IT32" i="2"/>
  <c r="IZ32" i="2"/>
  <c r="JJ32" i="2"/>
  <c r="IF32" i="2"/>
  <c r="IG32" i="2" s="1"/>
  <c r="HR32" i="2"/>
  <c r="JM29" i="2"/>
  <c r="IF29" i="2"/>
  <c r="IG29" i="2" s="1"/>
  <c r="IW31" i="2"/>
  <c r="JA31" i="2"/>
  <c r="JE31" i="2"/>
  <c r="JL32" i="2"/>
  <c r="CX32" i="2" l="1"/>
  <c r="FP32" i="2"/>
  <c r="CQ32" i="2"/>
  <c r="CR32" i="2"/>
  <c r="CS32" i="2" s="1"/>
  <c r="BO32" i="2"/>
  <c r="BP32" i="2"/>
  <c r="BQ32" i="2" s="1"/>
  <c r="DS32" i="2"/>
  <c r="DT32" i="2"/>
  <c r="DU32" i="2" s="1"/>
  <c r="BW32" i="2"/>
  <c r="BX32" i="2" s="1"/>
  <c r="EO32" i="2"/>
  <c r="EP32" i="2" s="1"/>
  <c r="AU32" i="2"/>
  <c r="AV32" i="2" s="1"/>
  <c r="AT32" i="2"/>
  <c r="DM32" i="2"/>
  <c r="DN32" i="2" s="1"/>
  <c r="DL32" i="2"/>
  <c r="J32" i="2"/>
  <c r="K32" i="2"/>
  <c r="R32" i="2"/>
  <c r="S32" i="2" s="1"/>
  <c r="Q32" i="2"/>
  <c r="AF32" i="2"/>
  <c r="AG32" i="2" s="1"/>
  <c r="AE32" i="2"/>
  <c r="FI32" i="2"/>
  <c r="FJ32" i="2"/>
  <c r="FK32" i="2" s="1"/>
  <c r="CD32" i="2"/>
  <c r="CE32" i="2" s="1"/>
  <c r="CK32" i="2"/>
  <c r="CL32" i="2" s="1"/>
  <c r="CC32" i="2"/>
  <c r="EA32" i="2"/>
  <c r="EB32" i="2" s="1"/>
  <c r="DZ32" i="2"/>
  <c r="FB32" i="2"/>
  <c r="FC32" i="2"/>
  <c r="FD32" i="2" s="1"/>
  <c r="AN32" i="2"/>
  <c r="AO32" i="2" s="1"/>
  <c r="AM32" i="2"/>
  <c r="BB32" i="2"/>
  <c r="BC32" i="2" s="1"/>
  <c r="BA32" i="2"/>
  <c r="EV32" i="2"/>
  <c r="EW32" i="2" s="1"/>
  <c r="EU32" i="2"/>
  <c r="DF32" i="2"/>
  <c r="DG32" i="2" s="1"/>
  <c r="DE32" i="2"/>
  <c r="BI32" i="2"/>
  <c r="BJ32" i="2" s="1"/>
  <c r="BH32" i="2"/>
  <c r="II18" i="2"/>
  <c r="II25" i="2"/>
  <c r="II32" i="2"/>
  <c r="II26" i="2"/>
  <c r="IH13" i="2"/>
  <c r="II14" i="2"/>
  <c r="IH17" i="2"/>
  <c r="II16" i="2"/>
  <c r="IH30" i="2"/>
  <c r="IH29" i="2"/>
  <c r="IH28" i="2"/>
  <c r="IH22" i="2"/>
  <c r="II29" i="2"/>
  <c r="II19" i="2"/>
  <c r="IH19" i="2"/>
  <c r="IH27" i="2"/>
  <c r="IH11" i="2"/>
  <c r="II28" i="2"/>
  <c r="II22" i="2"/>
  <c r="IH16" i="2"/>
  <c r="IH14" i="2"/>
  <c r="IH12" i="2"/>
  <c r="IH10" i="2"/>
  <c r="II20" i="2"/>
  <c r="II13" i="2"/>
  <c r="IH31" i="2"/>
  <c r="II31" i="2"/>
  <c r="II17" i="2"/>
  <c r="II30" i="2"/>
  <c r="IH21" i="2"/>
  <c r="IH32" i="2"/>
  <c r="II7" i="2"/>
  <c r="IH8" i="2"/>
  <c r="IH24" i="2"/>
  <c r="IH25" i="2"/>
  <c r="II10" i="2"/>
  <c r="IH20" i="2"/>
  <c r="II24" i="2"/>
  <c r="II15" i="2"/>
  <c r="IH7" i="2"/>
  <c r="II23" i="2"/>
  <c r="IH15" i="2"/>
  <c r="IH18" i="2"/>
  <c r="IH23" i="2"/>
  <c r="II27" i="2"/>
  <c r="II12" i="2"/>
  <c r="II11" i="2"/>
  <c r="II9" i="2"/>
  <c r="IH9" i="2"/>
  <c r="II8" i="2"/>
  <c r="IH26" i="2"/>
  <c r="II21" i="2"/>
  <c r="L32" i="2" l="1"/>
  <c r="CV3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C2" authorId="0" shapeId="0" xr:uid="{6A6E809A-28A1-44EC-A36A-58927C09D425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系统导出两个应产率表，粘贴在一起</t>
        </r>
      </text>
    </comment>
    <comment ref="W2" authorId="0" shapeId="0" xr:uid="{7F296BA5-FA7F-48A1-8E6B-4D7CB16FF2BB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搅拌棒
PLA尖头吸管
尖头细纸吸管</t>
        </r>
      </text>
    </comment>
    <comment ref="Y2" authorId="0" shapeId="0" xr:uid="{5D3F59AD-B2CF-4D8B-B97C-F270BED102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小勺+木勺</t>
        </r>
      </text>
    </comment>
    <comment ref="Z2" authorId="0" shapeId="0" xr:uid="{37FF3A07-BDA6-451E-B9E2-B25F3EA17908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汉堡纸+米汉堡纸</t>
        </r>
      </text>
    </comment>
    <comment ref="AC2" authorId="0" shapeId="0" xr:uid="{34D3211A-3E52-4BB9-81D2-FCD4D9FD740B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托盘纸+餐盘纸（六一儿童节版）合并</t>
        </r>
      </text>
    </comment>
    <comment ref="AG2" authorId="0" shapeId="0" xr:uid="{75DB9C1F-44D8-4E5C-919D-DD09492423A5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打包袋
大号打包袋（生物降解）
打包袋(生物降解）
门店大号打包袋</t>
        </r>
      </text>
    </comment>
    <comment ref="AI2" authorId="0" shapeId="0" xr:uid="{FF7C7601-249E-425D-8620-DA9166F1088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单杯袋
单杯袋（生物降解）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Q7" authorId="0" shapeId="0" xr:uid="{28B1B0C8-51C6-4CCD-92E9-22A97F2A942A}">
      <text>
        <r>
          <rPr>
            <b/>
            <sz val="9"/>
            <color indexed="81"/>
            <rFont val="宋体"/>
            <charset val="134"/>
          </rPr>
          <t>Administrator:</t>
        </r>
        <r>
          <rPr>
            <sz val="9"/>
            <color indexed="81"/>
            <rFont val="宋体"/>
            <charset val="134"/>
          </rPr>
          <t xml:space="preserve">
盘亏-4</t>
        </r>
      </text>
    </comment>
    <comment ref="AM7" authorId="0" shapeId="0" xr:uid="{F4C5C02F-A208-4E9B-86F0-5B9C05E7351B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盘盈156025.85</t>
        </r>
      </text>
    </comment>
    <comment ref="BA7" authorId="0" shapeId="0" xr:uid="{768F8145-F747-4B0E-AE13-77D7B5A883B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盘盈881.6</t>
        </r>
      </text>
    </comment>
    <comment ref="BH7" authorId="0" shapeId="0" xr:uid="{286B531D-FC26-46CA-BF62-B84B9FB7444E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盘盈54.4</t>
        </r>
      </text>
    </comment>
    <comment ref="CQ7" authorId="0" shapeId="0" xr:uid="{8729FC31-5C8B-4D1F-867C-C08A0DA803CB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盘盈618.41</t>
        </r>
      </text>
    </comment>
    <comment ref="CX7" authorId="0" shapeId="0" xr:uid="{22307216-55BE-4DB7-83EF-D57A971B3913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盘亏-920</t>
        </r>
      </text>
    </comment>
    <comment ref="FW7" authorId="0" shapeId="0" xr:uid="{BE01D536-01A8-403C-8697-331103C070B9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盘亏-420</t>
        </r>
      </text>
    </comment>
    <comment ref="J8" authorId="0" shapeId="0" xr:uid="{D13BD34B-7865-469D-AD72-A2338F2284CA}">
      <text>
        <r>
          <rPr>
            <b/>
            <sz val="9"/>
            <color indexed="81"/>
            <rFont val="宋体"/>
            <charset val="134"/>
          </rPr>
          <t>Administrator:</t>
        </r>
        <r>
          <rPr>
            <sz val="9"/>
            <color indexed="81"/>
            <rFont val="宋体"/>
            <charset val="134"/>
          </rPr>
          <t xml:space="preserve">
盘亏-6576</t>
        </r>
      </text>
    </comment>
    <comment ref="Q8" authorId="0" shapeId="0" xr:uid="{1A8A5A5B-C2FF-495D-BE9C-0F5B6CDD2B76}">
      <text>
        <r>
          <rPr>
            <b/>
            <sz val="9"/>
            <color indexed="81"/>
            <rFont val="宋体"/>
            <charset val="134"/>
          </rPr>
          <t>Administrator:</t>
        </r>
        <r>
          <rPr>
            <sz val="9"/>
            <color indexed="81"/>
            <rFont val="宋体"/>
            <charset val="134"/>
          </rPr>
          <t xml:space="preserve">
盘亏-245.2</t>
        </r>
      </text>
    </comment>
    <comment ref="AE8" authorId="0" shapeId="0" xr:uid="{B91761D1-C057-48C7-BD6A-7783900F3872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盘亏-3662.3</t>
        </r>
      </text>
    </comment>
    <comment ref="AM8" authorId="0" shapeId="0" xr:uid="{82F98DAD-5436-4EFD-AFC6-AE56ED67244A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盘盈36120.2</t>
        </r>
      </text>
    </comment>
    <comment ref="BH8" authorId="0" shapeId="0" xr:uid="{4530BEF9-16C9-458C-B57A-620435BF75B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盘盈71.85</t>
        </r>
      </text>
    </comment>
    <comment ref="CC8" authorId="0" shapeId="0" xr:uid="{33B70C94-8790-4F74-BC45-F0CC78322F2B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盘盈22556.3</t>
        </r>
      </text>
    </comment>
    <comment ref="CQ8" authorId="0" shapeId="0" xr:uid="{BD86B9DA-75D2-401C-92AD-389676B55887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盘盈607.13</t>
        </r>
      </text>
    </comment>
    <comment ref="CX8" authorId="0" shapeId="0" xr:uid="{3A70F255-90F5-418E-B743-B24D13629E93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盘盈197.74</t>
        </r>
      </text>
    </comment>
    <comment ref="DL8" authorId="0" shapeId="0" xr:uid="{D2D341E3-F841-4A07-8F8F-8F97D8177664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盘盈359.8</t>
        </r>
      </text>
    </comment>
    <comment ref="DS8" authorId="0" shapeId="0" xr:uid="{EB68B68D-45E6-41A4-A128-B1020DDA08D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黑胡椒粉盘亏-557
孜然粉盘亏-200</t>
        </r>
      </text>
    </comment>
    <comment ref="EG8" authorId="0" shapeId="0" xr:uid="{B62897CB-44EC-404C-B81C-D590BAFF193B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盘盈19</t>
        </r>
      </text>
    </comment>
    <comment ref="AE9" authorId="0" shapeId="0" xr:uid="{A6052FAF-A23D-43CD-9FF4-1DB055FA9C5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盘亏-211</t>
        </r>
      </text>
    </comment>
    <comment ref="AM9" authorId="0" shapeId="0" xr:uid="{9C039BA1-5F5F-4CDE-B8CF-E88F99BAF824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盘亏-286.85
</t>
        </r>
      </text>
    </comment>
    <comment ref="AT9" authorId="0" shapeId="0" xr:uid="{34DD542B-53BB-4394-A78E-4770732CE9E6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盘亏-94.5</t>
        </r>
      </text>
    </comment>
    <comment ref="BA9" authorId="0" shapeId="0" xr:uid="{8FFF9106-378E-4F5A-9098-3379F5A6824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盘亏-58.8</t>
        </r>
      </text>
    </comment>
    <comment ref="BH9" authorId="0" shapeId="0" xr:uid="{1306CFD0-2676-4185-890D-6A0D9850830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盘亏-100.9</t>
        </r>
      </text>
    </comment>
    <comment ref="BV9" authorId="0" shapeId="0" xr:uid="{F7D045F8-0E55-459F-949E-EEB474560C49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盘盈1440.8</t>
        </r>
      </text>
    </comment>
    <comment ref="CC9" authorId="0" shapeId="0" xr:uid="{AFD95CDD-ED73-4386-9364-6E6CBC2B212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盘盈8229.4</t>
        </r>
      </text>
    </comment>
    <comment ref="CQ9" authorId="0" shapeId="0" xr:uid="{DEECECC6-96D8-4784-8981-56FD8C3AE1C6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盘亏-145.26</t>
        </r>
      </text>
    </comment>
    <comment ref="CX9" authorId="0" shapeId="0" xr:uid="{A589115C-E388-4D4F-BDCB-8D8FA64FBF0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盘亏-16.62</t>
        </r>
      </text>
    </comment>
    <comment ref="DS9" authorId="0" shapeId="0" xr:uid="{CD45C2F5-EF00-4128-8B10-F6D926ABA38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黑胡椒粉盘盈438
孜然粉盘亏-13</t>
        </r>
      </text>
    </comment>
    <comment ref="DZ9" authorId="0" shapeId="0" xr:uid="{782669E6-737F-4B41-9D9D-14395D93DA22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盘盈46</t>
        </r>
      </text>
    </comment>
    <comment ref="EG9" authorId="0" shapeId="0" xr:uid="{F228F79E-8C07-4191-93E3-5DC1140AEC5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盘亏-5
</t>
        </r>
      </text>
    </comment>
    <comment ref="FW9" authorId="0" shapeId="0" xr:uid="{FBB793C9-28DF-494C-BDF1-ED111834A524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盘亏-139</t>
        </r>
      </text>
    </comment>
    <comment ref="Q10" authorId="0" shapeId="0" xr:uid="{6F434F2E-0409-478A-841D-CC70B5D48C76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盘亏-54.1</t>
        </r>
      </text>
    </comment>
    <comment ref="X10" authorId="0" shapeId="0" xr:uid="{12B57187-A5AA-4ACC-914A-FE3F7A9F8013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盘亏-359.2</t>
        </r>
      </text>
    </comment>
    <comment ref="AE10" authorId="0" shapeId="0" xr:uid="{8467CCE9-7B08-4920-8354-53142A72D1FE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盘盈5.7</t>
        </r>
      </text>
    </comment>
    <comment ref="AT10" authorId="0" shapeId="0" xr:uid="{ADD568BB-C585-4BFD-AE25-20B0BD44B90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盘盈303.5</t>
        </r>
      </text>
    </comment>
    <comment ref="BA10" authorId="0" shapeId="0" xr:uid="{D4392D11-AD5E-447C-B8E8-35CA3E69C10B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盘亏-202</t>
        </r>
      </text>
    </comment>
    <comment ref="BO10" authorId="0" shapeId="0" xr:uid="{047F4283-3321-45A4-9BF8-5D2759F63022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盘盈359.7</t>
        </r>
      </text>
    </comment>
    <comment ref="CC10" authorId="0" shapeId="0" xr:uid="{B59D172C-B0B4-4797-A8D7-88D09024BD3A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盘亏-837.3</t>
        </r>
      </text>
    </comment>
    <comment ref="CQ10" authorId="0" shapeId="0" xr:uid="{A11CE8C2-DE36-4BAD-BB41-BD2FF75CF5C8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盘盈315</t>
        </r>
      </text>
    </comment>
    <comment ref="CX10" authorId="0" shapeId="0" xr:uid="{B3E5A1B3-F9D0-4AB7-BB3E-E7D4DC81FF7E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-343.14</t>
        </r>
      </text>
    </comment>
    <comment ref="DL10" authorId="0" shapeId="0" xr:uid="{F4391F57-F262-4702-809F-E06D3048DD49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盘亏-99.7</t>
        </r>
      </text>
    </comment>
    <comment ref="FW10" authorId="0" shapeId="0" xr:uid="{647A5018-7CE5-4BA5-A013-12251B9B3878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盘亏-202</t>
        </r>
      </text>
    </comment>
    <comment ref="GA10" authorId="0" shapeId="0" xr:uid="{92B496CF-D588-4C05-A2DB-8DFB4E194485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盘亏-2000</t>
        </r>
      </text>
    </comment>
    <comment ref="J11" authorId="0" shapeId="0" xr:uid="{DBBECDB7-B56F-4C79-AAA5-6E06FB7EE249}">
      <text>
        <r>
          <rPr>
            <b/>
            <sz val="9"/>
            <color indexed="81"/>
            <rFont val="宋体"/>
            <charset val="134"/>
          </rPr>
          <t>Administrator:</t>
        </r>
        <r>
          <rPr>
            <sz val="9"/>
            <color indexed="81"/>
            <rFont val="宋体"/>
            <charset val="134"/>
          </rPr>
          <t xml:space="preserve">
盘亏-1288</t>
        </r>
      </text>
    </comment>
    <comment ref="X11" authorId="0" shapeId="0" xr:uid="{080BC006-CCCB-44F7-8321-62C72DEC1A83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盘亏-12508.8</t>
        </r>
      </text>
    </comment>
    <comment ref="AE11" authorId="0" shapeId="0" xr:uid="{5D86D6EB-3400-4773-9F32-A71EE345EA15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37695.1</t>
        </r>
      </text>
    </comment>
    <comment ref="AM11" authorId="0" shapeId="0" xr:uid="{36F723A4-7D7A-4A75-B8CA-24A89F1C1823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盘盈68640.4</t>
        </r>
      </text>
    </comment>
    <comment ref="BA11" authorId="0" shapeId="0" xr:uid="{14402321-C571-4574-950B-DD31A34CD5DE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盘盈1086</t>
        </r>
      </text>
    </comment>
    <comment ref="BH11" authorId="0" shapeId="0" xr:uid="{90D32F13-896C-4968-AC25-B1FA7CE8694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盘盈2686.6</t>
        </r>
      </text>
    </comment>
    <comment ref="BV11" authorId="0" shapeId="0" xr:uid="{BE538D89-E9B6-415B-8C9C-A2A02D1AF818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盘盈8422.8</t>
        </r>
      </text>
    </comment>
    <comment ref="CC11" authorId="0" shapeId="0" xr:uid="{655A8C62-68C6-4E65-A0A3-884D6E3CCF04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盘亏-7417.3</t>
        </r>
      </text>
    </comment>
    <comment ref="CQ11" authorId="0" shapeId="0" xr:uid="{B092E589-A906-46DF-A7A5-C46BE7CD325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盘亏-150.8</t>
        </r>
      </text>
    </comment>
    <comment ref="CX11" authorId="0" shapeId="0" xr:uid="{3ACF5D0C-5797-4D25-9A7D-63682D51CAA4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盘亏-104.66</t>
        </r>
      </text>
    </comment>
    <comment ref="DL11" authorId="0" shapeId="0" xr:uid="{76232CAE-8A9E-4907-B730-FD3001145CB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盘亏-939.7</t>
        </r>
      </text>
    </comment>
    <comment ref="DS11" authorId="0" shapeId="0" xr:uid="{E3A829E4-8731-4333-BAB4-9663E739C9B5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黑胡椒粉盘亏-716
孜然粉盘亏-182</t>
        </r>
      </text>
    </comment>
    <comment ref="EG11" authorId="0" shapeId="0" xr:uid="{1B2D4C59-AC7E-4FE5-8018-BBBADA336D3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盘亏-132</t>
        </r>
      </text>
    </comment>
    <comment ref="J12" authorId="0" shapeId="0" xr:uid="{0D0C35C0-C243-417B-9053-F639AFF3902C}">
      <text>
        <r>
          <rPr>
            <b/>
            <sz val="9"/>
            <color indexed="81"/>
            <rFont val="宋体"/>
            <charset val="134"/>
          </rPr>
          <t>Administrator:</t>
        </r>
        <r>
          <rPr>
            <sz val="9"/>
            <color indexed="81"/>
            <rFont val="宋体"/>
            <charset val="134"/>
          </rPr>
          <t xml:space="preserve">
盘亏-1122</t>
        </r>
      </text>
    </comment>
    <comment ref="AM12" authorId="0" shapeId="0" xr:uid="{17D9B3E9-1BBB-4CB1-B87E-FC93DAA40145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盘盈64403.85</t>
        </r>
      </text>
    </comment>
    <comment ref="AT12" authorId="0" shapeId="0" xr:uid="{D3585BDA-ED3B-4C7A-9669-D5A3ECC6EF3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盘盈227.8</t>
        </r>
      </text>
    </comment>
    <comment ref="BA12" authorId="0" shapeId="0" xr:uid="{39C41BBA-7275-4424-BCE1-E9323221F888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250</t>
        </r>
      </text>
    </comment>
    <comment ref="BH12" authorId="0" shapeId="0" xr:uid="{9946C286-09BC-4BCA-860D-F2DFDF1FE513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盘盈23.8</t>
        </r>
      </text>
    </comment>
    <comment ref="CQ12" authorId="0" shapeId="0" xr:uid="{FD58F42A-7E89-4C6B-805F-31CA172B311D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盘盈1215.3</t>
        </r>
      </text>
    </comment>
    <comment ref="CX12" authorId="0" shapeId="0" xr:uid="{1D9D56C2-9427-418F-B926-B54BD370019D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盘盈126.92</t>
        </r>
      </text>
    </comment>
    <comment ref="DL12" authorId="0" shapeId="0" xr:uid="{5EF81FD1-F4DC-424F-8FEC-CDB36991D8B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盘盈613.5</t>
        </r>
      </text>
    </comment>
    <comment ref="DS12" authorId="0" shapeId="0" xr:uid="{C16C8E76-858F-4405-BEAA-8245BC6F9ABD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黑胡椒粉盘亏-286
孜然粉盘亏-100</t>
        </r>
      </text>
    </comment>
    <comment ref="EG12" authorId="0" shapeId="0" xr:uid="{CAD5DEE9-AD19-4D44-9D64-1A9FA2AE515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盘亏-26</t>
        </r>
      </text>
    </comment>
    <comment ref="FI12" authorId="0" shapeId="0" xr:uid="{C6F6F328-F742-45A4-8BBE-85EB1256AC52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盘盈788</t>
        </r>
      </text>
    </comment>
    <comment ref="Q13" authorId="0" shapeId="0" xr:uid="{88610A5E-7515-493E-AFD2-E9A2D982DF8A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盘亏-35.3</t>
        </r>
      </text>
    </comment>
    <comment ref="X13" authorId="0" shapeId="0" xr:uid="{9ECC0CE4-D8D9-4DF7-9522-4851B0696759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盘亏-0.9</t>
        </r>
      </text>
    </comment>
    <comment ref="AE13" authorId="0" shapeId="0" xr:uid="{1800DD41-89DB-4FBE-A258-0CF6B7A52CF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盘盈59364.4</t>
        </r>
      </text>
    </comment>
    <comment ref="AT13" authorId="0" shapeId="0" xr:uid="{75701D1E-ECEA-451D-A63A-B4DE4542735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盘亏-0.6</t>
        </r>
      </text>
    </comment>
    <comment ref="BH13" authorId="0" shapeId="0" xr:uid="{084AFE4C-60DB-4F4E-970C-8E7F91A59F4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盘盈4711.85</t>
        </r>
      </text>
    </comment>
    <comment ref="BV13" authorId="0" shapeId="0" xr:uid="{C20F8486-7ED7-49C3-9ACB-7587FE8DE8AE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盘亏-0.6</t>
        </r>
      </text>
    </comment>
    <comment ref="CC13" authorId="0" shapeId="0" xr:uid="{CB91EB6D-2513-455B-8701-AC8D47A9B81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盘亏-0.9</t>
        </r>
      </text>
    </comment>
    <comment ref="CJ13" authorId="0" shapeId="0" xr:uid="{7F470B8A-9245-4716-961A-67E1616D281E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盘盈9.8</t>
        </r>
      </text>
    </comment>
    <comment ref="CQ13" authorId="0" shapeId="0" xr:uid="{60C370C7-EC77-4762-9D9A-EC43E2B6FD5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盘盈17648.52</t>
        </r>
      </text>
    </comment>
    <comment ref="CX13" authorId="0" shapeId="0" xr:uid="{8CBC09C3-D09C-42F2-9EFE-A210A11294E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盘亏-43.92</t>
        </r>
      </text>
    </comment>
    <comment ref="EG13" authorId="0" shapeId="0" xr:uid="{40A03D2F-83D9-4840-BA27-AC48B19E671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盘亏-108</t>
        </r>
      </text>
    </comment>
    <comment ref="FI13" authorId="0" shapeId="0" xr:uid="{0BB42FB0-74B0-464E-A6D7-F4EB9FE507E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盘亏-2897</t>
        </r>
      </text>
    </comment>
    <comment ref="FW13" authorId="0" shapeId="0" xr:uid="{C2A0C4B8-88C0-4924-8D52-5661FBFA20D6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盘亏-30</t>
        </r>
      </text>
    </comment>
    <comment ref="AT14" authorId="0" shapeId="0" xr:uid="{2396A9AB-1D46-4783-9158-1591391B7C8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盘亏-569</t>
        </r>
      </text>
    </comment>
    <comment ref="BA14" authorId="0" shapeId="0" xr:uid="{65216FEC-9B67-4CCC-A450-5E831DFCD66A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盘盈964</t>
        </r>
      </text>
    </comment>
    <comment ref="BV14" authorId="0" shapeId="0" xr:uid="{B7E30CB4-0CBA-4761-8F4B-24C4C23CD5C4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盘亏-1138.2</t>
        </r>
      </text>
    </comment>
    <comment ref="CQ14" authorId="0" shapeId="0" xr:uid="{73AEED57-189A-42FD-AEED-48288B3CABAE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盘盈897.49</t>
        </r>
      </text>
    </comment>
    <comment ref="CX14" authorId="0" shapeId="0" xr:uid="{3E33FDB6-AF18-4639-81FC-91DD547A7012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盘盈4281.66</t>
        </r>
      </text>
    </comment>
    <comment ref="EG14" authorId="0" shapeId="0" xr:uid="{B81B6193-95DB-4472-98DF-546ADE307E4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盘亏-2</t>
        </r>
      </text>
    </comment>
    <comment ref="J15" authorId="0" shapeId="0" xr:uid="{A197064C-1BB7-4883-AC0B-8D2CE5628C6A}">
      <text>
        <r>
          <rPr>
            <b/>
            <sz val="9"/>
            <color indexed="81"/>
            <rFont val="宋体"/>
            <charset val="134"/>
          </rPr>
          <t>Administrator:</t>
        </r>
        <r>
          <rPr>
            <sz val="9"/>
            <color indexed="81"/>
            <rFont val="宋体"/>
            <charset val="134"/>
          </rPr>
          <t xml:space="preserve">
盘亏-23498</t>
        </r>
      </text>
    </comment>
    <comment ref="Q15" authorId="0" shapeId="0" xr:uid="{F3BBDF52-C3F7-4E49-919D-4788CF0EEA18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盘亏--100.8</t>
        </r>
      </text>
    </comment>
    <comment ref="X15" authorId="0" shapeId="0" xr:uid="{906A93C9-D13D-4CAD-8AED-57325419BEA5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盘亏-301.9</t>
        </r>
      </text>
    </comment>
    <comment ref="AE15" authorId="0" shapeId="0" xr:uid="{C949043A-4F0B-44BE-A69E-669A9613AF7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盘亏-187.9</t>
        </r>
      </text>
    </comment>
    <comment ref="AM15" authorId="0" shapeId="0" xr:uid="{FB8C0BB6-BDE5-4099-9932-FEE4C96A5CB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盘盈28509.4</t>
        </r>
      </text>
    </comment>
    <comment ref="AT15" authorId="0" shapeId="0" xr:uid="{A020D6FF-FB7D-412D-9D0B-48BA1D10BF4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盘亏-34.2</t>
        </r>
      </text>
    </comment>
    <comment ref="BA15" authorId="0" shapeId="0" xr:uid="{3E3F6775-8440-4E63-AEDD-862BC1390168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盘盈85.6</t>
        </r>
      </text>
    </comment>
    <comment ref="BH15" authorId="0" shapeId="0" xr:uid="{BA34427D-C0D9-492F-B8BC-BAB88A144F63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盘亏-1.45</t>
        </r>
      </text>
    </comment>
    <comment ref="BV15" authorId="0" shapeId="0" xr:uid="{94A9EE83-6EF8-46AD-8807-AAFCB18A9E65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盘亏-24.6</t>
        </r>
      </text>
    </comment>
    <comment ref="CQ15" authorId="0" shapeId="0" xr:uid="{D226414C-ED37-485B-9244-D462EFD0D06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盘亏-396.23</t>
        </r>
      </text>
    </comment>
    <comment ref="CX15" authorId="0" shapeId="0" xr:uid="{0F4B794C-518C-42B4-BB1C-599E35957D88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盘亏-292.72</t>
        </r>
      </text>
    </comment>
    <comment ref="DL15" authorId="0" shapeId="0" xr:uid="{D0A7A5F4-9C0B-4374-9123-6F97C4BA4054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盘亏-372.8</t>
        </r>
      </text>
    </comment>
    <comment ref="DS15" authorId="0" shapeId="0" xr:uid="{A0D31A29-E6DB-45C7-B916-5AFBA6396845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黑胡椒粉盘亏-187
孜然粉盘亏-25</t>
        </r>
      </text>
    </comment>
    <comment ref="EG15" authorId="0" shapeId="0" xr:uid="{EF0437D7-6F48-4714-97EE-1A11561B8E03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盘盈7</t>
        </r>
      </text>
    </comment>
    <comment ref="FW15" authorId="0" shapeId="0" xr:uid="{0313B8D4-1077-4906-9232-2D5B6E629CD9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盘亏-7</t>
        </r>
      </text>
    </comment>
    <comment ref="J16" authorId="0" shapeId="0" xr:uid="{FAF55D34-481E-4A8B-97EC-143934A75607}">
      <text>
        <r>
          <rPr>
            <b/>
            <sz val="9"/>
            <color indexed="81"/>
            <rFont val="宋体"/>
            <charset val="134"/>
          </rPr>
          <t>Administrator:</t>
        </r>
        <r>
          <rPr>
            <sz val="9"/>
            <color indexed="81"/>
            <rFont val="宋体"/>
            <charset val="134"/>
          </rPr>
          <t xml:space="preserve">
盘亏-412</t>
        </r>
      </text>
    </comment>
    <comment ref="AM16" authorId="0" shapeId="0" xr:uid="{FCA20D9E-801C-46ED-8DCE-A513B5651EB9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盘盈52627.45</t>
        </r>
      </text>
    </comment>
    <comment ref="BH16" authorId="0" shapeId="0" xr:uid="{6D0157CC-BF21-4EFC-963C-9C4E4D7FA5D3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盘盈248.9</t>
        </r>
      </text>
    </comment>
    <comment ref="BV16" authorId="0" shapeId="0" xr:uid="{BD2C41BB-8079-4946-AF16-F7C2E2C0A8F4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盘盈2620.2</t>
        </r>
      </text>
    </comment>
    <comment ref="CC16" authorId="0" shapeId="0" xr:uid="{ECF689E3-E3A6-470B-BB8E-9E7E9E91698B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盘盈30761.6</t>
        </r>
      </text>
    </comment>
    <comment ref="CQ16" authorId="0" shapeId="0" xr:uid="{9640DF53-5F2E-4514-9EED-E5DF326353DA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盘盈15908.94</t>
        </r>
      </text>
    </comment>
    <comment ref="CX16" authorId="0" shapeId="0" xr:uid="{C1373DA0-723A-420A-945F-4AAA93A7696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盘亏-426.96</t>
        </r>
      </text>
    </comment>
    <comment ref="DL16" authorId="0" shapeId="0" xr:uid="{77663050-7B8B-486E-A26A-28A0335D3F4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盘盈2672.6</t>
        </r>
      </text>
    </comment>
    <comment ref="DZ16" authorId="0" shapeId="0" xr:uid="{4374081C-7CFE-41FC-A7EB-F2340E6BFB54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盘盈300</t>
        </r>
      </text>
    </comment>
    <comment ref="EG16" authorId="0" shapeId="0" xr:uid="{ED1331F9-180C-4F39-8714-C392D007DCFA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盘盈4</t>
        </r>
      </text>
    </comment>
    <comment ref="Q17" authorId="0" shapeId="0" xr:uid="{50879935-33B2-4C7B-BF27-EE64A2575E03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盘亏-61.4</t>
        </r>
      </text>
    </comment>
    <comment ref="X17" authorId="0" shapeId="0" xr:uid="{260D7C4F-DF90-4397-9227-69397D4D0D49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盘亏-102.3</t>
        </r>
      </text>
    </comment>
    <comment ref="AE17" authorId="0" shapeId="0" xr:uid="{549697C9-D8D4-4E57-8E16-7AB33821D887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盘亏-300</t>
        </r>
      </text>
    </comment>
    <comment ref="AM17" authorId="0" shapeId="0" xr:uid="{46B8AD0D-8094-4984-8CB5-570BC65288A2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-16575.2</t>
        </r>
      </text>
    </comment>
    <comment ref="AT17" authorId="0" shapeId="0" xr:uid="{56A1DEB5-B9B6-4305-B532-2012A68B31C8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盘亏-1040.4</t>
        </r>
      </text>
    </comment>
    <comment ref="BA17" authorId="0" shapeId="0" xr:uid="{0DCD5177-BBDD-4643-B247-71BDD7C4AC10}">
      <text>
        <r>
          <rPr>
            <b/>
            <sz val="9"/>
            <color indexed="81"/>
            <rFont val="宋体"/>
            <family val="3"/>
            <charset val="134"/>
          </rPr>
          <t>Administrator:盘亏-832</t>
        </r>
      </text>
    </comment>
    <comment ref="BH17" authorId="0" shapeId="0" xr:uid="{FE08B007-A3E7-4621-B609-2F9F0F867904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盘盈1646.55</t>
        </r>
      </text>
    </comment>
    <comment ref="CC17" authorId="0" shapeId="0" xr:uid="{D5B4DA2F-09B0-4216-8804-41EBBEAE789A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盘盈16577.8</t>
        </r>
      </text>
    </comment>
    <comment ref="CJ17" authorId="0" shapeId="0" xr:uid="{5CB35363-D345-4A9B-B67F-880EF3F5ABE6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盘亏-31.2</t>
        </r>
      </text>
    </comment>
    <comment ref="CQ17" authorId="0" shapeId="0" xr:uid="{64392BC4-7202-4089-B424-3C0C0B080055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盘亏-13099.49</t>
        </r>
      </text>
    </comment>
    <comment ref="CX17" authorId="0" shapeId="0" xr:uid="{6E1BD3EB-0F85-4CF6-A416-0E4E7E01D9BB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盘亏-11032.26</t>
        </r>
      </text>
    </comment>
    <comment ref="DZ17" authorId="0" shapeId="0" xr:uid="{42FA4FD7-1B04-4014-B3AC-8C9EC73294D7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盘盈267</t>
        </r>
      </text>
    </comment>
    <comment ref="EG17" authorId="0" shapeId="0" xr:uid="{BEF6D8CC-1CAD-48B1-B654-C89728AC5652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盘盈12</t>
        </r>
      </text>
    </comment>
    <comment ref="FW17" authorId="0" shapeId="0" xr:uid="{384BBA20-6DA9-4246-BC79-1EBD5B25D412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盘亏-147</t>
        </r>
      </text>
    </comment>
    <comment ref="GD17" authorId="0" shapeId="0" xr:uid="{3E2152E6-3CB3-4F3A-82B5-6500D8D621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盘亏-15</t>
        </r>
      </text>
    </comment>
    <comment ref="AE18" authorId="0" shapeId="0" xr:uid="{4770148F-6C75-4BD6-8D77-11486CCC7FFA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盘亏-193.4</t>
        </r>
      </text>
    </comment>
    <comment ref="AM18" authorId="0" shapeId="0" xr:uid="{D7EE6CE1-7733-4217-B48C-2FAA2E028EE2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盘亏-4652.1</t>
        </r>
      </text>
    </comment>
    <comment ref="AT18" authorId="0" shapeId="0" xr:uid="{596E5458-E721-4914-ACC3-AB34BD9092B5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盘盈348.2</t>
        </r>
      </text>
    </comment>
    <comment ref="BA18" authorId="0" shapeId="0" xr:uid="{47B4CD4E-426F-4AAC-A227-6C0131E1F8C6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盘盈433.6</t>
        </r>
      </text>
    </comment>
    <comment ref="BH18" authorId="0" shapeId="0" xr:uid="{FE2C76AE-8B59-4561-BE97-8BA2346BB6CB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盘盈339.35</t>
        </r>
      </text>
    </comment>
    <comment ref="CQ18" authorId="0" shapeId="0" xr:uid="{7CE58FB7-67F3-4A3C-8942-5A1CA3237795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盘盈102.06</t>
        </r>
      </text>
    </comment>
    <comment ref="CX18" authorId="0" shapeId="0" xr:uid="{DC841F74-7250-415C-953C-DB3C3AABB8D1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盘盈1847.32</t>
        </r>
      </text>
    </comment>
    <comment ref="DL18" authorId="0" shapeId="0" xr:uid="{3C5153FA-85B2-45E3-9E43-BA569DCF5D5A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盘盈611.1</t>
        </r>
      </text>
    </comment>
    <comment ref="DS18" authorId="0" shapeId="0" xr:uid="{9B62902B-5511-4D94-861A-15BF28C2C97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黑胡椒粉盘盈330
孜然粉盘亏-45</t>
        </r>
      </text>
    </comment>
    <comment ref="DZ18" authorId="0" shapeId="0" xr:uid="{BFC618BB-BBEE-42F6-BF54-DD2257A3B022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盘盈354</t>
        </r>
      </text>
    </comment>
    <comment ref="EG18" authorId="0" shapeId="0" xr:uid="{B0766047-02A9-4FBC-BDF7-BA2FDE84E347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盘盈3</t>
        </r>
      </text>
    </comment>
    <comment ref="FW18" authorId="0" shapeId="0" xr:uid="{B7F290BC-BD3C-4C26-AE6F-2FEAE49F756E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盘亏-145</t>
        </r>
      </text>
    </comment>
    <comment ref="GD18" authorId="0" shapeId="0" xr:uid="{40BD8A4B-62AB-4084-A1E8-595B4D36D486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盘亏-14</t>
        </r>
      </text>
    </comment>
  </commentList>
</comments>
</file>

<file path=xl/sharedStrings.xml><?xml version="1.0" encoding="utf-8"?>
<sst xmlns="http://schemas.openxmlformats.org/spreadsheetml/2006/main" count="17421" uniqueCount="835">
  <si>
    <t>数量</t>
  </si>
  <si>
    <t>编码</t>
  </si>
  <si>
    <t>店名</t>
  </si>
  <si>
    <t>美康薯条</t>
  </si>
  <si>
    <t>玉米粒</t>
  </si>
  <si>
    <t>山东肉丁</t>
  </si>
  <si>
    <t>生莱</t>
  </si>
  <si>
    <t>25＃专用粉</t>
  </si>
  <si>
    <t>川香酱</t>
  </si>
  <si>
    <t>蜜汁酱</t>
  </si>
  <si>
    <t>双盈辣味粉</t>
  </si>
  <si>
    <t>诚邦鸡排粉</t>
  </si>
  <si>
    <t>蕃茄沙司</t>
  </si>
  <si>
    <t>新好乐门沙拉</t>
  </si>
  <si>
    <t>BBQ粉</t>
  </si>
  <si>
    <t>可乐</t>
  </si>
  <si>
    <t>七喜</t>
  </si>
  <si>
    <t>美年达</t>
  </si>
  <si>
    <t>12包榕福果珍</t>
  </si>
  <si>
    <t>忆霖黑胡椒粉</t>
  </si>
  <si>
    <t>孜然香辣粉</t>
  </si>
  <si>
    <t>成都蕃茄沙司</t>
  </si>
  <si>
    <t>成都糖包</t>
  </si>
  <si>
    <t>福维可乐吸管</t>
  </si>
  <si>
    <t>搅拌勺</t>
  </si>
  <si>
    <t>小勺</t>
  </si>
  <si>
    <t>汉堡纸</t>
  </si>
  <si>
    <t>米汉堡纸</t>
  </si>
  <si>
    <t>清风纸巾</t>
  </si>
  <si>
    <t>托盘纸</t>
  </si>
  <si>
    <t>起酥油</t>
  </si>
  <si>
    <t>面包糠</t>
  </si>
  <si>
    <t>手套</t>
  </si>
  <si>
    <t>永盛2000个打包袋</t>
  </si>
  <si>
    <t>永盛8000双杯袋</t>
  </si>
  <si>
    <t>永盛2000个单杯袋</t>
  </si>
  <si>
    <t>吉利</t>
  </si>
  <si>
    <t>长城</t>
  </si>
  <si>
    <t>万方</t>
  </si>
  <si>
    <t>焦作百大</t>
  </si>
  <si>
    <t>封丘好又多</t>
  </si>
  <si>
    <t>洛龙店</t>
  </si>
  <si>
    <t>大景城</t>
  </si>
  <si>
    <t>栾川盛德美</t>
  </si>
  <si>
    <t>长垣匡城</t>
  </si>
  <si>
    <t>新乡振中</t>
  </si>
  <si>
    <t>孟津麻屯</t>
  </si>
  <si>
    <t>李楼</t>
  </si>
  <si>
    <t>南阳工农南路</t>
  </si>
  <si>
    <t>新乡常青藤</t>
  </si>
  <si>
    <t>三门峡华府</t>
  </si>
  <si>
    <t>新乡牌坊街</t>
  </si>
  <si>
    <t>金额</t>
  </si>
  <si>
    <t>2020年（1月）（河南）地区应产率报表</t>
    <phoneticPr fontId="8" type="noConversion"/>
  </si>
  <si>
    <t>货品名称</t>
  </si>
  <si>
    <t>薯  条</t>
  </si>
  <si>
    <t>玉 米 粒</t>
  </si>
  <si>
    <t>肉    丁</t>
  </si>
  <si>
    <t>生    菜</t>
  </si>
  <si>
    <t>面    粉</t>
  </si>
  <si>
    <t>川 香 酱</t>
  </si>
  <si>
    <t>蜜 汁 酱</t>
  </si>
  <si>
    <t>辣味粉</t>
  </si>
  <si>
    <t>鸡排粉</t>
  </si>
  <si>
    <t>袋装沙司</t>
  </si>
  <si>
    <t>香甜沙拉酱</t>
  </si>
  <si>
    <t>可乐糖浆</t>
  </si>
  <si>
    <t>七喜糖浆</t>
  </si>
  <si>
    <t>美年达糖浆</t>
  </si>
  <si>
    <t>果珍/橙C</t>
  </si>
  <si>
    <t>黑胡椒粉/孜然粉</t>
  </si>
  <si>
    <t>番茄酱包</t>
  </si>
  <si>
    <t>糖包</t>
  </si>
  <si>
    <t>吸管</t>
  </si>
  <si>
    <t>小（汤）勺</t>
  </si>
  <si>
    <t>纸巾</t>
  </si>
  <si>
    <t>油</t>
  </si>
  <si>
    <t>打包袋</t>
  </si>
  <si>
    <t>双杯袋</t>
  </si>
  <si>
    <t>单杯袋</t>
  </si>
  <si>
    <t>赠品（明细随餐厅的赠送物品变动而变动）</t>
  </si>
  <si>
    <t>配料占营业额的百分比</t>
  </si>
  <si>
    <t>包装物及包装容器占营业额的百分比</t>
  </si>
  <si>
    <t>按标准应产率计算 出的总差异金额（正数）</t>
  </si>
  <si>
    <t>按标准应产率计算 出的总差异金额（负数）</t>
  </si>
  <si>
    <t>按标准应产率计算 出的总差异金额  (绝对值)</t>
  </si>
  <si>
    <t>应产率范围 / 标准应产率</t>
  </si>
  <si>
    <t>应产率范围：9.6-8.6份</t>
  </si>
  <si>
    <t>标准克数</t>
  </si>
  <si>
    <t>克</t>
  </si>
  <si>
    <t>应产率范围：10.5-11.7份</t>
  </si>
  <si>
    <t>应产率范围：9.5-10.6份</t>
  </si>
  <si>
    <t>应产率范围：90-110.1份</t>
  </si>
  <si>
    <t>应产率范围：31.6-35.1份</t>
  </si>
  <si>
    <t>应产率范围：217.5-240.5份</t>
  </si>
  <si>
    <t>应产率范围：144.4-159.7份</t>
  </si>
  <si>
    <t>应产率范围：730.7-807.7份</t>
  </si>
  <si>
    <t>应产率范围：1187.5-1312.6份</t>
  </si>
  <si>
    <t xml:space="preserve"> 克</t>
  </si>
  <si>
    <t>应产率范围：60-73.4份</t>
  </si>
  <si>
    <t>应产率范围：168.7-186.6份</t>
  </si>
  <si>
    <t>应产率范围：21.5-23.9份</t>
  </si>
  <si>
    <t>应产率范围：18.2-20.2份</t>
  </si>
  <si>
    <t>包装量：4000小包/件</t>
  </si>
  <si>
    <t>标准数量</t>
  </si>
  <si>
    <t>小包</t>
  </si>
  <si>
    <t>包装量：600小包/件</t>
  </si>
  <si>
    <t>包装量：1000小包/件</t>
  </si>
  <si>
    <t>包装量：1000根/件</t>
  </si>
  <si>
    <t>根</t>
  </si>
  <si>
    <t>包装量：100把/包</t>
  </si>
  <si>
    <t>把</t>
  </si>
  <si>
    <t>包装量：1000张/件</t>
  </si>
  <si>
    <t>张</t>
  </si>
  <si>
    <t>包装量：500张/件</t>
  </si>
  <si>
    <t>包装量：96小包/件</t>
  </si>
  <si>
    <t>包装量：16kg/件</t>
  </si>
  <si>
    <t>包装量：1kg/包</t>
  </si>
  <si>
    <t>包装量：100包/件</t>
  </si>
  <si>
    <t>包装量：1200个/件</t>
  </si>
  <si>
    <t>包装量：8000个/件</t>
  </si>
  <si>
    <t>包装量：12000个/件</t>
  </si>
  <si>
    <t>赠品合计</t>
  </si>
  <si>
    <t>序号</t>
  </si>
  <si>
    <t>餐厅编号</t>
  </si>
  <si>
    <t>餐厅名称</t>
  </si>
  <si>
    <t xml:space="preserve">    营业额                    SALES</t>
  </si>
  <si>
    <t xml:space="preserve">  交易次数                      TC </t>
  </si>
  <si>
    <t>实  际                   使用量</t>
  </si>
  <si>
    <t>实际耗用金额</t>
  </si>
  <si>
    <t>占营业额百分比</t>
  </si>
  <si>
    <t>折算标准                包装数量</t>
  </si>
  <si>
    <t>实  际                应产率</t>
  </si>
  <si>
    <t>按标准应产率计算出的总差异数量</t>
  </si>
  <si>
    <t>按标准应产率计算出的总差异金额</t>
  </si>
  <si>
    <t>实  际                  使用量</t>
  </si>
  <si>
    <t>相关产品数量</t>
  </si>
  <si>
    <t>实  际                配给率</t>
  </si>
  <si>
    <t>按标准配给率计算出的总差异数量</t>
  </si>
  <si>
    <t>按标准配给率计算出的总差异金额</t>
  </si>
  <si>
    <t>实    际                   使用金额</t>
  </si>
  <si>
    <t>配给率</t>
  </si>
  <si>
    <t>打包袋收入额</t>
  </si>
  <si>
    <t>单价核对</t>
  </si>
  <si>
    <t>（克）</t>
  </si>
  <si>
    <t>（元）</t>
  </si>
  <si>
    <t>（％）</t>
  </si>
  <si>
    <t>（份）</t>
  </si>
  <si>
    <t>(份/千克)</t>
  </si>
  <si>
    <t>（包）</t>
  </si>
  <si>
    <t>（份/包）</t>
  </si>
  <si>
    <t>（小包）</t>
  </si>
  <si>
    <t>(份/小包)</t>
  </si>
  <si>
    <t>（根）</t>
  </si>
  <si>
    <t>（份/根）</t>
  </si>
  <si>
    <t>（把）</t>
  </si>
  <si>
    <t>（份/把）</t>
  </si>
  <si>
    <t>（张）</t>
  </si>
  <si>
    <t>（份/张）</t>
  </si>
  <si>
    <t>（%）</t>
  </si>
  <si>
    <t>（张/TC）</t>
  </si>
  <si>
    <t>（件）</t>
  </si>
  <si>
    <t>（个）</t>
  </si>
  <si>
    <t>面粉</t>
  </si>
  <si>
    <t>果珍</t>
  </si>
  <si>
    <t>忆霖黑胡椒粉/孜然香辣粉</t>
  </si>
  <si>
    <t>蕃茄沙司（小包）</t>
  </si>
  <si>
    <t>此数据应与营运表数据相等</t>
  </si>
  <si>
    <t>细薯条</t>
  </si>
  <si>
    <t>门店生菜</t>
  </si>
  <si>
    <t>25号专用粉</t>
  </si>
  <si>
    <t>中辣味粉</t>
  </si>
  <si>
    <t>亿霖袋装沙司（后台）</t>
  </si>
  <si>
    <t>沙拉酱</t>
  </si>
  <si>
    <t>BBQ烤腌制粉</t>
  </si>
  <si>
    <t>蕃茄沙司（前台）</t>
  </si>
  <si>
    <t>搅拌棒</t>
  </si>
  <si>
    <t>凤凰</t>
    <phoneticPr fontId="8" type="noConversion"/>
  </si>
  <si>
    <t>全国编号</t>
  </si>
  <si>
    <t>交易次数</t>
  </si>
  <si>
    <t>28小可</t>
  </si>
  <si>
    <t>34小美年达</t>
  </si>
  <si>
    <t>37小果珍</t>
  </si>
  <si>
    <t>44阿拉斯加鳕鱼排</t>
  </si>
  <si>
    <t>50双层香辣鸡排堡</t>
  </si>
  <si>
    <t>56老包装伊利牛奶停用</t>
  </si>
  <si>
    <t>58缤纷芒果饮</t>
  </si>
  <si>
    <t>65韩式炸鸡桶（堂）</t>
  </si>
  <si>
    <t>101中美年达续杯</t>
  </si>
  <si>
    <t>102大美年达续杯</t>
  </si>
  <si>
    <t>105中可续杯</t>
  </si>
  <si>
    <t>106大可续杯</t>
  </si>
  <si>
    <t>108蝴蝶鸡排</t>
  </si>
  <si>
    <t>113百香果饮</t>
  </si>
  <si>
    <t>115蜜汁手扒鸡</t>
  </si>
  <si>
    <t>116脆皮全鸡</t>
  </si>
  <si>
    <t>1451根香辣伴翅（堂）</t>
  </si>
  <si>
    <t>146应产率快乐桶（川味脆脆鸡（3块）+黑椒鸡块+红运热辣鸡排）</t>
  </si>
  <si>
    <t>147应产率快乐桶炸鸡版（川味脆脆鸡（6块））</t>
  </si>
  <si>
    <t>157圣诞桶装百味鸡</t>
  </si>
  <si>
    <t>158圣诞桶装脆皮全鸡</t>
  </si>
  <si>
    <t>合计</t>
  </si>
  <si>
    <t>单据编号</t>
  </si>
  <si>
    <t>盘点日期</t>
  </si>
  <si>
    <t>品号</t>
  </si>
  <si>
    <t>物品类别</t>
  </si>
  <si>
    <t>会计类别</t>
  </si>
  <si>
    <t>名称</t>
  </si>
  <si>
    <t>规格型号</t>
  </si>
  <si>
    <t>单位</t>
  </si>
  <si>
    <t>昨存数量</t>
  </si>
  <si>
    <t>进货数量</t>
  </si>
  <si>
    <t>盘点后数量</t>
  </si>
  <si>
    <t>盘点前数量</t>
  </si>
  <si>
    <t>差异数量</t>
  </si>
  <si>
    <t>标准差异</t>
  </si>
  <si>
    <t>报废数量</t>
  </si>
  <si>
    <t>单价</t>
  </si>
  <si>
    <t>差异金额</t>
  </si>
  <si>
    <t>盘点后金额</t>
  </si>
  <si>
    <t>盘点前金额</t>
  </si>
  <si>
    <t>仓库</t>
  </si>
  <si>
    <t>汉堡盒</t>
    <phoneticPr fontId="8" type="noConversion"/>
  </si>
  <si>
    <t>鸡米花盒</t>
    <phoneticPr fontId="8" type="noConversion"/>
  </si>
  <si>
    <t>小餐盒</t>
    <phoneticPr fontId="8" type="noConversion"/>
  </si>
  <si>
    <t>烤翅袋</t>
    <phoneticPr fontId="8" type="noConversion"/>
  </si>
  <si>
    <t>铝箔全鸡袋</t>
    <phoneticPr fontId="8" type="noConversion"/>
  </si>
  <si>
    <t>手提袋（牛皮）</t>
    <phoneticPr fontId="8" type="noConversion"/>
  </si>
  <si>
    <t>小号方底纸袋（牛皮）</t>
    <phoneticPr fontId="8" type="noConversion"/>
  </si>
  <si>
    <t>包装量：500个/件</t>
    <phoneticPr fontId="8" type="noConversion"/>
  </si>
  <si>
    <t>包装量：1000个/件</t>
    <phoneticPr fontId="8" type="noConversion"/>
  </si>
  <si>
    <t>包装量：2000个/件</t>
    <phoneticPr fontId="8" type="noConversion"/>
  </si>
  <si>
    <t>包装量：250个/件</t>
    <phoneticPr fontId="8" type="noConversion"/>
  </si>
  <si>
    <t>汉堡盒实量</t>
  </si>
  <si>
    <t>鸡米花盒实量</t>
  </si>
  <si>
    <t>德柏小餐盒实量</t>
  </si>
  <si>
    <t>铝箔烤翅袋实量</t>
  </si>
  <si>
    <t>铝箔全鸡袋实量</t>
  </si>
  <si>
    <t>手提袋（牛皮）实量</t>
  </si>
  <si>
    <t>小号方底纸袋（牛皮）实量</t>
  </si>
  <si>
    <t>1小薯条（堂）</t>
  </si>
  <si>
    <t>2大薯条（堂）</t>
  </si>
  <si>
    <t>3黑椒鸡块（堂）</t>
  </si>
  <si>
    <t>4玉米杯（堂）</t>
  </si>
  <si>
    <t>5辣子鸡块（堂）</t>
  </si>
  <si>
    <t>6香辣鸡腿堡（堂）</t>
  </si>
  <si>
    <t>7香鸡堡（堂）</t>
  </si>
  <si>
    <t>8秘制烤鸡腿堡（堂）</t>
  </si>
  <si>
    <t>9牛气冲天堡（堂）</t>
  </si>
  <si>
    <t>10华香脆骨串（堂）</t>
  </si>
  <si>
    <t>11辣味鸡肉卷（堂）</t>
  </si>
  <si>
    <t>12泰式鸡肉卷（堂）</t>
  </si>
  <si>
    <t>13冰摇柠檬气泡茶（堂）</t>
  </si>
  <si>
    <t>14飞碟牛肉饼</t>
  </si>
  <si>
    <t>15劲脆鲜虾堡（堂）</t>
  </si>
  <si>
    <t>16鳕鱼堡（堂）</t>
  </si>
  <si>
    <t>17香辣鸡翅（堂）</t>
  </si>
  <si>
    <t>19无骨鸡柳（堂）</t>
  </si>
  <si>
    <t>201牛肉堡停用</t>
  </si>
  <si>
    <t>22秘制烤翅（堂）</t>
  </si>
  <si>
    <t>23蜜汁手扒鸡（堂）</t>
  </si>
  <si>
    <t>24脆皮全鸡（堂）</t>
  </si>
  <si>
    <t>25爆爆红果气泡饮（堂）</t>
  </si>
  <si>
    <t>26大可乐（堂）</t>
  </si>
  <si>
    <t>27中可乐（堂）</t>
  </si>
  <si>
    <t>29大七喜（堂）</t>
  </si>
  <si>
    <t>30中七喜（堂）</t>
  </si>
  <si>
    <t>31小七喜停用</t>
  </si>
  <si>
    <t>32大美年达（堂）</t>
  </si>
  <si>
    <t>33中美年达（堂）</t>
  </si>
  <si>
    <t>35大果珍（堂）</t>
  </si>
  <si>
    <t>36中果珍（堂）</t>
  </si>
  <si>
    <t>38燕山牛奶饮品（堂）</t>
  </si>
  <si>
    <t>39港式奶茶（堂）</t>
  </si>
  <si>
    <t>40红茶（堂）</t>
  </si>
  <si>
    <t>41咖啡（堂）</t>
  </si>
  <si>
    <t>42冰爽荔枝莫吉托（堂）</t>
  </si>
  <si>
    <t>43板烧鸡腿堡（堂）</t>
  </si>
  <si>
    <t>45（停用）华香鸡排-鸿运热辣堡</t>
  </si>
  <si>
    <t>46紫薯香芋派停用</t>
  </si>
  <si>
    <t>47香脆薯饼（堂）</t>
  </si>
  <si>
    <t>48鲜酥鱿鱼圈（堂）</t>
  </si>
  <si>
    <t>49扇贝鱿鱼棒停用</t>
  </si>
  <si>
    <t>51台式香酥鸡排（堂）</t>
  </si>
  <si>
    <t>52红豆奶茶停用</t>
  </si>
  <si>
    <t>53紫薯风味豆浆（堂）</t>
  </si>
  <si>
    <t>54豆浆（包）（堂）</t>
  </si>
  <si>
    <t>55白桃气泡饮（堂）</t>
  </si>
  <si>
    <t>57冰红茶（堂）</t>
  </si>
  <si>
    <t>59蜂蜜柚子茶不用的</t>
  </si>
  <si>
    <t>60香辣鸡排堡（堂）</t>
  </si>
  <si>
    <t>61香辣孜然鸡柳（堂）</t>
  </si>
  <si>
    <t>62原味香酥鸡（堂）</t>
  </si>
  <si>
    <t>63椒香扒翅（堂）</t>
  </si>
  <si>
    <t>64椒香旋风腿（堂）</t>
  </si>
  <si>
    <t>100热果珍（堂）</t>
  </si>
  <si>
    <t>101滋补烤鸡腿堡（堂）停用</t>
  </si>
  <si>
    <t>104香鸡鸡柳（堂）</t>
  </si>
  <si>
    <t>107藤椒鸡排（堂）停用</t>
  </si>
  <si>
    <t>109牛奶饮品（堂）</t>
  </si>
  <si>
    <t>110土耳其蝴蝶腿（堂）</t>
  </si>
  <si>
    <t>111轰炸大鱿鱼（堂）停用</t>
  </si>
  <si>
    <t>114开心鸡排（堂）</t>
  </si>
  <si>
    <t>118田园香蔬堡（堂）</t>
  </si>
  <si>
    <t>119双层牛肉堡（堂）停用</t>
  </si>
  <si>
    <t>120黄金伴鸡（堂）</t>
  </si>
  <si>
    <t>121香辣鸡条卷（堂）</t>
  </si>
  <si>
    <t>122蜜汁伴鸡（堂）</t>
  </si>
  <si>
    <t>124红运热辣鸡排（堂）</t>
  </si>
  <si>
    <t>127菠萝田园堡（堂）</t>
  </si>
  <si>
    <t>129菠萝鸡排堡（堂）</t>
  </si>
  <si>
    <t>132香辣双鸡堡（堂）</t>
  </si>
  <si>
    <t>134脆皮鸡翅（堂）</t>
  </si>
  <si>
    <t>135脆皮鸡块（堂）</t>
  </si>
  <si>
    <t>136脆皮鸡腿（堂）</t>
  </si>
  <si>
    <t>139菠萝气泡饮（堂）</t>
  </si>
  <si>
    <t>140原味双鸡堡（堂）</t>
  </si>
  <si>
    <t>141原味鸡排堡（堂）</t>
  </si>
  <si>
    <t>148叫了半只炸鸡</t>
  </si>
  <si>
    <t>149劲脆鲜虾卷（堂）</t>
  </si>
  <si>
    <t>150川味脆脆鸡（堂）</t>
  </si>
  <si>
    <t>151多味炸串桶（堂）</t>
  </si>
  <si>
    <t>152黄金脆薯饼（堂）</t>
  </si>
  <si>
    <t>153香芋地瓜丸（堂）</t>
  </si>
  <si>
    <t>154黑糖波波奶茶（堂）</t>
  </si>
  <si>
    <t>155唐扬鸡块（堂）</t>
  </si>
  <si>
    <t>156元气鸡排（堂）</t>
  </si>
  <si>
    <t>301买套餐送台历</t>
  </si>
  <si>
    <t>302五福星盲盒</t>
  </si>
  <si>
    <t>303南瓜芝麻球（堂）</t>
  </si>
  <si>
    <t>应产率范围：13.4-14.5份</t>
    <phoneticPr fontId="1" type="noConversion"/>
  </si>
  <si>
    <t>应产率范围：13-14.3份</t>
    <phoneticPr fontId="1" type="noConversion"/>
  </si>
  <si>
    <t>郑州西悦城</t>
  </si>
  <si>
    <t>郑州瀚海海尚</t>
  </si>
  <si>
    <t>清丰凤鸣</t>
  </si>
  <si>
    <t>新蔡水韵天街</t>
  </si>
  <si>
    <t>91004</t>
  </si>
  <si>
    <t>门店干货</t>
  </si>
  <si>
    <t>中薯盒</t>
  </si>
  <si>
    <t>个</t>
  </si>
  <si>
    <t>91008</t>
  </si>
  <si>
    <t>10000</t>
  </si>
  <si>
    <t>91009</t>
  </si>
  <si>
    <t/>
  </si>
  <si>
    <t>910111</t>
  </si>
  <si>
    <t>盐（自购）</t>
  </si>
  <si>
    <t>400g</t>
  </si>
  <si>
    <t>910131</t>
  </si>
  <si>
    <t>g</t>
  </si>
  <si>
    <t>91014</t>
  </si>
  <si>
    <t>件</t>
  </si>
  <si>
    <t>910151</t>
  </si>
  <si>
    <t>91016</t>
  </si>
  <si>
    <t>大垃圾袋</t>
  </si>
  <si>
    <t>包</t>
  </si>
  <si>
    <t>91017</t>
  </si>
  <si>
    <t>91018</t>
  </si>
  <si>
    <t>91020</t>
  </si>
  <si>
    <t>91021</t>
  </si>
  <si>
    <t>91026</t>
  </si>
  <si>
    <t>小薯条袋</t>
  </si>
  <si>
    <t>91028</t>
  </si>
  <si>
    <t>91044</t>
  </si>
  <si>
    <t>ge</t>
  </si>
  <si>
    <t>91045</t>
  </si>
  <si>
    <t>门店大号打包袋</t>
  </si>
  <si>
    <t>91046</t>
  </si>
  <si>
    <t>91047</t>
  </si>
  <si>
    <t>91051</t>
  </si>
  <si>
    <t>橙C原材料</t>
  </si>
  <si>
    <t>ke</t>
  </si>
  <si>
    <t>91058</t>
  </si>
  <si>
    <t>16A冷杯</t>
  </si>
  <si>
    <t>91059</t>
  </si>
  <si>
    <t>16A冷杯盖</t>
  </si>
  <si>
    <t>91061</t>
  </si>
  <si>
    <t>一次性手套</t>
  </si>
  <si>
    <t>dui</t>
  </si>
  <si>
    <t>91062</t>
  </si>
  <si>
    <t>bao</t>
  </si>
  <si>
    <t>91066</t>
  </si>
  <si>
    <t>91079</t>
  </si>
  <si>
    <t>91080</t>
  </si>
  <si>
    <t>91082</t>
  </si>
  <si>
    <t>3000</t>
  </si>
  <si>
    <t>91083</t>
  </si>
  <si>
    <t>大薯条袋</t>
  </si>
  <si>
    <t>91087</t>
  </si>
  <si>
    <t>22A杯</t>
  </si>
  <si>
    <t>1000</t>
  </si>
  <si>
    <t>91091</t>
  </si>
  <si>
    <t>700</t>
  </si>
  <si>
    <t>91095</t>
  </si>
  <si>
    <t>91108</t>
  </si>
  <si>
    <t>24875克/箱</t>
  </si>
  <si>
    <t>91120</t>
  </si>
  <si>
    <t>立顿香浓原味奶茶</t>
  </si>
  <si>
    <t>120</t>
  </si>
  <si>
    <t>袋</t>
  </si>
  <si>
    <t>91130</t>
  </si>
  <si>
    <t>奶茶杯盖</t>
  </si>
  <si>
    <t>2400/jian</t>
  </si>
  <si>
    <t>91132</t>
  </si>
  <si>
    <t>奶茶杯(12A热杯）</t>
  </si>
  <si>
    <t>1200/jian</t>
  </si>
  <si>
    <t>91133</t>
  </si>
  <si>
    <t>120Z波纹杯</t>
  </si>
  <si>
    <t>91134</t>
  </si>
  <si>
    <t>120Z波纹杯杯盖</t>
  </si>
  <si>
    <t>91207</t>
  </si>
  <si>
    <t>门店收银纸</t>
  </si>
  <si>
    <t>91210</t>
  </si>
  <si>
    <t>腌制袋</t>
  </si>
  <si>
    <t>卷</t>
  </si>
  <si>
    <t>91283</t>
  </si>
  <si>
    <t>玉米杯原材料</t>
  </si>
  <si>
    <t>91284</t>
  </si>
  <si>
    <t>玉米杯盖</t>
  </si>
  <si>
    <t>91364</t>
  </si>
  <si>
    <t>11517克/箱</t>
  </si>
  <si>
    <t>91403</t>
  </si>
  <si>
    <t>汉堡盒</t>
  </si>
  <si>
    <t>91404</t>
  </si>
  <si>
    <t>鸡米花盒</t>
  </si>
  <si>
    <t>91405</t>
  </si>
  <si>
    <t>德柏小餐盒</t>
  </si>
  <si>
    <t>91406</t>
  </si>
  <si>
    <t>铝箔烤翅袋</t>
  </si>
  <si>
    <t>91407</t>
  </si>
  <si>
    <t>铝箔全鸡袋</t>
  </si>
  <si>
    <t>91409</t>
  </si>
  <si>
    <t>伊利全脂甜奶粉</t>
  </si>
  <si>
    <t>33g*20小包*15袋</t>
  </si>
  <si>
    <t>91410</t>
  </si>
  <si>
    <t>阿华田咖啡（新）</t>
  </si>
  <si>
    <t>33g*30小包*10袋</t>
  </si>
  <si>
    <t>91412</t>
  </si>
  <si>
    <t>包装甜豆浆粉</t>
  </si>
  <si>
    <t>33g*80条*3包；7.92kg/件</t>
  </si>
  <si>
    <t>91416</t>
  </si>
  <si>
    <t>滤油纸（进口）</t>
  </si>
  <si>
    <t>/</t>
  </si>
  <si>
    <t>91417</t>
  </si>
  <si>
    <t>F9滤油纸</t>
  </si>
  <si>
    <t>91422</t>
  </si>
  <si>
    <t>手提袋（牛皮）</t>
  </si>
  <si>
    <t>外卖用</t>
  </si>
  <si>
    <t>91432</t>
  </si>
  <si>
    <t>国庆版65oz桶</t>
  </si>
  <si>
    <t>套</t>
  </si>
  <si>
    <t>91437</t>
  </si>
  <si>
    <t>口罩</t>
  </si>
  <si>
    <t>毫升</t>
  </si>
  <si>
    <t>91440</t>
  </si>
  <si>
    <t>700PP杯</t>
  </si>
  <si>
    <t>50个/条</t>
  </si>
  <si>
    <t>91441</t>
  </si>
  <si>
    <t>700PP杯球盖</t>
  </si>
  <si>
    <t>100个/条</t>
  </si>
  <si>
    <t>91442</t>
  </si>
  <si>
    <t>240mm红色粗吸管</t>
  </si>
  <si>
    <t>100支/包</t>
  </si>
  <si>
    <t>91448</t>
  </si>
  <si>
    <t>王道辣子鸡风味腌制粉</t>
  </si>
  <si>
    <t>91449</t>
  </si>
  <si>
    <t>百事可乐定制罐</t>
  </si>
  <si>
    <t>罐</t>
  </si>
  <si>
    <t>91451</t>
  </si>
  <si>
    <t>浓醇奶味茶</t>
  </si>
  <si>
    <t>500克/包</t>
  </si>
  <si>
    <t>91455</t>
  </si>
  <si>
    <t>尖头细纸吸管</t>
  </si>
  <si>
    <t>200支/包*25包/件.</t>
  </si>
  <si>
    <t>91456</t>
  </si>
  <si>
    <t>尖头粗纸吸管</t>
  </si>
  <si>
    <t>91464</t>
  </si>
  <si>
    <t>大号打包袋（生物降解）</t>
  </si>
  <si>
    <t>100个/袋*15袋/件.</t>
  </si>
  <si>
    <t>91465</t>
  </si>
  <si>
    <t>打包袋(生物降解）</t>
  </si>
  <si>
    <t>100个/袋*30袋/件.</t>
  </si>
  <si>
    <t>91466</t>
  </si>
  <si>
    <t>单杯袋（生物降解）</t>
  </si>
  <si>
    <t>100个/袋*50袋/件.</t>
  </si>
  <si>
    <t>91467</t>
  </si>
  <si>
    <t>木勺</t>
  </si>
  <si>
    <t>50支/包*2包/袋*20袋/件.</t>
  </si>
  <si>
    <t>91469</t>
  </si>
  <si>
    <t>滤油粉（硅酸类）</t>
  </si>
  <si>
    <t>10kg/箱.</t>
  </si>
  <si>
    <t>91470</t>
  </si>
  <si>
    <t>无纺布滤纸</t>
  </si>
  <si>
    <t>350*650mm 100张/箱.</t>
  </si>
  <si>
    <t>91471</t>
  </si>
  <si>
    <t>700PP杯（樱花版）</t>
  </si>
  <si>
    <t>50个/条*20条/件.</t>
  </si>
  <si>
    <t>91472</t>
  </si>
  <si>
    <t>樱花风味沙拉酱</t>
  </si>
  <si>
    <t>10g/包*200包/袋</t>
  </si>
  <si>
    <t>91473</t>
  </si>
  <si>
    <t>美年达粉红树莓味饮料</t>
  </si>
  <si>
    <t>11883g/箱</t>
  </si>
  <si>
    <t>916136</t>
  </si>
  <si>
    <t>小号方底纸袋（牛皮）</t>
  </si>
  <si>
    <t>500个/袋，2袋/件</t>
  </si>
  <si>
    <t>916139</t>
  </si>
  <si>
    <t>封口膜</t>
  </si>
  <si>
    <t>92004</t>
  </si>
  <si>
    <t>门店冻货</t>
  </si>
  <si>
    <t>腿肉</t>
  </si>
  <si>
    <t>pian</t>
  </si>
  <si>
    <t>片</t>
  </si>
  <si>
    <t>92011</t>
  </si>
  <si>
    <t>面饼</t>
  </si>
  <si>
    <t>92012</t>
  </si>
  <si>
    <t>虾饼</t>
  </si>
  <si>
    <t>92022</t>
  </si>
  <si>
    <t>翅中</t>
  </si>
  <si>
    <t>92023</t>
  </si>
  <si>
    <t>翅根</t>
  </si>
  <si>
    <t>92032</t>
  </si>
  <si>
    <t>92036</t>
  </si>
  <si>
    <t>750/660</t>
  </si>
  <si>
    <t>92038</t>
  </si>
  <si>
    <t>92056</t>
  </si>
  <si>
    <t>西装鸡</t>
  </si>
  <si>
    <t>只</t>
  </si>
  <si>
    <t>92059</t>
  </si>
  <si>
    <t>92061</t>
  </si>
  <si>
    <t>小腿(琵琶腿）</t>
  </si>
  <si>
    <t>92065</t>
  </si>
  <si>
    <t>切全翅</t>
  </si>
  <si>
    <t>份</t>
  </si>
  <si>
    <t>92071</t>
  </si>
  <si>
    <t>骨肉串</t>
  </si>
  <si>
    <t>92110</t>
  </si>
  <si>
    <t>田园堡肉</t>
  </si>
  <si>
    <t>92278</t>
  </si>
  <si>
    <t>92280</t>
  </si>
  <si>
    <t>鱼饼</t>
  </si>
  <si>
    <t>92283</t>
  </si>
  <si>
    <t>扒翅</t>
  </si>
  <si>
    <t>冻货</t>
  </si>
  <si>
    <t>92287</t>
  </si>
  <si>
    <t>汉堡胚</t>
  </si>
  <si>
    <t>92288</t>
  </si>
  <si>
    <t>紫薯豌豆派</t>
  </si>
  <si>
    <t>12个/20包/箱</t>
  </si>
  <si>
    <t>92289</t>
  </si>
  <si>
    <t>油条</t>
  </si>
  <si>
    <t>20个/6包/件</t>
  </si>
  <si>
    <t>92302</t>
  </si>
  <si>
    <t>蝴蝶腿</t>
  </si>
  <si>
    <t>16个/6包/件（96个））</t>
  </si>
  <si>
    <t>92304</t>
  </si>
  <si>
    <t>新品牛肉饼</t>
  </si>
  <si>
    <t>92305</t>
  </si>
  <si>
    <t>唐扬鸡块原材料</t>
  </si>
  <si>
    <t>40±2个/袋  1千克/袋*10袋/箱</t>
  </si>
  <si>
    <t>92307</t>
  </si>
  <si>
    <t>腿肉条</t>
  </si>
  <si>
    <t>条</t>
  </si>
  <si>
    <t>92310</t>
  </si>
  <si>
    <t>红运热辣鸡排120-135</t>
  </si>
  <si>
    <t>92311</t>
  </si>
  <si>
    <t>鸿运热辣鸡排135-150</t>
  </si>
  <si>
    <t>92312</t>
  </si>
  <si>
    <t>台式鸡排（原材料）</t>
  </si>
  <si>
    <t>92314</t>
  </si>
  <si>
    <t>六块鸡（分块）</t>
  </si>
  <si>
    <t>块</t>
  </si>
  <si>
    <t>92316</t>
  </si>
  <si>
    <t>带皮腿肉</t>
  </si>
  <si>
    <t>92318</t>
  </si>
  <si>
    <t>香芋地瓜丸原材料</t>
  </si>
  <si>
    <t>92324</t>
  </si>
  <si>
    <t>20串/包</t>
  </si>
  <si>
    <t>串</t>
  </si>
  <si>
    <t>92326</t>
  </si>
  <si>
    <t>黑糖风味粉圆</t>
  </si>
  <si>
    <t>92327</t>
  </si>
  <si>
    <t>翅中尖</t>
  </si>
  <si>
    <t>24个/袋*10袋/箱</t>
  </si>
  <si>
    <t>93012</t>
  </si>
  <si>
    <t>门店礼品</t>
  </si>
  <si>
    <t>套餐券</t>
  </si>
  <si>
    <t>E0O2</t>
  </si>
  <si>
    <t>E0M8</t>
  </si>
  <si>
    <t>EG22</t>
  </si>
  <si>
    <t>EA41</t>
  </si>
  <si>
    <t>橙C原材料</t>
    <phoneticPr fontId="1" type="noConversion"/>
  </si>
  <si>
    <t>郑州政六街</t>
  </si>
  <si>
    <t>郑州铁英街</t>
  </si>
  <si>
    <t>郑州康复中街</t>
  </si>
  <si>
    <t>方城锦城国际</t>
  </si>
  <si>
    <t>E0O4</t>
  </si>
  <si>
    <t>E0N0</t>
  </si>
  <si>
    <t>E0N6</t>
  </si>
  <si>
    <t>EBB3</t>
  </si>
  <si>
    <t>辅助列</t>
    <phoneticPr fontId="8" type="noConversion"/>
  </si>
  <si>
    <t>备注</t>
  </si>
  <si>
    <t>91022</t>
  </si>
  <si>
    <t>4#全鸡袋</t>
  </si>
  <si>
    <t>91389</t>
  </si>
  <si>
    <t>门店滤油纸（国产）</t>
  </si>
  <si>
    <t>91427</t>
  </si>
  <si>
    <t>65oz桶</t>
  </si>
  <si>
    <t>125个 /件</t>
  </si>
  <si>
    <t>91434</t>
  </si>
  <si>
    <t>百事冰红茶</t>
  </si>
  <si>
    <t>10L</t>
  </si>
  <si>
    <t>91446</t>
  </si>
  <si>
    <t>830ML桶</t>
  </si>
  <si>
    <t>91447</t>
  </si>
  <si>
    <t>韩式琥珀酱</t>
  </si>
  <si>
    <t>50小包/袋</t>
  </si>
  <si>
    <t>91474</t>
  </si>
  <si>
    <t>玫珑蜜瓜风味果汁饮料浓浆</t>
  </si>
  <si>
    <t>1L/盒*12盒/件.</t>
  </si>
  <si>
    <t>黑椒鸡块原材料</t>
  </si>
  <si>
    <t>92322</t>
  </si>
  <si>
    <t>原味带骨鸡腿块</t>
  </si>
  <si>
    <t>92328</t>
  </si>
  <si>
    <t>南瓜芝麻球原材料</t>
  </si>
  <si>
    <t>22g/个   240个/件：12个/袋*20袋/件</t>
  </si>
  <si>
    <t>在系统导出的2个应产率表中取数</t>
    <phoneticPr fontId="1" type="noConversion"/>
  </si>
  <si>
    <t>序号</t>
    <phoneticPr fontId="1" type="noConversion"/>
  </si>
  <si>
    <t>在系统导出的产品销售汇总表中取数</t>
    <phoneticPr fontId="1" type="noConversion"/>
  </si>
  <si>
    <t>159粉红樱花气泡饮（堂）</t>
    <phoneticPr fontId="1" type="noConversion"/>
  </si>
  <si>
    <t>160玫珑瓜气泡饮（堂）</t>
    <phoneticPr fontId="1" type="noConversion"/>
  </si>
  <si>
    <t>161大饼卷牛肉（堂）</t>
  </si>
  <si>
    <t>162土耳其炸鸡（堂）</t>
  </si>
  <si>
    <t>300梦想家系列盲盒（堂）</t>
  </si>
  <si>
    <t>21香酥鸡腿（堂）</t>
    <phoneticPr fontId="1" type="noConversion"/>
  </si>
  <si>
    <t>18鸡米花（堂）</t>
    <phoneticPr fontId="1" type="noConversion"/>
  </si>
  <si>
    <t>辅助表负数改为0</t>
    <phoneticPr fontId="1" type="noConversion"/>
  </si>
  <si>
    <t>E0L2</t>
  </si>
  <si>
    <t>郑州盛华里</t>
  </si>
  <si>
    <t>EF43</t>
  </si>
  <si>
    <t>滑县滑台</t>
  </si>
  <si>
    <t>E0P4</t>
  </si>
  <si>
    <t>郑州裕华</t>
  </si>
  <si>
    <t>E0P6</t>
  </si>
  <si>
    <t>华山龙源</t>
  </si>
  <si>
    <t>130王道鸡米花（堂）</t>
    <phoneticPr fontId="1" type="noConversion"/>
  </si>
  <si>
    <t>梦想家盲盒</t>
    <phoneticPr fontId="8" type="noConversion"/>
  </si>
  <si>
    <t>玩具礼品</t>
    <phoneticPr fontId="1" type="noConversion"/>
  </si>
  <si>
    <t>新春盲盒</t>
    <phoneticPr fontId="1" type="noConversion"/>
  </si>
  <si>
    <t>91443</t>
  </si>
  <si>
    <t>91475</t>
  </si>
  <si>
    <t>91476</t>
  </si>
  <si>
    <t>91477</t>
  </si>
  <si>
    <t>92014</t>
  </si>
  <si>
    <t>92329</t>
  </si>
  <si>
    <t>92330</t>
  </si>
  <si>
    <t>93025</t>
  </si>
  <si>
    <t>93027</t>
  </si>
  <si>
    <t>93031</t>
  </si>
  <si>
    <t>93032</t>
  </si>
  <si>
    <t>93033</t>
  </si>
  <si>
    <t>93034</t>
  </si>
  <si>
    <t>礼品</t>
  </si>
  <si>
    <t>黑胡椒粉.</t>
  </si>
  <si>
    <t>餐盘纸（六一儿童节版）</t>
  </si>
  <si>
    <t>土耳其火山烧烤小粉包</t>
  </si>
  <si>
    <t>3g*100包*10袋/箱</t>
  </si>
  <si>
    <t>黑椒烤肉风味沙拉酱</t>
  </si>
  <si>
    <t>700g/包*12包/件.</t>
  </si>
  <si>
    <t>外卖薯条盒</t>
  </si>
  <si>
    <t>250个/袋*4袋/件1000个/件</t>
  </si>
  <si>
    <t>牛肉饼</t>
  </si>
  <si>
    <t>对抵1440克原味带骨鸡腿块</t>
  </si>
  <si>
    <t>对抵2个135鸡排</t>
  </si>
  <si>
    <t>对抵1个135鸡排</t>
  </si>
  <si>
    <t>意式一口肠原材料</t>
  </si>
  <si>
    <t>对抵12个切全翅</t>
  </si>
  <si>
    <t>原味鸡排80-95</t>
  </si>
  <si>
    <t>12片/包*10包/件</t>
  </si>
  <si>
    <t>烤翅根</t>
  </si>
  <si>
    <t>开心大礼盒（圣诞版）</t>
  </si>
  <si>
    <t>圣诞水晶球</t>
  </si>
  <si>
    <t>六一吹龙口哨</t>
  </si>
  <si>
    <t>100个/包*50包/件.</t>
  </si>
  <si>
    <t>六一吹龙纸卡</t>
  </si>
  <si>
    <t>六一涂鸦本</t>
  </si>
  <si>
    <t>单本独立包装*25本/袋.</t>
  </si>
  <si>
    <t>本</t>
  </si>
  <si>
    <t>2021六一IP盲盒</t>
  </si>
  <si>
    <t>50个/箱.</t>
  </si>
  <si>
    <t>郑州政六街2021六一IP盲盒</t>
  </si>
  <si>
    <t>郑州铁英街2021六一IP盲盒</t>
  </si>
  <si>
    <t>郑州西悦城2021六一IP盲盒</t>
  </si>
  <si>
    <t>郑州瀚海海尚2021六一IP盲盒</t>
  </si>
  <si>
    <t>华山龙源2021六一IP盲盒</t>
  </si>
  <si>
    <t>新蔡水韵天街2021六一IP盲盒</t>
  </si>
  <si>
    <t>郑州康复中街2021六一IP盲盒</t>
  </si>
  <si>
    <t>方城锦城国际2021六一IP盲盒</t>
  </si>
  <si>
    <t>清丰凤鸣2021六一IP盲盒</t>
  </si>
  <si>
    <t>郑州裕华2021六一IP盲盒</t>
  </si>
  <si>
    <t>滑县滑台2021六一IP盲盒</t>
  </si>
  <si>
    <t>郑州盛华里2021六一IP盲盒</t>
  </si>
  <si>
    <t>合并</t>
    <phoneticPr fontId="1" type="noConversion"/>
  </si>
  <si>
    <t>3112个香辣翅根（堂）</t>
  </si>
  <si>
    <t>66595621070001</t>
  </si>
  <si>
    <t>65665621070001</t>
  </si>
  <si>
    <t>67755621070001</t>
  </si>
  <si>
    <t>66715621070001</t>
  </si>
  <si>
    <t>66925621070001</t>
  </si>
  <si>
    <t>66295621070001</t>
  </si>
  <si>
    <t>67005621070001</t>
  </si>
  <si>
    <t>67275621060001</t>
  </si>
  <si>
    <t>67335621070003</t>
  </si>
  <si>
    <t>67095621070001</t>
  </si>
  <si>
    <t>66265621070001</t>
  </si>
  <si>
    <t>66935621070001</t>
  </si>
  <si>
    <t>91362</t>
  </si>
  <si>
    <t>91423</t>
  </si>
  <si>
    <t>91478</t>
  </si>
  <si>
    <t>91479</t>
  </si>
  <si>
    <t>92331</t>
  </si>
  <si>
    <t>92332</t>
  </si>
  <si>
    <t>93030</t>
  </si>
  <si>
    <t>销售数量</t>
  </si>
  <si>
    <t>对抵891个外卖薯条盒</t>
  </si>
  <si>
    <t>对抵1151个外卖薯条盒</t>
  </si>
  <si>
    <t>对抵837克黑椒烤肉风味沙拉酱</t>
  </si>
  <si>
    <t>伯爵红茶</t>
  </si>
  <si>
    <t>25包/6盒/件</t>
  </si>
  <si>
    <t>对抵184个德柏小餐盒</t>
  </si>
  <si>
    <t>对抵353个德柏小餐盒</t>
  </si>
  <si>
    <t>对抵1109个德柏小餐盒</t>
  </si>
  <si>
    <t>对抵178个德柏小餐盒</t>
  </si>
  <si>
    <t>对抵362个汉堡盒</t>
  </si>
  <si>
    <t>对抵513个汉堡盒</t>
  </si>
  <si>
    <t>对抵1911个汉堡盒</t>
  </si>
  <si>
    <t>对抵356个汉堡盒</t>
  </si>
  <si>
    <t>川宁英式早餐红茶</t>
  </si>
  <si>
    <t>原材料</t>
  </si>
  <si>
    <t>对抵10杯中可</t>
  </si>
  <si>
    <t>对抵12杯装可乐</t>
  </si>
  <si>
    <t>对抵837克沙拉酱</t>
  </si>
  <si>
    <t>对抵1151个中薯盒</t>
  </si>
  <si>
    <t>对抵891个中薯盒</t>
  </si>
  <si>
    <t>霸王翅袋子</t>
  </si>
  <si>
    <t>350个/袋*1袋/件</t>
  </si>
  <si>
    <t>菠萝啤酒风味糖浆</t>
  </si>
  <si>
    <t>1000ml/瓶*4瓶/件</t>
  </si>
  <si>
    <t>对抵229个原味鸡排80-95</t>
  </si>
  <si>
    <t>对抵10个带皮腿肉</t>
  </si>
  <si>
    <t>对抵375个原味鸡排80-95</t>
  </si>
  <si>
    <t>对抵144个腿肉条</t>
  </si>
  <si>
    <t>对抵18个带皮腿肉</t>
  </si>
  <si>
    <t>对抵2个腿肉条</t>
  </si>
  <si>
    <t>对抵155个135鸡排</t>
  </si>
  <si>
    <t>对抵25个新品牛肉饼</t>
  </si>
  <si>
    <t>对抵19个切全翅</t>
  </si>
  <si>
    <t>对抵2个切全翅</t>
  </si>
  <si>
    <t>对抵35个切全翅</t>
  </si>
  <si>
    <t>对抵75个切全翅</t>
  </si>
  <si>
    <t>对抵600个烤翅根</t>
  </si>
  <si>
    <t>对抵60块六块鸡（分块）</t>
  </si>
  <si>
    <t>对抵6六块鸡（分块）</t>
  </si>
  <si>
    <t>对抵78块六块鸡</t>
  </si>
  <si>
    <t>对抵9个蝴蝶腿</t>
  </si>
  <si>
    <t>对抵13个蝴蝶腿</t>
  </si>
  <si>
    <t>对抵44个蝴蝶腿</t>
  </si>
  <si>
    <t>对抵102个蝴蝶腿</t>
  </si>
  <si>
    <t>对抵158个蝴蝶腿</t>
  </si>
  <si>
    <t>对抵71个蝴蝶腿</t>
  </si>
  <si>
    <t>对抵124个蝴蝶腿</t>
  </si>
  <si>
    <t>对抵179个蝴蝶腿</t>
  </si>
  <si>
    <t>对抵67个蝴蝶腿</t>
  </si>
  <si>
    <t>对抵19个翅中、12个翅中间、31个烤翅根</t>
  </si>
  <si>
    <t>对抵51个翅中尖51个烤翅根</t>
  </si>
  <si>
    <t>对抵159个翅中间、159个烤翅根</t>
  </si>
  <si>
    <t>对抵72个翅中尖、72个烤翅根</t>
  </si>
  <si>
    <t>对抵75个翅根72个切全翅</t>
  </si>
  <si>
    <t>对抵2个翅中翅根</t>
  </si>
  <si>
    <t>对抵35个翅根、35个翅中尖</t>
  </si>
  <si>
    <t>对抵13个小腿(琵琶腿）</t>
  </si>
  <si>
    <t>对抵44个小腿(琵琶腿）</t>
  </si>
  <si>
    <t>对抵158个小腿(琵琶腿）</t>
  </si>
  <si>
    <t>对抵102个小腿(琵琶腿）</t>
  </si>
  <si>
    <t>对抵71个小腿(琵琶腿）</t>
  </si>
  <si>
    <t>对抵124个小腿(琵琶腿）</t>
  </si>
  <si>
    <t>对抵179个小腿(琵琶腿）</t>
  </si>
  <si>
    <t>对抵67个小腿(琵琶腿）</t>
  </si>
  <si>
    <t>对抵9个小腿(琵琶腿）</t>
  </si>
  <si>
    <t>对抵25个牛肉饼</t>
  </si>
  <si>
    <t>对抵54个135鸡排</t>
  </si>
  <si>
    <t>对抵72个腿肉</t>
  </si>
  <si>
    <t>对抵1个腿肉</t>
  </si>
  <si>
    <t>对抵4个鸿运热辣鸡排135-150</t>
  </si>
  <si>
    <t>对抵3.6个135鸡排</t>
  </si>
  <si>
    <t>对抵6个135鸡排</t>
  </si>
  <si>
    <t>对抵5个鸿运热辣鸡排135-150</t>
  </si>
  <si>
    <t>对抵2个鸿运热辣鸡排135-150</t>
  </si>
  <si>
    <t>对抵2个红运热辣鸡排120-135</t>
  </si>
  <si>
    <t>对抵5个红运热辣鸡排120-135</t>
  </si>
  <si>
    <t>对抵6个120鸡排、对抵214个腿肉条</t>
  </si>
  <si>
    <t>对抵1个120鸡排</t>
  </si>
  <si>
    <t>对抵4个120鸡排</t>
  </si>
  <si>
    <t>对抵4个红运热辣鸡排120-135</t>
  </si>
  <si>
    <t>对抵310片腿肉</t>
  </si>
  <si>
    <t>对抵1个120鸡排、对抵2个台式鸡排</t>
  </si>
  <si>
    <t>对抵48个原味鸡排80-95</t>
  </si>
  <si>
    <t>对抵9910克原味带骨鸡腿块、对抵10只西装鸡</t>
  </si>
  <si>
    <t>对抵1只西装鸡</t>
  </si>
  <si>
    <t>对抵13只西装鸡</t>
  </si>
  <si>
    <t>对抵18320克原味带骨鸡腿块</t>
  </si>
  <si>
    <t>对抵11880克原味带骨鸡腿块</t>
  </si>
  <si>
    <t>对抵36720克原味带骨鸡腿块</t>
  </si>
  <si>
    <t>对抵18个腿肉</t>
  </si>
  <si>
    <t>对抵10个腿肉</t>
  </si>
  <si>
    <t>对抵5个原味鸡排80-95</t>
  </si>
  <si>
    <t>对抵306块六块鸡（分块）</t>
  </si>
  <si>
    <t>对抵99块六块鸡（分块）</t>
  </si>
  <si>
    <t>对抵153块六块鸡（分块）</t>
  </si>
  <si>
    <t>对抵12块六块鸡（分块）</t>
  </si>
  <si>
    <t>对抵83块六块鸡（分块）</t>
  </si>
  <si>
    <t>对抵72个切全翅</t>
  </si>
  <si>
    <t>对抵159个切全翅</t>
  </si>
  <si>
    <t>对抵51个切全翅</t>
  </si>
  <si>
    <t>对抵375个腿肉</t>
  </si>
  <si>
    <t>对抵229个腿肉</t>
  </si>
  <si>
    <t>对抵24个台式鸡排（原材料）、对抵5个带皮腿肉</t>
  </si>
  <si>
    <t>对抵600个翅根、对抵31个切全翅</t>
  </si>
  <si>
    <t>辣条风味半鸡</t>
  </si>
  <si>
    <t>16包/箱，2片/包</t>
  </si>
  <si>
    <t>奥尔良风味翅串</t>
  </si>
  <si>
    <t>1.473kg/袋*8袋/箱，一袋10串</t>
  </si>
  <si>
    <t>2021新春IP盲盒</t>
  </si>
  <si>
    <t>50个/件</t>
  </si>
  <si>
    <t>对抵4个2021六一IP盲盒</t>
  </si>
  <si>
    <t>对抵4个2021新春IP盲盒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</si>
</sst>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);[Red]\(0.00\)"/>
    <numFmt numFmtId="177" formatCode="0.0000_);[Red]\(0.0000\)"/>
    <numFmt numFmtId="178" formatCode="0.0_);[Red]\(0.0\)"/>
    <numFmt numFmtId="179" formatCode="0.00_ "/>
    <numFmt numFmtId="180" formatCode="0.000000_ "/>
    <numFmt numFmtId="181" formatCode="0_ "/>
    <numFmt numFmtId="182" formatCode="_-* #,##0_-;\-* #,##0_-;_-* &quot;-&quot;_-;_-@_-"/>
    <numFmt numFmtId="183" formatCode="yyyy\-mm\-dd"/>
  </numFmts>
  <fonts count="2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b/>
      <sz val="12"/>
      <name val="宋体"/>
      <family val="3"/>
      <charset val="134"/>
    </font>
    <font>
      <sz val="9"/>
      <name val="宋体"/>
      <family val="3"/>
      <charset val="134"/>
    </font>
    <font>
      <sz val="12"/>
      <color indexed="8"/>
      <name val="宋体"/>
      <family val="3"/>
      <charset val="134"/>
    </font>
    <font>
      <sz val="12"/>
      <color theme="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2"/>
      <name val="Arial"/>
      <family val="2"/>
    </font>
    <font>
      <sz val="12"/>
      <color theme="1"/>
      <name val="等线"/>
      <family val="2"/>
      <charset val="134"/>
      <scheme val="minor"/>
    </font>
    <font>
      <sz val="12"/>
      <color indexed="10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3"/>
      <charset val="134"/>
    </font>
    <font>
      <sz val="9"/>
      <color indexed="81"/>
      <name val="宋体"/>
      <charset val="134"/>
    </font>
    <font>
      <b/>
      <sz val="9"/>
      <color indexed="81"/>
      <name val="宋体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</cellStyleXfs>
  <cellXfs count="202">
    <xf numFmtId="0" fontId="0" fillId="0" borderId="0" xfId="0">
      <alignment vertical="center"/>
    </xf>
    <xf numFmtId="177" fontId="3" fillId="2" borderId="1" xfId="0" applyNumberFormat="1" applyFont="1" applyFill="1" applyBorder="1" applyAlignment="1"/>
    <xf numFmtId="177" fontId="3" fillId="0" borderId="1" xfId="0" applyNumberFormat="1" applyFont="1" applyBorder="1" applyAlignment="1"/>
    <xf numFmtId="0" fontId="0" fillId="0" borderId="0" xfId="0" applyAlignment="1"/>
    <xf numFmtId="179" fontId="3" fillId="0" borderId="9" xfId="0" applyNumberFormat="1" applyFont="1" applyBorder="1" applyAlignment="1">
      <alignment horizontal="center" vertical="center"/>
    </xf>
    <xf numFmtId="179" fontId="3" fillId="5" borderId="1" xfId="0" applyNumberFormat="1" applyFont="1" applyFill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0" fontId="3" fillId="5" borderId="1" xfId="0" applyNumberFormat="1" applyFont="1" applyFill="1" applyBorder="1" applyAlignment="1">
      <alignment horizontal="center" vertical="center"/>
    </xf>
    <xf numFmtId="180" fontId="3" fillId="0" borderId="0" xfId="0" applyNumberFormat="1" applyFont="1" applyAlignment="1"/>
    <xf numFmtId="179" fontId="3" fillId="0" borderId="0" xfId="0" applyNumberFormat="1" applyFont="1" applyAlignment="1"/>
    <xf numFmtId="181" fontId="3" fillId="0" borderId="9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15" xfId="0" applyFont="1" applyBorder="1" applyAlignment="1"/>
    <xf numFmtId="0" fontId="4" fillId="0" borderId="0" xfId="0" applyFont="1" applyAlignment="1"/>
    <xf numFmtId="182" fontId="5" fillId="0" borderId="1" xfId="3" applyNumberFormat="1" applyFont="1" applyBorder="1" applyAlignment="1">
      <alignment horizontal="center" vertical="center"/>
    </xf>
    <xf numFmtId="0" fontId="4" fillId="2" borderId="1" xfId="0" applyFont="1" applyFill="1" applyBorder="1" applyAlignment="1"/>
    <xf numFmtId="0" fontId="4" fillId="0" borderId="1" xfId="0" applyFont="1" applyBorder="1" applyAlignment="1"/>
    <xf numFmtId="0" fontId="2" fillId="0" borderId="1" xfId="4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82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82" fontId="2" fillId="7" borderId="1" xfId="0" applyNumberFormat="1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/>
    <xf numFmtId="0" fontId="6" fillId="0" borderId="1" xfId="0" applyFont="1" applyBorder="1" applyAlignment="1"/>
    <xf numFmtId="0" fontId="6" fillId="0" borderId="1" xfId="0" applyFont="1" applyBorder="1">
      <alignment vertical="center"/>
    </xf>
    <xf numFmtId="0" fontId="6" fillId="2" borderId="1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0" xfId="0" applyFont="1">
      <alignment vertical="center"/>
    </xf>
    <xf numFmtId="0" fontId="5" fillId="0" borderId="0" xfId="0" applyFont="1" applyAlignment="1"/>
    <xf numFmtId="0" fontId="7" fillId="0" borderId="2" xfId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0" fillId="0" borderId="0" xfId="0" applyFont="1" applyAlignment="1"/>
    <xf numFmtId="179" fontId="10" fillId="0" borderId="4" xfId="1" applyNumberFormat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17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10" fontId="10" fillId="0" borderId="1" xfId="0" applyNumberFormat="1" applyFont="1" applyBorder="1" applyAlignment="1">
      <alignment horizontal="center" vertical="center" wrapText="1"/>
    </xf>
    <xf numFmtId="179" fontId="10" fillId="0" borderId="1" xfId="0" applyNumberFormat="1" applyFont="1" applyBorder="1" applyAlignment="1">
      <alignment horizontal="center" vertical="center" wrapText="1"/>
    </xf>
    <xf numFmtId="176" fontId="10" fillId="0" borderId="1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0" fontId="10" fillId="0" borderId="1" xfId="0" applyNumberFormat="1" applyFont="1" applyBorder="1" applyAlignment="1">
      <alignment horizontal="center" vertical="center"/>
    </xf>
    <xf numFmtId="176" fontId="10" fillId="0" borderId="1" xfId="0" applyNumberFormat="1" applyFont="1" applyBorder="1" applyAlignment="1">
      <alignment horizontal="center" vertical="center"/>
    </xf>
    <xf numFmtId="179" fontId="10" fillId="4" borderId="1" xfId="2" applyNumberFormat="1" applyFont="1" applyFill="1" applyBorder="1" applyAlignment="1">
      <alignment horizontal="center" vertical="center" wrapText="1"/>
    </xf>
    <xf numFmtId="179" fontId="10" fillId="4" borderId="13" xfId="2" applyNumberFormat="1" applyFont="1" applyFill="1" applyBorder="1" applyAlignment="1">
      <alignment horizontal="center" vertical="center" wrapText="1"/>
    </xf>
    <xf numFmtId="179" fontId="10" fillId="0" borderId="14" xfId="2" applyNumberFormat="1" applyFont="1" applyBorder="1" applyAlignment="1">
      <alignment horizontal="center" vertical="center" wrapText="1"/>
    </xf>
    <xf numFmtId="179" fontId="10" fillId="0" borderId="0" xfId="2" applyNumberFormat="1" applyFont="1" applyAlignment="1">
      <alignment horizontal="center" vertical="center" wrapText="1"/>
    </xf>
    <xf numFmtId="179" fontId="3" fillId="5" borderId="1" xfId="1" applyNumberFormat="1" applyFont="1" applyFill="1" applyBorder="1" applyAlignment="1">
      <alignment horizontal="center" vertical="center"/>
    </xf>
    <xf numFmtId="179" fontId="3" fillId="5" borderId="1" xfId="3" applyNumberFormat="1" applyFont="1" applyFill="1" applyBorder="1" applyAlignment="1">
      <alignment horizontal="center" vertical="center"/>
    </xf>
    <xf numFmtId="181" fontId="2" fillId="0" borderId="9" xfId="0" applyNumberFormat="1" applyFont="1" applyBorder="1" applyAlignment="1">
      <alignment horizontal="center" vertical="center"/>
    </xf>
    <xf numFmtId="179" fontId="2" fillId="5" borderId="1" xfId="0" applyNumberFormat="1" applyFont="1" applyFill="1" applyBorder="1" applyAlignment="1">
      <alignment horizontal="center" vertical="center"/>
    </xf>
    <xf numFmtId="179" fontId="2" fillId="5" borderId="1" xfId="1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9" fontId="2" fillId="0" borderId="9" xfId="0" applyNumberFormat="1" applyFont="1" applyBorder="1" applyAlignment="1">
      <alignment horizontal="center" vertical="center"/>
    </xf>
    <xf numFmtId="179" fontId="2" fillId="5" borderId="1" xfId="3" applyNumberFormat="1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80" fontId="2" fillId="0" borderId="0" xfId="0" applyNumberFormat="1" applyFont="1" applyAlignment="1"/>
    <xf numFmtId="0" fontId="5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0" fontId="0" fillId="8" borderId="0" xfId="0" applyFill="1" applyAlignment="1"/>
    <xf numFmtId="0" fontId="3" fillId="3" borderId="0" xfId="0" applyFont="1" applyFill="1" applyAlignment="1"/>
    <xf numFmtId="179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0" xfId="0" applyFont="1" applyFill="1">
      <alignment vertical="center"/>
    </xf>
    <xf numFmtId="0" fontId="4" fillId="0" borderId="1" xfId="0" applyFont="1" applyFill="1" applyBorder="1" applyAlignment="1"/>
    <xf numFmtId="0" fontId="3" fillId="2" borderId="1" xfId="4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9" fontId="3" fillId="9" borderId="1" xfId="0" applyNumberFormat="1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180" fontId="3" fillId="2" borderId="0" xfId="0" applyNumberFormat="1" applyFont="1" applyFill="1" applyAlignment="1"/>
    <xf numFmtId="180" fontId="3" fillId="0" borderId="0" xfId="0" applyNumberFormat="1" applyFont="1" applyFill="1" applyAlignment="1"/>
    <xf numFmtId="0" fontId="0" fillId="3" borderId="0" xfId="0" applyFill="1" applyAlignment="1"/>
    <xf numFmtId="183" fontId="0" fillId="0" borderId="0" xfId="0" applyNumberFormat="1" applyAlignment="1"/>
    <xf numFmtId="0" fontId="13" fillId="0" borderId="0" xfId="0" applyFont="1" applyAlignment="1"/>
    <xf numFmtId="0" fontId="13" fillId="8" borderId="0" xfId="0" applyFont="1" applyFill="1" applyAlignment="1"/>
    <xf numFmtId="0" fontId="14" fillId="0" borderId="0" xfId="0" applyFont="1" applyAlignment="1"/>
    <xf numFmtId="0" fontId="5" fillId="0" borderId="0" xfId="0" applyFont="1" applyFill="1" applyAlignment="1">
      <alignment horizontal="center" vertical="center"/>
    </xf>
    <xf numFmtId="0" fontId="4" fillId="0" borderId="10" xfId="0" applyFont="1" applyBorder="1" applyAlignment="1"/>
    <xf numFmtId="0" fontId="4" fillId="0" borderId="12" xfId="0" applyFont="1" applyBorder="1" applyAlignment="1"/>
    <xf numFmtId="0" fontId="2" fillId="0" borderId="10" xfId="0" applyFont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182" fontId="2" fillId="0" borderId="10" xfId="0" applyNumberFormat="1" applyFont="1" applyBorder="1" applyAlignment="1">
      <alignment horizontal="center" vertical="center"/>
    </xf>
    <xf numFmtId="179" fontId="3" fillId="11" borderId="1" xfId="0" applyNumberFormat="1" applyFont="1" applyFill="1" applyBorder="1" applyAlignment="1">
      <alignment horizontal="center" vertical="center"/>
    </xf>
    <xf numFmtId="179" fontId="3" fillId="2" borderId="1" xfId="0" applyNumberFormat="1" applyFont="1" applyFill="1" applyBorder="1" applyAlignment="1">
      <alignment horizontal="center" vertical="center"/>
    </xf>
    <xf numFmtId="179" fontId="3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/>
    <xf numFmtId="0" fontId="7" fillId="0" borderId="0" xfId="0" applyFont="1" applyAlignment="1"/>
    <xf numFmtId="0" fontId="5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179" fontId="2" fillId="0" borderId="0" xfId="0" applyNumberFormat="1" applyFont="1" applyFill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9" fontId="3" fillId="0" borderId="1" xfId="0" applyNumberFormat="1" applyFont="1" applyFill="1" applyBorder="1" applyAlignment="1">
      <alignment horizontal="center" vertical="center"/>
    </xf>
    <xf numFmtId="0" fontId="4" fillId="0" borderId="19" xfId="0" applyFont="1" applyBorder="1" applyAlignment="1"/>
    <xf numFmtId="0" fontId="5" fillId="0" borderId="1" xfId="0" applyFont="1" applyBorder="1" applyAlignment="1"/>
    <xf numFmtId="176" fontId="15" fillId="0" borderId="0" xfId="0" applyNumberFormat="1" applyFont="1" applyAlignment="1">
      <alignment horizontal="center"/>
    </xf>
    <xf numFmtId="176" fontId="10" fillId="3" borderId="0" xfId="0" applyNumberFormat="1" applyFont="1" applyFill="1" applyAlignment="1">
      <alignment horizontal="left"/>
    </xf>
    <xf numFmtId="176" fontId="10" fillId="3" borderId="0" xfId="0" applyNumberFormat="1" applyFont="1" applyFill="1" applyAlignment="1">
      <alignment horizontal="center"/>
    </xf>
    <xf numFmtId="176" fontId="10" fillId="12" borderId="0" xfId="0" applyNumberFormat="1" applyFont="1" applyFill="1" applyAlignment="1">
      <alignment horizontal="center"/>
    </xf>
    <xf numFmtId="176" fontId="10" fillId="0" borderId="0" xfId="0" applyNumberFormat="1" applyFont="1" applyAlignment="1">
      <alignment horizontal="center"/>
    </xf>
    <xf numFmtId="176" fontId="7" fillId="0" borderId="1" xfId="0" applyNumberFormat="1" applyFont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 wrapText="1"/>
    </xf>
    <xf numFmtId="176" fontId="7" fillId="0" borderId="1" xfId="0" applyNumberFormat="1" applyFont="1" applyFill="1" applyBorder="1" applyAlignment="1">
      <alignment horizontal="center" vertical="center" wrapText="1"/>
    </xf>
    <xf numFmtId="176" fontId="7" fillId="3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>
      <alignment horizontal="center" vertical="center"/>
    </xf>
    <xf numFmtId="176" fontId="7" fillId="0" borderId="0" xfId="0" applyNumberFormat="1" applyFont="1" applyAlignment="1">
      <alignment horizontal="center"/>
    </xf>
    <xf numFmtId="176" fontId="3" fillId="0" borderId="1" xfId="0" applyNumberFormat="1" applyFont="1" applyBorder="1" applyAlignment="1">
      <alignment horizontal="center"/>
    </xf>
    <xf numFmtId="176" fontId="3" fillId="0" borderId="1" xfId="0" applyNumberFormat="1" applyFont="1" applyBorder="1" applyAlignment="1"/>
    <xf numFmtId="176" fontId="3" fillId="0" borderId="0" xfId="0" applyNumberFormat="1" applyFont="1" applyAlignment="1">
      <alignment horizontal="center"/>
    </xf>
    <xf numFmtId="176" fontId="3" fillId="2" borderId="1" xfId="0" applyNumberFormat="1" applyFont="1" applyFill="1" applyBorder="1" applyAlignment="1">
      <alignment horizontal="center"/>
    </xf>
    <xf numFmtId="176" fontId="3" fillId="2" borderId="0" xfId="0" applyNumberFormat="1" applyFont="1" applyFill="1" applyAlignment="1">
      <alignment horizontal="center"/>
    </xf>
    <xf numFmtId="176" fontId="3" fillId="0" borderId="1" xfId="0" applyNumberFormat="1" applyFont="1" applyFill="1" applyBorder="1" applyAlignment="1">
      <alignment horizontal="center"/>
    </xf>
    <xf numFmtId="177" fontId="3" fillId="0" borderId="1" xfId="0" applyNumberFormat="1" applyFont="1" applyFill="1" applyBorder="1" applyAlignment="1"/>
    <xf numFmtId="176" fontId="3" fillId="0" borderId="0" xfId="0" applyNumberFormat="1" applyFont="1" applyFill="1" applyAlignment="1">
      <alignment horizontal="center"/>
    </xf>
    <xf numFmtId="176" fontId="3" fillId="0" borderId="15" xfId="0" applyNumberFormat="1" applyFont="1" applyBorder="1" applyAlignment="1">
      <alignment horizontal="center"/>
    </xf>
    <xf numFmtId="176" fontId="3" fillId="0" borderId="15" xfId="0" applyNumberFormat="1" applyFont="1" applyBorder="1" applyAlignment="1"/>
    <xf numFmtId="176" fontId="7" fillId="0" borderId="15" xfId="0" applyNumberFormat="1" applyFont="1" applyBorder="1" applyAlignment="1">
      <alignment horizontal="center" vertical="center"/>
    </xf>
    <xf numFmtId="176" fontId="16" fillId="0" borderId="0" xfId="0" applyNumberFormat="1" applyFont="1" applyBorder="1" applyAlignment="1">
      <alignment horizontal="center"/>
    </xf>
    <xf numFmtId="176" fontId="3" fillId="0" borderId="0" xfId="0" applyNumberFormat="1" applyFont="1" applyBorder="1" applyAlignment="1"/>
    <xf numFmtId="176" fontId="10" fillId="0" borderId="0" xfId="0" applyNumberFormat="1" applyFont="1" applyBorder="1" applyAlignment="1">
      <alignment horizontal="center"/>
    </xf>
    <xf numFmtId="176" fontId="3" fillId="0" borderId="0" xfId="0" applyNumberFormat="1" applyFont="1" applyBorder="1" applyAlignment="1">
      <alignment horizontal="center"/>
    </xf>
    <xf numFmtId="176" fontId="17" fillId="0" borderId="16" xfId="0" applyNumberFormat="1" applyFont="1" applyBorder="1" applyAlignment="1">
      <alignment horizontal="center" vertical="center"/>
    </xf>
    <xf numFmtId="176" fontId="17" fillId="0" borderId="16" xfId="0" applyNumberFormat="1" applyFont="1" applyBorder="1" applyAlignment="1">
      <alignment horizontal="center" vertical="center" wrapText="1"/>
    </xf>
    <xf numFmtId="176" fontId="17" fillId="0" borderId="17" xfId="0" applyNumberFormat="1" applyFont="1" applyBorder="1" applyAlignment="1">
      <alignment horizontal="center" vertical="center"/>
    </xf>
    <xf numFmtId="176" fontId="17" fillId="0" borderId="1" xfId="0" applyNumberFormat="1" applyFont="1" applyBorder="1" applyAlignment="1">
      <alignment horizontal="center" vertical="center"/>
    </xf>
    <xf numFmtId="176" fontId="17" fillId="0" borderId="1" xfId="0" applyNumberFormat="1" applyFont="1" applyBorder="1" applyAlignment="1">
      <alignment horizontal="center"/>
    </xf>
    <xf numFmtId="176" fontId="17" fillId="0" borderId="0" xfId="0" applyNumberFormat="1" applyFont="1" applyAlignment="1">
      <alignment horizontal="center"/>
    </xf>
    <xf numFmtId="176" fontId="10" fillId="0" borderId="1" xfId="0" applyNumberFormat="1" applyFont="1" applyBorder="1" applyAlignment="1">
      <alignment horizontal="center"/>
    </xf>
    <xf numFmtId="176" fontId="10" fillId="0" borderId="10" xfId="0" applyNumberFormat="1" applyFont="1" applyBorder="1" applyAlignment="1">
      <alignment horizontal="center"/>
    </xf>
    <xf numFmtId="176" fontId="10" fillId="2" borderId="1" xfId="0" applyNumberFormat="1" applyFont="1" applyFill="1" applyBorder="1" applyAlignment="1">
      <alignment horizontal="center"/>
    </xf>
    <xf numFmtId="176" fontId="10" fillId="2" borderId="0" xfId="0" applyNumberFormat="1" applyFont="1" applyFill="1" applyAlignment="1">
      <alignment horizontal="center"/>
    </xf>
    <xf numFmtId="176" fontId="10" fillId="0" borderId="1" xfId="0" applyNumberFormat="1" applyFont="1" applyFill="1" applyBorder="1" applyAlignment="1">
      <alignment horizontal="center"/>
    </xf>
    <xf numFmtId="176" fontId="10" fillId="0" borderId="0" xfId="0" applyNumberFormat="1" applyFont="1" applyFill="1" applyAlignment="1">
      <alignment horizontal="center"/>
    </xf>
    <xf numFmtId="176" fontId="10" fillId="0" borderId="10" xfId="0" applyNumberFormat="1" applyFont="1" applyBorder="1" applyAlignment="1">
      <alignment horizontal="center" vertical="center"/>
    </xf>
    <xf numFmtId="176" fontId="10" fillId="0" borderId="16" xfId="0" applyNumberFormat="1" applyFont="1" applyBorder="1" applyAlignment="1">
      <alignment horizontal="center"/>
    </xf>
    <xf numFmtId="176" fontId="10" fillId="0" borderId="15" xfId="0" applyNumberFormat="1" applyFont="1" applyBorder="1" applyAlignment="1">
      <alignment horizontal="center"/>
    </xf>
    <xf numFmtId="178" fontId="10" fillId="0" borderId="15" xfId="0" applyNumberFormat="1" applyFont="1" applyBorder="1" applyAlignment="1">
      <alignment horizontal="center"/>
    </xf>
    <xf numFmtId="176" fontId="7" fillId="0" borderId="0" xfId="0" applyNumberFormat="1" applyFont="1" applyBorder="1" applyAlignment="1">
      <alignment horizontal="center" vertical="center"/>
    </xf>
    <xf numFmtId="176" fontId="7" fillId="0" borderId="0" xfId="0" applyNumberFormat="1" applyFont="1" applyBorder="1" applyAlignment="1">
      <alignment horizontal="center" vertical="center" wrapText="1"/>
    </xf>
    <xf numFmtId="176" fontId="7" fillId="0" borderId="16" xfId="0" applyNumberFormat="1" applyFont="1" applyBorder="1" applyAlignment="1">
      <alignment horizontal="center"/>
    </xf>
    <xf numFmtId="176" fontId="7" fillId="0" borderId="16" xfId="0" applyNumberFormat="1" applyFont="1" applyBorder="1" applyAlignment="1"/>
    <xf numFmtId="176" fontId="17" fillId="0" borderId="16" xfId="0" applyNumberFormat="1" applyFont="1" applyBorder="1" applyAlignment="1">
      <alignment horizontal="center"/>
    </xf>
    <xf numFmtId="176" fontId="17" fillId="0" borderId="16" xfId="0" applyNumberFormat="1" applyFont="1" applyFill="1" applyBorder="1" applyAlignment="1">
      <alignment horizontal="center"/>
    </xf>
    <xf numFmtId="177" fontId="3" fillId="0" borderId="1" xfId="0" applyNumberFormat="1" applyFont="1" applyBorder="1" applyAlignment="1">
      <alignment horizontal="left"/>
    </xf>
    <xf numFmtId="177" fontId="3" fillId="0" borderId="1" xfId="0" applyNumberFormat="1" applyFont="1" applyBorder="1" applyAlignment="1">
      <alignment horizontal="center"/>
    </xf>
    <xf numFmtId="177" fontId="10" fillId="0" borderId="0" xfId="0" applyNumberFormat="1" applyFont="1" applyAlignment="1">
      <alignment horizontal="center"/>
    </xf>
    <xf numFmtId="176" fontId="10" fillId="0" borderId="1" xfId="0" applyNumberFormat="1" applyFont="1" applyBorder="1" applyAlignment="1">
      <alignment horizontal="left"/>
    </xf>
    <xf numFmtId="176" fontId="3" fillId="0" borderId="1" xfId="0" applyNumberFormat="1" applyFont="1" applyBorder="1" applyAlignment="1">
      <alignment horizontal="left"/>
    </xf>
    <xf numFmtId="177" fontId="10" fillId="0" borderId="16" xfId="0" applyNumberFormat="1" applyFont="1" applyBorder="1" applyAlignment="1">
      <alignment horizontal="center"/>
    </xf>
    <xf numFmtId="177" fontId="10" fillId="0" borderId="1" xfId="0" applyNumberFormat="1" applyFont="1" applyBorder="1" applyAlignment="1">
      <alignment horizontal="center"/>
    </xf>
    <xf numFmtId="176" fontId="10" fillId="3" borderId="18" xfId="0" applyNumberFormat="1" applyFont="1" applyFill="1" applyBorder="1" applyAlignment="1">
      <alignment horizontal="left"/>
    </xf>
    <xf numFmtId="176" fontId="3" fillId="0" borderId="4" xfId="1" applyNumberFormat="1" applyFont="1" applyBorder="1" applyAlignment="1">
      <alignment horizontal="center" vertical="center"/>
    </xf>
    <xf numFmtId="176" fontId="10" fillId="0" borderId="4" xfId="1" applyNumberFormat="1" applyFont="1" applyBorder="1" applyAlignment="1">
      <alignment horizontal="center" vertical="center"/>
    </xf>
    <xf numFmtId="176" fontId="3" fillId="0" borderId="1" xfId="1" applyNumberFormat="1" applyFont="1" applyBorder="1" applyAlignment="1">
      <alignment horizontal="center" vertical="center"/>
    </xf>
    <xf numFmtId="176" fontId="10" fillId="0" borderId="1" xfId="1" applyNumberFormat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0" fontId="7" fillId="0" borderId="2" xfId="0" applyNumberFormat="1" applyFont="1" applyBorder="1" applyAlignment="1">
      <alignment horizontal="center" vertical="center"/>
    </xf>
    <xf numFmtId="179" fontId="7" fillId="0" borderId="2" xfId="0" applyNumberFormat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179" fontId="3" fillId="3" borderId="4" xfId="2" applyNumberFormat="1" applyFont="1" applyFill="1" applyBorder="1" applyAlignment="1">
      <alignment horizontal="center" vertical="center"/>
    </xf>
    <xf numFmtId="179" fontId="10" fillId="0" borderId="4" xfId="2" applyNumberFormat="1" applyFont="1" applyBorder="1" applyAlignment="1">
      <alignment horizontal="center" vertical="center"/>
    </xf>
    <xf numFmtId="179" fontId="10" fillId="0" borderId="5" xfId="2" applyNumberFormat="1" applyFont="1" applyBorder="1" applyAlignment="1">
      <alignment horizontal="center" vertical="center"/>
    </xf>
    <xf numFmtId="179" fontId="10" fillId="0" borderId="6" xfId="2" applyNumberFormat="1" applyFont="1" applyBorder="1" applyAlignment="1">
      <alignment horizontal="center" vertical="center"/>
    </xf>
    <xf numFmtId="179" fontId="10" fillId="0" borderId="7" xfId="2" applyNumberFormat="1" applyFont="1" applyBorder="1" applyAlignment="1">
      <alignment horizontal="center" vertical="center"/>
    </xf>
    <xf numFmtId="179" fontId="10" fillId="4" borderId="8" xfId="2" applyNumberFormat="1" applyFont="1" applyFill="1" applyBorder="1" applyAlignment="1">
      <alignment horizontal="center" vertical="center" wrapText="1"/>
    </xf>
    <xf numFmtId="179" fontId="10" fillId="4" borderId="13" xfId="2" applyNumberFormat="1" applyFont="1" applyFill="1" applyBorder="1" applyAlignment="1">
      <alignment horizontal="center" vertical="center" wrapText="1"/>
    </xf>
    <xf numFmtId="179" fontId="7" fillId="4" borderId="1" xfId="2" applyNumberFormat="1" applyFont="1" applyFill="1" applyBorder="1" applyAlignment="1">
      <alignment horizontal="center" vertical="center"/>
    </xf>
    <xf numFmtId="179" fontId="10" fillId="4" borderId="1" xfId="2" applyNumberFormat="1" applyFont="1" applyFill="1" applyBorder="1" applyAlignment="1">
      <alignment horizontal="center" vertical="center"/>
    </xf>
    <xf numFmtId="179" fontId="10" fillId="4" borderId="4" xfId="2" applyNumberFormat="1" applyFont="1" applyFill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 wrapText="1"/>
    </xf>
    <xf numFmtId="10" fontId="10" fillId="0" borderId="1" xfId="0" applyNumberFormat="1" applyFont="1" applyBorder="1" applyAlignment="1">
      <alignment horizontal="center" vertical="center" wrapText="1"/>
    </xf>
    <xf numFmtId="179" fontId="10" fillId="4" borderId="4" xfId="2" applyNumberFormat="1" applyFont="1" applyFill="1" applyBorder="1" applyAlignment="1">
      <alignment horizontal="center" vertical="center" wrapText="1"/>
    </xf>
    <xf numFmtId="179" fontId="10" fillId="4" borderId="1" xfId="2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176" fontId="10" fillId="0" borderId="1" xfId="1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3" borderId="10" xfId="0" applyFont="1" applyFill="1" applyBorder="1" applyAlignment="1">
      <alignment horizontal="left"/>
    </xf>
    <xf numFmtId="0" fontId="4" fillId="3" borderId="11" xfId="0" applyFont="1" applyFill="1" applyBorder="1" applyAlignment="1">
      <alignment horizontal="left"/>
    </xf>
  </cellXfs>
  <cellStyles count="5">
    <cellStyle name="常规" xfId="0" builtinId="0"/>
    <cellStyle name="常规_9月 温州营运表2008.03" xfId="1" xr:uid="{639D5EA6-BB3F-4D84-B6DB-5E8414462F54}"/>
    <cellStyle name="常规_Sheet1" xfId="3" xr:uid="{05D4CD66-D616-4E83-9900-10C2C2315092}"/>
    <cellStyle name="常规_杭州区域成本分析表" xfId="2" xr:uid="{48BAE68C-E317-4F4C-9BC8-7A95564EAE67}"/>
    <cellStyle name="常规_泉州2008营运报表4月" xfId="4" xr:uid="{2A5B6BB2-B552-46CE-BBD0-6F337C61FB89}"/>
  </cellStyles>
  <dxfs count="44">
    <dxf>
      <fill>
        <patternFill patternType="solid">
          <fgColor indexed="64"/>
          <bgColor indexed="31"/>
        </patternFill>
      </fill>
    </dxf>
    <dxf>
      <fill>
        <patternFill patternType="solid">
          <fgColor indexed="64"/>
          <bgColor indexed="31"/>
        </patternFill>
      </fill>
    </dxf>
    <dxf>
      <fill>
        <patternFill patternType="solid">
          <fgColor indexed="64"/>
          <bgColor theme="3" tint="0.39994506668294322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indexed="31"/>
        </patternFill>
      </fill>
    </dxf>
    <dxf>
      <fill>
        <patternFill patternType="solid">
          <fgColor indexed="9"/>
          <bgColor indexed="31"/>
        </patternFill>
      </fill>
    </dxf>
    <dxf>
      <fill>
        <patternFill patternType="solid">
          <fgColor indexed="64"/>
          <bgColor theme="3" tint="0.39994506668294322"/>
        </patternFill>
      </fill>
    </dxf>
    <dxf>
      <fill>
        <patternFill patternType="solid">
          <fgColor indexed="64"/>
          <bgColor indexed="31"/>
        </patternFill>
      </fill>
    </dxf>
    <dxf>
      <fill>
        <patternFill patternType="solid">
          <fgColor indexed="64"/>
          <bgColor theme="3" tint="0.59996337778862885"/>
        </patternFill>
      </fill>
    </dxf>
    <dxf>
      <fill>
        <patternFill patternType="solid">
          <fgColor indexed="64"/>
          <bgColor theme="3" tint="0.59996337778862885"/>
        </patternFill>
      </fill>
    </dxf>
    <dxf>
      <fill>
        <patternFill patternType="solid">
          <fgColor indexed="64"/>
          <bgColor theme="3" tint="0.59996337778862885"/>
        </patternFill>
      </fill>
    </dxf>
    <dxf>
      <fill>
        <patternFill patternType="solid">
          <fgColor indexed="64"/>
          <bgColor indexed="31"/>
        </patternFill>
      </fill>
    </dxf>
    <dxf>
      <fill>
        <patternFill patternType="solid">
          <fgColor indexed="64"/>
          <bgColor theme="3" tint="0.59996337778862885"/>
        </patternFill>
      </fill>
    </dxf>
    <dxf>
      <fill>
        <patternFill patternType="solid">
          <fgColor indexed="64"/>
          <bgColor indexed="31"/>
        </patternFill>
      </fill>
    </dxf>
    <dxf>
      <fill>
        <patternFill patternType="solid">
          <fgColor indexed="64"/>
          <bgColor theme="3" tint="0.59996337778862885"/>
        </patternFill>
      </fill>
    </dxf>
    <dxf>
      <fill>
        <patternFill patternType="solid">
          <fgColor indexed="64"/>
          <bgColor theme="3" tint="0.79998168889431442"/>
        </patternFill>
      </fill>
    </dxf>
    <dxf>
      <fill>
        <patternFill patternType="solid">
          <fgColor indexed="64"/>
          <bgColor theme="3" tint="0.39994506668294322"/>
        </patternFill>
      </fill>
    </dxf>
    <dxf>
      <fill>
        <patternFill patternType="solid">
          <fgColor indexed="64"/>
          <bgColor theme="3" tint="0.39994506668294322"/>
        </patternFill>
      </fill>
    </dxf>
    <dxf>
      <fill>
        <patternFill patternType="solid">
          <fgColor indexed="64"/>
          <bgColor theme="3" tint="0.59996337778862885"/>
        </patternFill>
      </fill>
    </dxf>
    <dxf>
      <fill>
        <patternFill patternType="solid">
          <fgColor indexed="64"/>
          <bgColor indexed="31"/>
        </patternFill>
      </fill>
    </dxf>
    <dxf>
      <fill>
        <patternFill patternType="solid">
          <fgColor indexed="64"/>
          <bgColor theme="3" tint="0.59996337778862885"/>
        </patternFill>
      </fill>
    </dxf>
    <dxf>
      <fill>
        <patternFill patternType="solid">
          <fgColor indexed="64"/>
          <bgColor theme="3" tint="0.59996337778862885"/>
        </patternFill>
      </fill>
    </dxf>
    <dxf>
      <fill>
        <patternFill patternType="solid">
          <fgColor indexed="64"/>
          <bgColor indexed="31"/>
        </patternFill>
      </fill>
    </dxf>
    <dxf>
      <fill>
        <patternFill patternType="solid">
          <fgColor indexed="64"/>
          <bgColor theme="3" tint="0.59996337778862885"/>
        </patternFill>
      </fill>
    </dxf>
    <dxf>
      <fill>
        <patternFill patternType="solid">
          <fgColor indexed="64"/>
          <bgColor theme="3" tint="0.59996337778862885"/>
        </patternFill>
      </fill>
    </dxf>
    <dxf>
      <fill>
        <patternFill patternType="solid">
          <fgColor indexed="64"/>
          <bgColor indexed="31"/>
        </patternFill>
      </fill>
    </dxf>
    <dxf>
      <fill>
        <patternFill patternType="solid">
          <fgColor indexed="64"/>
          <bgColor theme="3" tint="0.59996337778862885"/>
        </patternFill>
      </fill>
    </dxf>
    <dxf>
      <fill>
        <patternFill patternType="solid">
          <fgColor indexed="64"/>
          <bgColor theme="3" tint="0.59996337778862885"/>
        </patternFill>
      </fill>
    </dxf>
    <dxf>
      <fill>
        <patternFill patternType="solid">
          <fgColor indexed="64"/>
          <bgColor indexed="31"/>
        </patternFill>
      </fill>
    </dxf>
    <dxf>
      <fill>
        <patternFill patternType="solid">
          <fgColor indexed="64"/>
          <bgColor theme="3" tint="0.59996337778862885"/>
        </patternFill>
      </fill>
    </dxf>
    <dxf>
      <fill>
        <patternFill patternType="solid">
          <fgColor indexed="64"/>
          <bgColor theme="3" tint="0.39994506668294322"/>
        </patternFill>
      </fill>
    </dxf>
    <dxf>
      <fill>
        <patternFill patternType="solid">
          <fgColor indexed="64"/>
          <bgColor indexed="31"/>
        </patternFill>
      </fill>
    </dxf>
    <dxf>
      <fill>
        <patternFill patternType="solid">
          <fgColor indexed="64"/>
          <bgColor indexed="31"/>
        </patternFill>
      </fill>
    </dxf>
    <dxf>
      <fill>
        <patternFill patternType="solid">
          <fgColor indexed="64"/>
          <bgColor theme="3" tint="0.39994506668294322"/>
        </patternFill>
      </fill>
    </dxf>
    <dxf>
      <fill>
        <patternFill patternType="solid">
          <fgColor indexed="64"/>
          <bgColor theme="7" tint="0.59996337778862885"/>
        </patternFill>
      </fill>
    </dxf>
    <dxf>
      <fill>
        <patternFill patternType="solid">
          <fgColor indexed="64"/>
          <bgColor theme="7" tint="0.59996337778862885"/>
        </patternFill>
      </fill>
    </dxf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theme="3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宋体"/>
        <scheme val="none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847725</xdr:colOff>
      <xdr:row>36</xdr:row>
      <xdr:rowOff>19050</xdr:rowOff>
    </xdr:from>
    <xdr:to>
      <xdr:col>13</xdr:col>
      <xdr:colOff>437556</xdr:colOff>
      <xdr:row>38</xdr:row>
      <xdr:rowOff>95183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1FCA44F-037B-462D-8405-96684A8E9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0325" y="5038725"/>
          <a:ext cx="4752381" cy="53333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7</xdr:col>
      <xdr:colOff>580544</xdr:colOff>
      <xdr:row>43</xdr:row>
      <xdr:rowOff>85457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E077EA6F-4581-413B-A3FC-956D139E2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5525" y="4543425"/>
          <a:ext cx="3847619" cy="21428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38912-9707-4659-96B4-ED30F45F11B5}">
  <sheetPr codeName="Sheet1"/>
  <dimension ref="A1:AP90"/>
  <sheetViews>
    <sheetView workbookViewId="0">
      <pane xSplit="2" ySplit="2" topLeftCell="C32" activePane="bottomRight" state="frozen"/>
      <selection pane="topRight" activeCell="C1" sqref="C1"/>
      <selection pane="bottomLeft" activeCell="A3" sqref="A3"/>
      <selection pane="bottomRight" activeCell="AO70" sqref="AO70"/>
    </sheetView>
  </sheetViews>
  <sheetFormatPr defaultColWidth="8.75" defaultRowHeight="18" customHeight="1" x14ac:dyDescent="0.15"/>
  <cols>
    <col min="1" max="1" width="9" style="112" bestFit="1" customWidth="1"/>
    <col min="2" max="2" width="13" style="112" bestFit="1" customWidth="1"/>
    <col min="3" max="3" width="13.375" style="112" bestFit="1" customWidth="1"/>
    <col min="4" max="6" width="12.25" style="112" bestFit="1" customWidth="1"/>
    <col min="7" max="7" width="14.375" style="112" customWidth="1"/>
    <col min="8" max="8" width="12.875" style="112" customWidth="1"/>
    <col min="9" max="11" width="12.25" style="112" bestFit="1" customWidth="1"/>
    <col min="12" max="12" width="11.375" style="112" customWidth="1"/>
    <col min="13" max="13" width="13.25" style="112" bestFit="1" customWidth="1"/>
    <col min="14" max="14" width="10.75" style="112" bestFit="1" customWidth="1"/>
    <col min="15" max="15" width="13.375" style="112" bestFit="1" customWidth="1"/>
    <col min="16" max="16" width="12" style="112" customWidth="1"/>
    <col min="17" max="17" width="11.125" style="112" customWidth="1"/>
    <col min="18" max="18" width="12.25" style="112" bestFit="1" customWidth="1"/>
    <col min="19" max="19" width="12.875" style="112" customWidth="1"/>
    <col min="20" max="20" width="10.5" style="112" customWidth="1"/>
    <col min="21" max="21" width="13.75" style="112" customWidth="1"/>
    <col min="22" max="22" width="10.75" style="112" bestFit="1" customWidth="1"/>
    <col min="23" max="23" width="12.25" style="112" customWidth="1"/>
    <col min="24" max="24" width="12.125" style="112" customWidth="1"/>
    <col min="25" max="25" width="10.25" style="112" customWidth="1"/>
    <col min="26" max="26" width="12.125" style="112" customWidth="1"/>
    <col min="27" max="27" width="10.75" style="112" bestFit="1" customWidth="1"/>
    <col min="28" max="28" width="13.875" style="112" customWidth="1"/>
    <col min="29" max="29" width="11.125" style="112" bestFit="1" customWidth="1"/>
    <col min="30" max="30" width="12.875" style="112" bestFit="1" customWidth="1"/>
    <col min="31" max="31" width="11.75" style="112" customWidth="1"/>
    <col min="32" max="32" width="10.75" style="112" bestFit="1" customWidth="1"/>
    <col min="33" max="33" width="12.5" style="112" customWidth="1"/>
    <col min="34" max="34" width="14.5" style="112" customWidth="1"/>
    <col min="35" max="35" width="16" style="112" customWidth="1"/>
    <col min="36" max="36" width="11.875" style="112" bestFit="1" customWidth="1"/>
    <col min="37" max="37" width="14.125" style="112" bestFit="1" customWidth="1"/>
    <col min="38" max="40" width="16.375" style="112" bestFit="1" customWidth="1"/>
    <col min="41" max="41" width="20.75" style="112" bestFit="1" customWidth="1"/>
    <col min="42" max="42" width="27.5" style="112" bestFit="1" customWidth="1"/>
    <col min="43" max="63" width="9" style="112" bestFit="1" customWidth="1"/>
    <col min="64" max="255" width="8.75" style="112"/>
    <col min="256" max="256" width="9" style="112" bestFit="1" customWidth="1"/>
    <col min="257" max="257" width="10.5" style="112" customWidth="1"/>
    <col min="258" max="258" width="13.375" style="112" bestFit="1" customWidth="1"/>
    <col min="259" max="261" width="12.25" style="112" bestFit="1" customWidth="1"/>
    <col min="262" max="262" width="14.375" style="112" customWidth="1"/>
    <col min="263" max="263" width="12.875" style="112" customWidth="1"/>
    <col min="264" max="266" width="12.25" style="112" bestFit="1" customWidth="1"/>
    <col min="267" max="267" width="11.375" style="112" customWidth="1"/>
    <col min="268" max="268" width="13.25" style="112" bestFit="1" customWidth="1"/>
    <col min="269" max="269" width="10.75" style="112" bestFit="1" customWidth="1"/>
    <col min="270" max="270" width="13.375" style="112" bestFit="1" customWidth="1"/>
    <col min="271" max="271" width="12" style="112" customWidth="1"/>
    <col min="272" max="272" width="11.125" style="112" customWidth="1"/>
    <col min="273" max="273" width="12.25" style="112" bestFit="1" customWidth="1"/>
    <col min="274" max="274" width="12.875" style="112" customWidth="1"/>
    <col min="275" max="275" width="10.5" style="112" customWidth="1"/>
    <col min="276" max="276" width="13.75" style="112" customWidth="1"/>
    <col min="277" max="277" width="10.75" style="112" bestFit="1" customWidth="1"/>
    <col min="278" max="278" width="12.25" style="112" customWidth="1"/>
    <col min="279" max="279" width="12.125" style="112" customWidth="1"/>
    <col min="280" max="280" width="10.25" style="112" customWidth="1"/>
    <col min="281" max="281" width="12.125" style="112" customWidth="1"/>
    <col min="282" max="282" width="10.75" style="112" bestFit="1" customWidth="1"/>
    <col min="283" max="283" width="13.875" style="112" customWidth="1"/>
    <col min="284" max="284" width="11.125" style="112" bestFit="1" customWidth="1"/>
    <col min="285" max="285" width="12.875" style="112" bestFit="1" customWidth="1"/>
    <col min="286" max="286" width="11.75" style="112" customWidth="1"/>
    <col min="287" max="287" width="10.75" style="112" bestFit="1" customWidth="1"/>
    <col min="288" max="288" width="12.5" style="112" customWidth="1"/>
    <col min="289" max="289" width="14.5" style="112" customWidth="1"/>
    <col min="290" max="290" width="16" style="112" customWidth="1"/>
    <col min="291" max="291" width="9.125" style="112" bestFit="1" customWidth="1"/>
    <col min="292" max="292" width="10" style="112" bestFit="1" customWidth="1"/>
    <col min="293" max="319" width="9" style="112" bestFit="1" customWidth="1"/>
    <col min="320" max="511" width="8.75" style="112"/>
    <col min="512" max="512" width="9" style="112" bestFit="1" customWidth="1"/>
    <col min="513" max="513" width="10.5" style="112" customWidth="1"/>
    <col min="514" max="514" width="13.375" style="112" bestFit="1" customWidth="1"/>
    <col min="515" max="517" width="12.25" style="112" bestFit="1" customWidth="1"/>
    <col min="518" max="518" width="14.375" style="112" customWidth="1"/>
    <col min="519" max="519" width="12.875" style="112" customWidth="1"/>
    <col min="520" max="522" width="12.25" style="112" bestFit="1" customWidth="1"/>
    <col min="523" max="523" width="11.375" style="112" customWidth="1"/>
    <col min="524" max="524" width="13.25" style="112" bestFit="1" customWidth="1"/>
    <col min="525" max="525" width="10.75" style="112" bestFit="1" customWidth="1"/>
    <col min="526" max="526" width="13.375" style="112" bestFit="1" customWidth="1"/>
    <col min="527" max="527" width="12" style="112" customWidth="1"/>
    <col min="528" max="528" width="11.125" style="112" customWidth="1"/>
    <col min="529" max="529" width="12.25" style="112" bestFit="1" customWidth="1"/>
    <col min="530" max="530" width="12.875" style="112" customWidth="1"/>
    <col min="531" max="531" width="10.5" style="112" customWidth="1"/>
    <col min="532" max="532" width="13.75" style="112" customWidth="1"/>
    <col min="533" max="533" width="10.75" style="112" bestFit="1" customWidth="1"/>
    <col min="534" max="534" width="12.25" style="112" customWidth="1"/>
    <col min="535" max="535" width="12.125" style="112" customWidth="1"/>
    <col min="536" max="536" width="10.25" style="112" customWidth="1"/>
    <col min="537" max="537" width="12.125" style="112" customWidth="1"/>
    <col min="538" max="538" width="10.75" style="112" bestFit="1" customWidth="1"/>
    <col min="539" max="539" width="13.875" style="112" customWidth="1"/>
    <col min="540" max="540" width="11.125" style="112" bestFit="1" customWidth="1"/>
    <col min="541" max="541" width="12.875" style="112" bestFit="1" customWidth="1"/>
    <col min="542" max="542" width="11.75" style="112" customWidth="1"/>
    <col min="543" max="543" width="10.75" style="112" bestFit="1" customWidth="1"/>
    <col min="544" max="544" width="12.5" style="112" customWidth="1"/>
    <col min="545" max="545" width="14.5" style="112" customWidth="1"/>
    <col min="546" max="546" width="16" style="112" customWidth="1"/>
    <col min="547" max="547" width="9.125" style="112" bestFit="1" customWidth="1"/>
    <col min="548" max="548" width="10" style="112" bestFit="1" customWidth="1"/>
    <col min="549" max="575" width="9" style="112" bestFit="1" customWidth="1"/>
    <col min="576" max="767" width="8.75" style="112"/>
    <col min="768" max="768" width="9" style="112" bestFit="1" customWidth="1"/>
    <col min="769" max="769" width="10.5" style="112" customWidth="1"/>
    <col min="770" max="770" width="13.375" style="112" bestFit="1" customWidth="1"/>
    <col min="771" max="773" width="12.25" style="112" bestFit="1" customWidth="1"/>
    <col min="774" max="774" width="14.375" style="112" customWidth="1"/>
    <col min="775" max="775" width="12.875" style="112" customWidth="1"/>
    <col min="776" max="778" width="12.25" style="112" bestFit="1" customWidth="1"/>
    <col min="779" max="779" width="11.375" style="112" customWidth="1"/>
    <col min="780" max="780" width="13.25" style="112" bestFit="1" customWidth="1"/>
    <col min="781" max="781" width="10.75" style="112" bestFit="1" customWidth="1"/>
    <col min="782" max="782" width="13.375" style="112" bestFit="1" customWidth="1"/>
    <col min="783" max="783" width="12" style="112" customWidth="1"/>
    <col min="784" max="784" width="11.125" style="112" customWidth="1"/>
    <col min="785" max="785" width="12.25" style="112" bestFit="1" customWidth="1"/>
    <col min="786" max="786" width="12.875" style="112" customWidth="1"/>
    <col min="787" max="787" width="10.5" style="112" customWidth="1"/>
    <col min="788" max="788" width="13.75" style="112" customWidth="1"/>
    <col min="789" max="789" width="10.75" style="112" bestFit="1" customWidth="1"/>
    <col min="790" max="790" width="12.25" style="112" customWidth="1"/>
    <col min="791" max="791" width="12.125" style="112" customWidth="1"/>
    <col min="792" max="792" width="10.25" style="112" customWidth="1"/>
    <col min="793" max="793" width="12.125" style="112" customWidth="1"/>
    <col min="794" max="794" width="10.75" style="112" bestFit="1" customWidth="1"/>
    <col min="795" max="795" width="13.875" style="112" customWidth="1"/>
    <col min="796" max="796" width="11.125" style="112" bestFit="1" customWidth="1"/>
    <col min="797" max="797" width="12.875" style="112" bestFit="1" customWidth="1"/>
    <col min="798" max="798" width="11.75" style="112" customWidth="1"/>
    <col min="799" max="799" width="10.75" style="112" bestFit="1" customWidth="1"/>
    <col min="800" max="800" width="12.5" style="112" customWidth="1"/>
    <col min="801" max="801" width="14.5" style="112" customWidth="1"/>
    <col min="802" max="802" width="16" style="112" customWidth="1"/>
    <col min="803" max="803" width="9.125" style="112" bestFit="1" customWidth="1"/>
    <col min="804" max="804" width="10" style="112" bestFit="1" customWidth="1"/>
    <col min="805" max="831" width="9" style="112" bestFit="1" customWidth="1"/>
    <col min="832" max="1023" width="8.75" style="112"/>
    <col min="1024" max="1024" width="9" style="112" bestFit="1" customWidth="1"/>
    <col min="1025" max="1025" width="10.5" style="112" customWidth="1"/>
    <col min="1026" max="1026" width="13.375" style="112" bestFit="1" customWidth="1"/>
    <col min="1027" max="1029" width="12.25" style="112" bestFit="1" customWidth="1"/>
    <col min="1030" max="1030" width="14.375" style="112" customWidth="1"/>
    <col min="1031" max="1031" width="12.875" style="112" customWidth="1"/>
    <col min="1032" max="1034" width="12.25" style="112" bestFit="1" customWidth="1"/>
    <col min="1035" max="1035" width="11.375" style="112" customWidth="1"/>
    <col min="1036" max="1036" width="13.25" style="112" bestFit="1" customWidth="1"/>
    <col min="1037" max="1037" width="10.75" style="112" bestFit="1" customWidth="1"/>
    <col min="1038" max="1038" width="13.375" style="112" bestFit="1" customWidth="1"/>
    <col min="1039" max="1039" width="12" style="112" customWidth="1"/>
    <col min="1040" max="1040" width="11.125" style="112" customWidth="1"/>
    <col min="1041" max="1041" width="12.25" style="112" bestFit="1" customWidth="1"/>
    <col min="1042" max="1042" width="12.875" style="112" customWidth="1"/>
    <col min="1043" max="1043" width="10.5" style="112" customWidth="1"/>
    <col min="1044" max="1044" width="13.75" style="112" customWidth="1"/>
    <col min="1045" max="1045" width="10.75" style="112" bestFit="1" customWidth="1"/>
    <col min="1046" max="1046" width="12.25" style="112" customWidth="1"/>
    <col min="1047" max="1047" width="12.125" style="112" customWidth="1"/>
    <col min="1048" max="1048" width="10.25" style="112" customWidth="1"/>
    <col min="1049" max="1049" width="12.125" style="112" customWidth="1"/>
    <col min="1050" max="1050" width="10.75" style="112" bestFit="1" customWidth="1"/>
    <col min="1051" max="1051" width="13.875" style="112" customWidth="1"/>
    <col min="1052" max="1052" width="11.125" style="112" bestFit="1" customWidth="1"/>
    <col min="1053" max="1053" width="12.875" style="112" bestFit="1" customWidth="1"/>
    <col min="1054" max="1054" width="11.75" style="112" customWidth="1"/>
    <col min="1055" max="1055" width="10.75" style="112" bestFit="1" customWidth="1"/>
    <col min="1056" max="1056" width="12.5" style="112" customWidth="1"/>
    <col min="1057" max="1057" width="14.5" style="112" customWidth="1"/>
    <col min="1058" max="1058" width="16" style="112" customWidth="1"/>
    <col min="1059" max="1059" width="9.125" style="112" bestFit="1" customWidth="1"/>
    <col min="1060" max="1060" width="10" style="112" bestFit="1" customWidth="1"/>
    <col min="1061" max="1087" width="9" style="112" bestFit="1" customWidth="1"/>
    <col min="1088" max="1279" width="8.75" style="112"/>
    <col min="1280" max="1280" width="9" style="112" bestFit="1" customWidth="1"/>
    <col min="1281" max="1281" width="10.5" style="112" customWidth="1"/>
    <col min="1282" max="1282" width="13.375" style="112" bestFit="1" customWidth="1"/>
    <col min="1283" max="1285" width="12.25" style="112" bestFit="1" customWidth="1"/>
    <col min="1286" max="1286" width="14.375" style="112" customWidth="1"/>
    <col min="1287" max="1287" width="12.875" style="112" customWidth="1"/>
    <col min="1288" max="1290" width="12.25" style="112" bestFit="1" customWidth="1"/>
    <col min="1291" max="1291" width="11.375" style="112" customWidth="1"/>
    <col min="1292" max="1292" width="13.25" style="112" bestFit="1" customWidth="1"/>
    <col min="1293" max="1293" width="10.75" style="112" bestFit="1" customWidth="1"/>
    <col min="1294" max="1294" width="13.375" style="112" bestFit="1" customWidth="1"/>
    <col min="1295" max="1295" width="12" style="112" customWidth="1"/>
    <col min="1296" max="1296" width="11.125" style="112" customWidth="1"/>
    <col min="1297" max="1297" width="12.25" style="112" bestFit="1" customWidth="1"/>
    <col min="1298" max="1298" width="12.875" style="112" customWidth="1"/>
    <col min="1299" max="1299" width="10.5" style="112" customWidth="1"/>
    <col min="1300" max="1300" width="13.75" style="112" customWidth="1"/>
    <col min="1301" max="1301" width="10.75" style="112" bestFit="1" customWidth="1"/>
    <col min="1302" max="1302" width="12.25" style="112" customWidth="1"/>
    <col min="1303" max="1303" width="12.125" style="112" customWidth="1"/>
    <col min="1304" max="1304" width="10.25" style="112" customWidth="1"/>
    <col min="1305" max="1305" width="12.125" style="112" customWidth="1"/>
    <col min="1306" max="1306" width="10.75" style="112" bestFit="1" customWidth="1"/>
    <col min="1307" max="1307" width="13.875" style="112" customWidth="1"/>
    <col min="1308" max="1308" width="11.125" style="112" bestFit="1" customWidth="1"/>
    <col min="1309" max="1309" width="12.875" style="112" bestFit="1" customWidth="1"/>
    <col min="1310" max="1310" width="11.75" style="112" customWidth="1"/>
    <col min="1311" max="1311" width="10.75" style="112" bestFit="1" customWidth="1"/>
    <col min="1312" max="1312" width="12.5" style="112" customWidth="1"/>
    <col min="1313" max="1313" width="14.5" style="112" customWidth="1"/>
    <col min="1314" max="1314" width="16" style="112" customWidth="1"/>
    <col min="1315" max="1315" width="9.125" style="112" bestFit="1" customWidth="1"/>
    <col min="1316" max="1316" width="10" style="112" bestFit="1" customWidth="1"/>
    <col min="1317" max="1343" width="9" style="112" bestFit="1" customWidth="1"/>
    <col min="1344" max="1535" width="8.75" style="112"/>
    <col min="1536" max="1536" width="9" style="112" bestFit="1" customWidth="1"/>
    <col min="1537" max="1537" width="10.5" style="112" customWidth="1"/>
    <col min="1538" max="1538" width="13.375" style="112" bestFit="1" customWidth="1"/>
    <col min="1539" max="1541" width="12.25" style="112" bestFit="1" customWidth="1"/>
    <col min="1542" max="1542" width="14.375" style="112" customWidth="1"/>
    <col min="1543" max="1543" width="12.875" style="112" customWidth="1"/>
    <col min="1544" max="1546" width="12.25" style="112" bestFit="1" customWidth="1"/>
    <col min="1547" max="1547" width="11.375" style="112" customWidth="1"/>
    <col min="1548" max="1548" width="13.25" style="112" bestFit="1" customWidth="1"/>
    <col min="1549" max="1549" width="10.75" style="112" bestFit="1" customWidth="1"/>
    <col min="1550" max="1550" width="13.375" style="112" bestFit="1" customWidth="1"/>
    <col min="1551" max="1551" width="12" style="112" customWidth="1"/>
    <col min="1552" max="1552" width="11.125" style="112" customWidth="1"/>
    <col min="1553" max="1553" width="12.25" style="112" bestFit="1" customWidth="1"/>
    <col min="1554" max="1554" width="12.875" style="112" customWidth="1"/>
    <col min="1555" max="1555" width="10.5" style="112" customWidth="1"/>
    <col min="1556" max="1556" width="13.75" style="112" customWidth="1"/>
    <col min="1557" max="1557" width="10.75" style="112" bestFit="1" customWidth="1"/>
    <col min="1558" max="1558" width="12.25" style="112" customWidth="1"/>
    <col min="1559" max="1559" width="12.125" style="112" customWidth="1"/>
    <col min="1560" max="1560" width="10.25" style="112" customWidth="1"/>
    <col min="1561" max="1561" width="12.125" style="112" customWidth="1"/>
    <col min="1562" max="1562" width="10.75" style="112" bestFit="1" customWidth="1"/>
    <col min="1563" max="1563" width="13.875" style="112" customWidth="1"/>
    <col min="1564" max="1564" width="11.125" style="112" bestFit="1" customWidth="1"/>
    <col min="1565" max="1565" width="12.875" style="112" bestFit="1" customWidth="1"/>
    <col min="1566" max="1566" width="11.75" style="112" customWidth="1"/>
    <col min="1567" max="1567" width="10.75" style="112" bestFit="1" customWidth="1"/>
    <col min="1568" max="1568" width="12.5" style="112" customWidth="1"/>
    <col min="1569" max="1569" width="14.5" style="112" customWidth="1"/>
    <col min="1570" max="1570" width="16" style="112" customWidth="1"/>
    <col min="1571" max="1571" width="9.125" style="112" bestFit="1" customWidth="1"/>
    <col min="1572" max="1572" width="10" style="112" bestFit="1" customWidth="1"/>
    <col min="1573" max="1599" width="9" style="112" bestFit="1" customWidth="1"/>
    <col min="1600" max="1791" width="8.75" style="112"/>
    <col min="1792" max="1792" width="9" style="112" bestFit="1" customWidth="1"/>
    <col min="1793" max="1793" width="10.5" style="112" customWidth="1"/>
    <col min="1794" max="1794" width="13.375" style="112" bestFit="1" customWidth="1"/>
    <col min="1795" max="1797" width="12.25" style="112" bestFit="1" customWidth="1"/>
    <col min="1798" max="1798" width="14.375" style="112" customWidth="1"/>
    <col min="1799" max="1799" width="12.875" style="112" customWidth="1"/>
    <col min="1800" max="1802" width="12.25" style="112" bestFit="1" customWidth="1"/>
    <col min="1803" max="1803" width="11.375" style="112" customWidth="1"/>
    <col min="1804" max="1804" width="13.25" style="112" bestFit="1" customWidth="1"/>
    <col min="1805" max="1805" width="10.75" style="112" bestFit="1" customWidth="1"/>
    <col min="1806" max="1806" width="13.375" style="112" bestFit="1" customWidth="1"/>
    <col min="1807" max="1807" width="12" style="112" customWidth="1"/>
    <col min="1808" max="1808" width="11.125" style="112" customWidth="1"/>
    <col min="1809" max="1809" width="12.25" style="112" bestFit="1" customWidth="1"/>
    <col min="1810" max="1810" width="12.875" style="112" customWidth="1"/>
    <col min="1811" max="1811" width="10.5" style="112" customWidth="1"/>
    <col min="1812" max="1812" width="13.75" style="112" customWidth="1"/>
    <col min="1813" max="1813" width="10.75" style="112" bestFit="1" customWidth="1"/>
    <col min="1814" max="1814" width="12.25" style="112" customWidth="1"/>
    <col min="1815" max="1815" width="12.125" style="112" customWidth="1"/>
    <col min="1816" max="1816" width="10.25" style="112" customWidth="1"/>
    <col min="1817" max="1817" width="12.125" style="112" customWidth="1"/>
    <col min="1818" max="1818" width="10.75" style="112" bestFit="1" customWidth="1"/>
    <col min="1819" max="1819" width="13.875" style="112" customWidth="1"/>
    <col min="1820" max="1820" width="11.125" style="112" bestFit="1" customWidth="1"/>
    <col min="1821" max="1821" width="12.875" style="112" bestFit="1" customWidth="1"/>
    <col min="1822" max="1822" width="11.75" style="112" customWidth="1"/>
    <col min="1823" max="1823" width="10.75" style="112" bestFit="1" customWidth="1"/>
    <col min="1824" max="1824" width="12.5" style="112" customWidth="1"/>
    <col min="1825" max="1825" width="14.5" style="112" customWidth="1"/>
    <col min="1826" max="1826" width="16" style="112" customWidth="1"/>
    <col min="1827" max="1827" width="9.125" style="112" bestFit="1" customWidth="1"/>
    <col min="1828" max="1828" width="10" style="112" bestFit="1" customWidth="1"/>
    <col min="1829" max="1855" width="9" style="112" bestFit="1" customWidth="1"/>
    <col min="1856" max="2047" width="8.75" style="112"/>
    <col min="2048" max="2048" width="9" style="112" bestFit="1" customWidth="1"/>
    <col min="2049" max="2049" width="10.5" style="112" customWidth="1"/>
    <col min="2050" max="2050" width="13.375" style="112" bestFit="1" customWidth="1"/>
    <col min="2051" max="2053" width="12.25" style="112" bestFit="1" customWidth="1"/>
    <col min="2054" max="2054" width="14.375" style="112" customWidth="1"/>
    <col min="2055" max="2055" width="12.875" style="112" customWidth="1"/>
    <col min="2056" max="2058" width="12.25" style="112" bestFit="1" customWidth="1"/>
    <col min="2059" max="2059" width="11.375" style="112" customWidth="1"/>
    <col min="2060" max="2060" width="13.25" style="112" bestFit="1" customWidth="1"/>
    <col min="2061" max="2061" width="10.75" style="112" bestFit="1" customWidth="1"/>
    <col min="2062" max="2062" width="13.375" style="112" bestFit="1" customWidth="1"/>
    <col min="2063" max="2063" width="12" style="112" customWidth="1"/>
    <col min="2064" max="2064" width="11.125" style="112" customWidth="1"/>
    <col min="2065" max="2065" width="12.25" style="112" bestFit="1" customWidth="1"/>
    <col min="2066" max="2066" width="12.875" style="112" customWidth="1"/>
    <col min="2067" max="2067" width="10.5" style="112" customWidth="1"/>
    <col min="2068" max="2068" width="13.75" style="112" customWidth="1"/>
    <col min="2069" max="2069" width="10.75" style="112" bestFit="1" customWidth="1"/>
    <col min="2070" max="2070" width="12.25" style="112" customWidth="1"/>
    <col min="2071" max="2071" width="12.125" style="112" customWidth="1"/>
    <col min="2072" max="2072" width="10.25" style="112" customWidth="1"/>
    <col min="2073" max="2073" width="12.125" style="112" customWidth="1"/>
    <col min="2074" max="2074" width="10.75" style="112" bestFit="1" customWidth="1"/>
    <col min="2075" max="2075" width="13.875" style="112" customWidth="1"/>
    <col min="2076" max="2076" width="11.125" style="112" bestFit="1" customWidth="1"/>
    <col min="2077" max="2077" width="12.875" style="112" bestFit="1" customWidth="1"/>
    <col min="2078" max="2078" width="11.75" style="112" customWidth="1"/>
    <col min="2079" max="2079" width="10.75" style="112" bestFit="1" customWidth="1"/>
    <col min="2080" max="2080" width="12.5" style="112" customWidth="1"/>
    <col min="2081" max="2081" width="14.5" style="112" customWidth="1"/>
    <col min="2082" max="2082" width="16" style="112" customWidth="1"/>
    <col min="2083" max="2083" width="9.125" style="112" bestFit="1" customWidth="1"/>
    <col min="2084" max="2084" width="10" style="112" bestFit="1" customWidth="1"/>
    <col min="2085" max="2111" width="9" style="112" bestFit="1" customWidth="1"/>
    <col min="2112" max="2303" width="8.75" style="112"/>
    <col min="2304" max="2304" width="9" style="112" bestFit="1" customWidth="1"/>
    <col min="2305" max="2305" width="10.5" style="112" customWidth="1"/>
    <col min="2306" max="2306" width="13.375" style="112" bestFit="1" customWidth="1"/>
    <col min="2307" max="2309" width="12.25" style="112" bestFit="1" customWidth="1"/>
    <col min="2310" max="2310" width="14.375" style="112" customWidth="1"/>
    <col min="2311" max="2311" width="12.875" style="112" customWidth="1"/>
    <col min="2312" max="2314" width="12.25" style="112" bestFit="1" customWidth="1"/>
    <col min="2315" max="2315" width="11.375" style="112" customWidth="1"/>
    <col min="2316" max="2316" width="13.25" style="112" bestFit="1" customWidth="1"/>
    <col min="2317" max="2317" width="10.75" style="112" bestFit="1" customWidth="1"/>
    <col min="2318" max="2318" width="13.375" style="112" bestFit="1" customWidth="1"/>
    <col min="2319" max="2319" width="12" style="112" customWidth="1"/>
    <col min="2320" max="2320" width="11.125" style="112" customWidth="1"/>
    <col min="2321" max="2321" width="12.25" style="112" bestFit="1" customWidth="1"/>
    <col min="2322" max="2322" width="12.875" style="112" customWidth="1"/>
    <col min="2323" max="2323" width="10.5" style="112" customWidth="1"/>
    <col min="2324" max="2324" width="13.75" style="112" customWidth="1"/>
    <col min="2325" max="2325" width="10.75" style="112" bestFit="1" customWidth="1"/>
    <col min="2326" max="2326" width="12.25" style="112" customWidth="1"/>
    <col min="2327" max="2327" width="12.125" style="112" customWidth="1"/>
    <col min="2328" max="2328" width="10.25" style="112" customWidth="1"/>
    <col min="2329" max="2329" width="12.125" style="112" customWidth="1"/>
    <col min="2330" max="2330" width="10.75" style="112" bestFit="1" customWidth="1"/>
    <col min="2331" max="2331" width="13.875" style="112" customWidth="1"/>
    <col min="2332" max="2332" width="11.125" style="112" bestFit="1" customWidth="1"/>
    <col min="2333" max="2333" width="12.875" style="112" bestFit="1" customWidth="1"/>
    <col min="2334" max="2334" width="11.75" style="112" customWidth="1"/>
    <col min="2335" max="2335" width="10.75" style="112" bestFit="1" customWidth="1"/>
    <col min="2336" max="2336" width="12.5" style="112" customWidth="1"/>
    <col min="2337" max="2337" width="14.5" style="112" customWidth="1"/>
    <col min="2338" max="2338" width="16" style="112" customWidth="1"/>
    <col min="2339" max="2339" width="9.125" style="112" bestFit="1" customWidth="1"/>
    <col min="2340" max="2340" width="10" style="112" bestFit="1" customWidth="1"/>
    <col min="2341" max="2367" width="9" style="112" bestFit="1" customWidth="1"/>
    <col min="2368" max="2559" width="8.75" style="112"/>
    <col min="2560" max="2560" width="9" style="112" bestFit="1" customWidth="1"/>
    <col min="2561" max="2561" width="10.5" style="112" customWidth="1"/>
    <col min="2562" max="2562" width="13.375" style="112" bestFit="1" customWidth="1"/>
    <col min="2563" max="2565" width="12.25" style="112" bestFit="1" customWidth="1"/>
    <col min="2566" max="2566" width="14.375" style="112" customWidth="1"/>
    <col min="2567" max="2567" width="12.875" style="112" customWidth="1"/>
    <col min="2568" max="2570" width="12.25" style="112" bestFit="1" customWidth="1"/>
    <col min="2571" max="2571" width="11.375" style="112" customWidth="1"/>
    <col min="2572" max="2572" width="13.25" style="112" bestFit="1" customWidth="1"/>
    <col min="2573" max="2573" width="10.75" style="112" bestFit="1" customWidth="1"/>
    <col min="2574" max="2574" width="13.375" style="112" bestFit="1" customWidth="1"/>
    <col min="2575" max="2575" width="12" style="112" customWidth="1"/>
    <col min="2576" max="2576" width="11.125" style="112" customWidth="1"/>
    <col min="2577" max="2577" width="12.25" style="112" bestFit="1" customWidth="1"/>
    <col min="2578" max="2578" width="12.875" style="112" customWidth="1"/>
    <col min="2579" max="2579" width="10.5" style="112" customWidth="1"/>
    <col min="2580" max="2580" width="13.75" style="112" customWidth="1"/>
    <col min="2581" max="2581" width="10.75" style="112" bestFit="1" customWidth="1"/>
    <col min="2582" max="2582" width="12.25" style="112" customWidth="1"/>
    <col min="2583" max="2583" width="12.125" style="112" customWidth="1"/>
    <col min="2584" max="2584" width="10.25" style="112" customWidth="1"/>
    <col min="2585" max="2585" width="12.125" style="112" customWidth="1"/>
    <col min="2586" max="2586" width="10.75" style="112" bestFit="1" customWidth="1"/>
    <col min="2587" max="2587" width="13.875" style="112" customWidth="1"/>
    <col min="2588" max="2588" width="11.125" style="112" bestFit="1" customWidth="1"/>
    <col min="2589" max="2589" width="12.875" style="112" bestFit="1" customWidth="1"/>
    <col min="2590" max="2590" width="11.75" style="112" customWidth="1"/>
    <col min="2591" max="2591" width="10.75" style="112" bestFit="1" customWidth="1"/>
    <col min="2592" max="2592" width="12.5" style="112" customWidth="1"/>
    <col min="2593" max="2593" width="14.5" style="112" customWidth="1"/>
    <col min="2594" max="2594" width="16" style="112" customWidth="1"/>
    <col min="2595" max="2595" width="9.125" style="112" bestFit="1" customWidth="1"/>
    <col min="2596" max="2596" width="10" style="112" bestFit="1" customWidth="1"/>
    <col min="2597" max="2623" width="9" style="112" bestFit="1" customWidth="1"/>
    <col min="2624" max="2815" width="8.75" style="112"/>
    <col min="2816" max="2816" width="9" style="112" bestFit="1" customWidth="1"/>
    <col min="2817" max="2817" width="10.5" style="112" customWidth="1"/>
    <col min="2818" max="2818" width="13.375" style="112" bestFit="1" customWidth="1"/>
    <col min="2819" max="2821" width="12.25" style="112" bestFit="1" customWidth="1"/>
    <col min="2822" max="2822" width="14.375" style="112" customWidth="1"/>
    <col min="2823" max="2823" width="12.875" style="112" customWidth="1"/>
    <col min="2824" max="2826" width="12.25" style="112" bestFit="1" customWidth="1"/>
    <col min="2827" max="2827" width="11.375" style="112" customWidth="1"/>
    <col min="2828" max="2828" width="13.25" style="112" bestFit="1" customWidth="1"/>
    <col min="2829" max="2829" width="10.75" style="112" bestFit="1" customWidth="1"/>
    <col min="2830" max="2830" width="13.375" style="112" bestFit="1" customWidth="1"/>
    <col min="2831" max="2831" width="12" style="112" customWidth="1"/>
    <col min="2832" max="2832" width="11.125" style="112" customWidth="1"/>
    <col min="2833" max="2833" width="12.25" style="112" bestFit="1" customWidth="1"/>
    <col min="2834" max="2834" width="12.875" style="112" customWidth="1"/>
    <col min="2835" max="2835" width="10.5" style="112" customWidth="1"/>
    <col min="2836" max="2836" width="13.75" style="112" customWidth="1"/>
    <col min="2837" max="2837" width="10.75" style="112" bestFit="1" customWidth="1"/>
    <col min="2838" max="2838" width="12.25" style="112" customWidth="1"/>
    <col min="2839" max="2839" width="12.125" style="112" customWidth="1"/>
    <col min="2840" max="2840" width="10.25" style="112" customWidth="1"/>
    <col min="2841" max="2841" width="12.125" style="112" customWidth="1"/>
    <col min="2842" max="2842" width="10.75" style="112" bestFit="1" customWidth="1"/>
    <col min="2843" max="2843" width="13.875" style="112" customWidth="1"/>
    <col min="2844" max="2844" width="11.125" style="112" bestFit="1" customWidth="1"/>
    <col min="2845" max="2845" width="12.875" style="112" bestFit="1" customWidth="1"/>
    <col min="2846" max="2846" width="11.75" style="112" customWidth="1"/>
    <col min="2847" max="2847" width="10.75" style="112" bestFit="1" customWidth="1"/>
    <col min="2848" max="2848" width="12.5" style="112" customWidth="1"/>
    <col min="2849" max="2849" width="14.5" style="112" customWidth="1"/>
    <col min="2850" max="2850" width="16" style="112" customWidth="1"/>
    <col min="2851" max="2851" width="9.125" style="112" bestFit="1" customWidth="1"/>
    <col min="2852" max="2852" width="10" style="112" bestFit="1" customWidth="1"/>
    <col min="2853" max="2879" width="9" style="112" bestFit="1" customWidth="1"/>
    <col min="2880" max="3071" width="8.75" style="112"/>
    <col min="3072" max="3072" width="9" style="112" bestFit="1" customWidth="1"/>
    <col min="3073" max="3073" width="10.5" style="112" customWidth="1"/>
    <col min="3074" max="3074" width="13.375" style="112" bestFit="1" customWidth="1"/>
    <col min="3075" max="3077" width="12.25" style="112" bestFit="1" customWidth="1"/>
    <col min="3078" max="3078" width="14.375" style="112" customWidth="1"/>
    <col min="3079" max="3079" width="12.875" style="112" customWidth="1"/>
    <col min="3080" max="3082" width="12.25" style="112" bestFit="1" customWidth="1"/>
    <col min="3083" max="3083" width="11.375" style="112" customWidth="1"/>
    <col min="3084" max="3084" width="13.25" style="112" bestFit="1" customWidth="1"/>
    <col min="3085" max="3085" width="10.75" style="112" bestFit="1" customWidth="1"/>
    <col min="3086" max="3086" width="13.375" style="112" bestFit="1" customWidth="1"/>
    <col min="3087" max="3087" width="12" style="112" customWidth="1"/>
    <col min="3088" max="3088" width="11.125" style="112" customWidth="1"/>
    <col min="3089" max="3089" width="12.25" style="112" bestFit="1" customWidth="1"/>
    <col min="3090" max="3090" width="12.875" style="112" customWidth="1"/>
    <col min="3091" max="3091" width="10.5" style="112" customWidth="1"/>
    <col min="3092" max="3092" width="13.75" style="112" customWidth="1"/>
    <col min="3093" max="3093" width="10.75" style="112" bestFit="1" customWidth="1"/>
    <col min="3094" max="3094" width="12.25" style="112" customWidth="1"/>
    <col min="3095" max="3095" width="12.125" style="112" customWidth="1"/>
    <col min="3096" max="3096" width="10.25" style="112" customWidth="1"/>
    <col min="3097" max="3097" width="12.125" style="112" customWidth="1"/>
    <col min="3098" max="3098" width="10.75" style="112" bestFit="1" customWidth="1"/>
    <col min="3099" max="3099" width="13.875" style="112" customWidth="1"/>
    <col min="3100" max="3100" width="11.125" style="112" bestFit="1" customWidth="1"/>
    <col min="3101" max="3101" width="12.875" style="112" bestFit="1" customWidth="1"/>
    <col min="3102" max="3102" width="11.75" style="112" customWidth="1"/>
    <col min="3103" max="3103" width="10.75" style="112" bestFit="1" customWidth="1"/>
    <col min="3104" max="3104" width="12.5" style="112" customWidth="1"/>
    <col min="3105" max="3105" width="14.5" style="112" customWidth="1"/>
    <col min="3106" max="3106" width="16" style="112" customWidth="1"/>
    <col min="3107" max="3107" width="9.125" style="112" bestFit="1" customWidth="1"/>
    <col min="3108" max="3108" width="10" style="112" bestFit="1" customWidth="1"/>
    <col min="3109" max="3135" width="9" style="112" bestFit="1" customWidth="1"/>
    <col min="3136" max="3327" width="8.75" style="112"/>
    <col min="3328" max="3328" width="9" style="112" bestFit="1" customWidth="1"/>
    <col min="3329" max="3329" width="10.5" style="112" customWidth="1"/>
    <col min="3330" max="3330" width="13.375" style="112" bestFit="1" customWidth="1"/>
    <col min="3331" max="3333" width="12.25" style="112" bestFit="1" customWidth="1"/>
    <col min="3334" max="3334" width="14.375" style="112" customWidth="1"/>
    <col min="3335" max="3335" width="12.875" style="112" customWidth="1"/>
    <col min="3336" max="3338" width="12.25" style="112" bestFit="1" customWidth="1"/>
    <col min="3339" max="3339" width="11.375" style="112" customWidth="1"/>
    <col min="3340" max="3340" width="13.25" style="112" bestFit="1" customWidth="1"/>
    <col min="3341" max="3341" width="10.75" style="112" bestFit="1" customWidth="1"/>
    <col min="3342" max="3342" width="13.375" style="112" bestFit="1" customWidth="1"/>
    <col min="3343" max="3343" width="12" style="112" customWidth="1"/>
    <col min="3344" max="3344" width="11.125" style="112" customWidth="1"/>
    <col min="3345" max="3345" width="12.25" style="112" bestFit="1" customWidth="1"/>
    <col min="3346" max="3346" width="12.875" style="112" customWidth="1"/>
    <col min="3347" max="3347" width="10.5" style="112" customWidth="1"/>
    <col min="3348" max="3348" width="13.75" style="112" customWidth="1"/>
    <col min="3349" max="3349" width="10.75" style="112" bestFit="1" customWidth="1"/>
    <col min="3350" max="3350" width="12.25" style="112" customWidth="1"/>
    <col min="3351" max="3351" width="12.125" style="112" customWidth="1"/>
    <col min="3352" max="3352" width="10.25" style="112" customWidth="1"/>
    <col min="3353" max="3353" width="12.125" style="112" customWidth="1"/>
    <col min="3354" max="3354" width="10.75" style="112" bestFit="1" customWidth="1"/>
    <col min="3355" max="3355" width="13.875" style="112" customWidth="1"/>
    <col min="3356" max="3356" width="11.125" style="112" bestFit="1" customWidth="1"/>
    <col min="3357" max="3357" width="12.875" style="112" bestFit="1" customWidth="1"/>
    <col min="3358" max="3358" width="11.75" style="112" customWidth="1"/>
    <col min="3359" max="3359" width="10.75" style="112" bestFit="1" customWidth="1"/>
    <col min="3360" max="3360" width="12.5" style="112" customWidth="1"/>
    <col min="3361" max="3361" width="14.5" style="112" customWidth="1"/>
    <col min="3362" max="3362" width="16" style="112" customWidth="1"/>
    <col min="3363" max="3363" width="9.125" style="112" bestFit="1" customWidth="1"/>
    <col min="3364" max="3364" width="10" style="112" bestFit="1" customWidth="1"/>
    <col min="3365" max="3391" width="9" style="112" bestFit="1" customWidth="1"/>
    <col min="3392" max="3583" width="8.75" style="112"/>
    <col min="3584" max="3584" width="9" style="112" bestFit="1" customWidth="1"/>
    <col min="3585" max="3585" width="10.5" style="112" customWidth="1"/>
    <col min="3586" max="3586" width="13.375" style="112" bestFit="1" customWidth="1"/>
    <col min="3587" max="3589" width="12.25" style="112" bestFit="1" customWidth="1"/>
    <col min="3590" max="3590" width="14.375" style="112" customWidth="1"/>
    <col min="3591" max="3591" width="12.875" style="112" customWidth="1"/>
    <col min="3592" max="3594" width="12.25" style="112" bestFit="1" customWidth="1"/>
    <col min="3595" max="3595" width="11.375" style="112" customWidth="1"/>
    <col min="3596" max="3596" width="13.25" style="112" bestFit="1" customWidth="1"/>
    <col min="3597" max="3597" width="10.75" style="112" bestFit="1" customWidth="1"/>
    <col min="3598" max="3598" width="13.375" style="112" bestFit="1" customWidth="1"/>
    <col min="3599" max="3599" width="12" style="112" customWidth="1"/>
    <col min="3600" max="3600" width="11.125" style="112" customWidth="1"/>
    <col min="3601" max="3601" width="12.25" style="112" bestFit="1" customWidth="1"/>
    <col min="3602" max="3602" width="12.875" style="112" customWidth="1"/>
    <col min="3603" max="3603" width="10.5" style="112" customWidth="1"/>
    <col min="3604" max="3604" width="13.75" style="112" customWidth="1"/>
    <col min="3605" max="3605" width="10.75" style="112" bestFit="1" customWidth="1"/>
    <col min="3606" max="3606" width="12.25" style="112" customWidth="1"/>
    <col min="3607" max="3607" width="12.125" style="112" customWidth="1"/>
    <col min="3608" max="3608" width="10.25" style="112" customWidth="1"/>
    <col min="3609" max="3609" width="12.125" style="112" customWidth="1"/>
    <col min="3610" max="3610" width="10.75" style="112" bestFit="1" customWidth="1"/>
    <col min="3611" max="3611" width="13.875" style="112" customWidth="1"/>
    <col min="3612" max="3612" width="11.125" style="112" bestFit="1" customWidth="1"/>
    <col min="3613" max="3613" width="12.875" style="112" bestFit="1" customWidth="1"/>
    <col min="3614" max="3614" width="11.75" style="112" customWidth="1"/>
    <col min="3615" max="3615" width="10.75" style="112" bestFit="1" customWidth="1"/>
    <col min="3616" max="3616" width="12.5" style="112" customWidth="1"/>
    <col min="3617" max="3617" width="14.5" style="112" customWidth="1"/>
    <col min="3618" max="3618" width="16" style="112" customWidth="1"/>
    <col min="3619" max="3619" width="9.125" style="112" bestFit="1" customWidth="1"/>
    <col min="3620" max="3620" width="10" style="112" bestFit="1" customWidth="1"/>
    <col min="3621" max="3647" width="9" style="112" bestFit="1" customWidth="1"/>
    <col min="3648" max="3839" width="8.75" style="112"/>
    <col min="3840" max="3840" width="9" style="112" bestFit="1" customWidth="1"/>
    <col min="3841" max="3841" width="10.5" style="112" customWidth="1"/>
    <col min="3842" max="3842" width="13.375" style="112" bestFit="1" customWidth="1"/>
    <col min="3843" max="3845" width="12.25" style="112" bestFit="1" customWidth="1"/>
    <col min="3846" max="3846" width="14.375" style="112" customWidth="1"/>
    <col min="3847" max="3847" width="12.875" style="112" customWidth="1"/>
    <col min="3848" max="3850" width="12.25" style="112" bestFit="1" customWidth="1"/>
    <col min="3851" max="3851" width="11.375" style="112" customWidth="1"/>
    <col min="3852" max="3852" width="13.25" style="112" bestFit="1" customWidth="1"/>
    <col min="3853" max="3853" width="10.75" style="112" bestFit="1" customWidth="1"/>
    <col min="3854" max="3854" width="13.375" style="112" bestFit="1" customWidth="1"/>
    <col min="3855" max="3855" width="12" style="112" customWidth="1"/>
    <col min="3856" max="3856" width="11.125" style="112" customWidth="1"/>
    <col min="3857" max="3857" width="12.25" style="112" bestFit="1" customWidth="1"/>
    <col min="3858" max="3858" width="12.875" style="112" customWidth="1"/>
    <col min="3859" max="3859" width="10.5" style="112" customWidth="1"/>
    <col min="3860" max="3860" width="13.75" style="112" customWidth="1"/>
    <col min="3861" max="3861" width="10.75" style="112" bestFit="1" customWidth="1"/>
    <col min="3862" max="3862" width="12.25" style="112" customWidth="1"/>
    <col min="3863" max="3863" width="12.125" style="112" customWidth="1"/>
    <col min="3864" max="3864" width="10.25" style="112" customWidth="1"/>
    <col min="3865" max="3865" width="12.125" style="112" customWidth="1"/>
    <col min="3866" max="3866" width="10.75" style="112" bestFit="1" customWidth="1"/>
    <col min="3867" max="3867" width="13.875" style="112" customWidth="1"/>
    <col min="3868" max="3868" width="11.125" style="112" bestFit="1" customWidth="1"/>
    <col min="3869" max="3869" width="12.875" style="112" bestFit="1" customWidth="1"/>
    <col min="3870" max="3870" width="11.75" style="112" customWidth="1"/>
    <col min="3871" max="3871" width="10.75" style="112" bestFit="1" customWidth="1"/>
    <col min="3872" max="3872" width="12.5" style="112" customWidth="1"/>
    <col min="3873" max="3873" width="14.5" style="112" customWidth="1"/>
    <col min="3874" max="3874" width="16" style="112" customWidth="1"/>
    <col min="3875" max="3875" width="9.125" style="112" bestFit="1" customWidth="1"/>
    <col min="3876" max="3876" width="10" style="112" bestFit="1" customWidth="1"/>
    <col min="3877" max="3903" width="9" style="112" bestFit="1" customWidth="1"/>
    <col min="3904" max="4095" width="8.75" style="112"/>
    <col min="4096" max="4096" width="9" style="112" bestFit="1" customWidth="1"/>
    <col min="4097" max="4097" width="10.5" style="112" customWidth="1"/>
    <col min="4098" max="4098" width="13.375" style="112" bestFit="1" customWidth="1"/>
    <col min="4099" max="4101" width="12.25" style="112" bestFit="1" customWidth="1"/>
    <col min="4102" max="4102" width="14.375" style="112" customWidth="1"/>
    <col min="4103" max="4103" width="12.875" style="112" customWidth="1"/>
    <col min="4104" max="4106" width="12.25" style="112" bestFit="1" customWidth="1"/>
    <col min="4107" max="4107" width="11.375" style="112" customWidth="1"/>
    <col min="4108" max="4108" width="13.25" style="112" bestFit="1" customWidth="1"/>
    <col min="4109" max="4109" width="10.75" style="112" bestFit="1" customWidth="1"/>
    <col min="4110" max="4110" width="13.375" style="112" bestFit="1" customWidth="1"/>
    <col min="4111" max="4111" width="12" style="112" customWidth="1"/>
    <col min="4112" max="4112" width="11.125" style="112" customWidth="1"/>
    <col min="4113" max="4113" width="12.25" style="112" bestFit="1" customWidth="1"/>
    <col min="4114" max="4114" width="12.875" style="112" customWidth="1"/>
    <col min="4115" max="4115" width="10.5" style="112" customWidth="1"/>
    <col min="4116" max="4116" width="13.75" style="112" customWidth="1"/>
    <col min="4117" max="4117" width="10.75" style="112" bestFit="1" customWidth="1"/>
    <col min="4118" max="4118" width="12.25" style="112" customWidth="1"/>
    <col min="4119" max="4119" width="12.125" style="112" customWidth="1"/>
    <col min="4120" max="4120" width="10.25" style="112" customWidth="1"/>
    <col min="4121" max="4121" width="12.125" style="112" customWidth="1"/>
    <col min="4122" max="4122" width="10.75" style="112" bestFit="1" customWidth="1"/>
    <col min="4123" max="4123" width="13.875" style="112" customWidth="1"/>
    <col min="4124" max="4124" width="11.125" style="112" bestFit="1" customWidth="1"/>
    <col min="4125" max="4125" width="12.875" style="112" bestFit="1" customWidth="1"/>
    <col min="4126" max="4126" width="11.75" style="112" customWidth="1"/>
    <col min="4127" max="4127" width="10.75" style="112" bestFit="1" customWidth="1"/>
    <col min="4128" max="4128" width="12.5" style="112" customWidth="1"/>
    <col min="4129" max="4129" width="14.5" style="112" customWidth="1"/>
    <col min="4130" max="4130" width="16" style="112" customWidth="1"/>
    <col min="4131" max="4131" width="9.125" style="112" bestFit="1" customWidth="1"/>
    <col min="4132" max="4132" width="10" style="112" bestFit="1" customWidth="1"/>
    <col min="4133" max="4159" width="9" style="112" bestFit="1" customWidth="1"/>
    <col min="4160" max="4351" width="8.75" style="112"/>
    <col min="4352" max="4352" width="9" style="112" bestFit="1" customWidth="1"/>
    <col min="4353" max="4353" width="10.5" style="112" customWidth="1"/>
    <col min="4354" max="4354" width="13.375" style="112" bestFit="1" customWidth="1"/>
    <col min="4355" max="4357" width="12.25" style="112" bestFit="1" customWidth="1"/>
    <col min="4358" max="4358" width="14.375" style="112" customWidth="1"/>
    <col min="4359" max="4359" width="12.875" style="112" customWidth="1"/>
    <col min="4360" max="4362" width="12.25" style="112" bestFit="1" customWidth="1"/>
    <col min="4363" max="4363" width="11.375" style="112" customWidth="1"/>
    <col min="4364" max="4364" width="13.25" style="112" bestFit="1" customWidth="1"/>
    <col min="4365" max="4365" width="10.75" style="112" bestFit="1" customWidth="1"/>
    <col min="4366" max="4366" width="13.375" style="112" bestFit="1" customWidth="1"/>
    <col min="4367" max="4367" width="12" style="112" customWidth="1"/>
    <col min="4368" max="4368" width="11.125" style="112" customWidth="1"/>
    <col min="4369" max="4369" width="12.25" style="112" bestFit="1" customWidth="1"/>
    <col min="4370" max="4370" width="12.875" style="112" customWidth="1"/>
    <col min="4371" max="4371" width="10.5" style="112" customWidth="1"/>
    <col min="4372" max="4372" width="13.75" style="112" customWidth="1"/>
    <col min="4373" max="4373" width="10.75" style="112" bestFit="1" customWidth="1"/>
    <col min="4374" max="4374" width="12.25" style="112" customWidth="1"/>
    <col min="4375" max="4375" width="12.125" style="112" customWidth="1"/>
    <col min="4376" max="4376" width="10.25" style="112" customWidth="1"/>
    <col min="4377" max="4377" width="12.125" style="112" customWidth="1"/>
    <col min="4378" max="4378" width="10.75" style="112" bestFit="1" customWidth="1"/>
    <col min="4379" max="4379" width="13.875" style="112" customWidth="1"/>
    <col min="4380" max="4380" width="11.125" style="112" bestFit="1" customWidth="1"/>
    <col min="4381" max="4381" width="12.875" style="112" bestFit="1" customWidth="1"/>
    <col min="4382" max="4382" width="11.75" style="112" customWidth="1"/>
    <col min="4383" max="4383" width="10.75" style="112" bestFit="1" customWidth="1"/>
    <col min="4384" max="4384" width="12.5" style="112" customWidth="1"/>
    <col min="4385" max="4385" width="14.5" style="112" customWidth="1"/>
    <col min="4386" max="4386" width="16" style="112" customWidth="1"/>
    <col min="4387" max="4387" width="9.125" style="112" bestFit="1" customWidth="1"/>
    <col min="4388" max="4388" width="10" style="112" bestFit="1" customWidth="1"/>
    <col min="4389" max="4415" width="9" style="112" bestFit="1" customWidth="1"/>
    <col min="4416" max="4607" width="8.75" style="112"/>
    <col min="4608" max="4608" width="9" style="112" bestFit="1" customWidth="1"/>
    <col min="4609" max="4609" width="10.5" style="112" customWidth="1"/>
    <col min="4610" max="4610" width="13.375" style="112" bestFit="1" customWidth="1"/>
    <col min="4611" max="4613" width="12.25" style="112" bestFit="1" customWidth="1"/>
    <col min="4614" max="4614" width="14.375" style="112" customWidth="1"/>
    <col min="4615" max="4615" width="12.875" style="112" customWidth="1"/>
    <col min="4616" max="4618" width="12.25" style="112" bestFit="1" customWidth="1"/>
    <col min="4619" max="4619" width="11.375" style="112" customWidth="1"/>
    <col min="4620" max="4620" width="13.25" style="112" bestFit="1" customWidth="1"/>
    <col min="4621" max="4621" width="10.75" style="112" bestFit="1" customWidth="1"/>
    <col min="4622" max="4622" width="13.375" style="112" bestFit="1" customWidth="1"/>
    <col min="4623" max="4623" width="12" style="112" customWidth="1"/>
    <col min="4624" max="4624" width="11.125" style="112" customWidth="1"/>
    <col min="4625" max="4625" width="12.25" style="112" bestFit="1" customWidth="1"/>
    <col min="4626" max="4626" width="12.875" style="112" customWidth="1"/>
    <col min="4627" max="4627" width="10.5" style="112" customWidth="1"/>
    <col min="4628" max="4628" width="13.75" style="112" customWidth="1"/>
    <col min="4629" max="4629" width="10.75" style="112" bestFit="1" customWidth="1"/>
    <col min="4630" max="4630" width="12.25" style="112" customWidth="1"/>
    <col min="4631" max="4631" width="12.125" style="112" customWidth="1"/>
    <col min="4632" max="4632" width="10.25" style="112" customWidth="1"/>
    <col min="4633" max="4633" width="12.125" style="112" customWidth="1"/>
    <col min="4634" max="4634" width="10.75" style="112" bestFit="1" customWidth="1"/>
    <col min="4635" max="4635" width="13.875" style="112" customWidth="1"/>
    <col min="4636" max="4636" width="11.125" style="112" bestFit="1" customWidth="1"/>
    <col min="4637" max="4637" width="12.875" style="112" bestFit="1" customWidth="1"/>
    <col min="4638" max="4638" width="11.75" style="112" customWidth="1"/>
    <col min="4639" max="4639" width="10.75" style="112" bestFit="1" customWidth="1"/>
    <col min="4640" max="4640" width="12.5" style="112" customWidth="1"/>
    <col min="4641" max="4641" width="14.5" style="112" customWidth="1"/>
    <col min="4642" max="4642" width="16" style="112" customWidth="1"/>
    <col min="4643" max="4643" width="9.125" style="112" bestFit="1" customWidth="1"/>
    <col min="4644" max="4644" width="10" style="112" bestFit="1" customWidth="1"/>
    <col min="4645" max="4671" width="9" style="112" bestFit="1" customWidth="1"/>
    <col min="4672" max="4863" width="8.75" style="112"/>
    <col min="4864" max="4864" width="9" style="112" bestFit="1" customWidth="1"/>
    <col min="4865" max="4865" width="10.5" style="112" customWidth="1"/>
    <col min="4866" max="4866" width="13.375" style="112" bestFit="1" customWidth="1"/>
    <col min="4867" max="4869" width="12.25" style="112" bestFit="1" customWidth="1"/>
    <col min="4870" max="4870" width="14.375" style="112" customWidth="1"/>
    <col min="4871" max="4871" width="12.875" style="112" customWidth="1"/>
    <col min="4872" max="4874" width="12.25" style="112" bestFit="1" customWidth="1"/>
    <col min="4875" max="4875" width="11.375" style="112" customWidth="1"/>
    <col min="4876" max="4876" width="13.25" style="112" bestFit="1" customWidth="1"/>
    <col min="4877" max="4877" width="10.75" style="112" bestFit="1" customWidth="1"/>
    <col min="4878" max="4878" width="13.375" style="112" bestFit="1" customWidth="1"/>
    <col min="4879" max="4879" width="12" style="112" customWidth="1"/>
    <col min="4880" max="4880" width="11.125" style="112" customWidth="1"/>
    <col min="4881" max="4881" width="12.25" style="112" bestFit="1" customWidth="1"/>
    <col min="4882" max="4882" width="12.875" style="112" customWidth="1"/>
    <col min="4883" max="4883" width="10.5" style="112" customWidth="1"/>
    <col min="4884" max="4884" width="13.75" style="112" customWidth="1"/>
    <col min="4885" max="4885" width="10.75" style="112" bestFit="1" customWidth="1"/>
    <col min="4886" max="4886" width="12.25" style="112" customWidth="1"/>
    <col min="4887" max="4887" width="12.125" style="112" customWidth="1"/>
    <col min="4888" max="4888" width="10.25" style="112" customWidth="1"/>
    <col min="4889" max="4889" width="12.125" style="112" customWidth="1"/>
    <col min="4890" max="4890" width="10.75" style="112" bestFit="1" customWidth="1"/>
    <col min="4891" max="4891" width="13.875" style="112" customWidth="1"/>
    <col min="4892" max="4892" width="11.125" style="112" bestFit="1" customWidth="1"/>
    <col min="4893" max="4893" width="12.875" style="112" bestFit="1" customWidth="1"/>
    <col min="4894" max="4894" width="11.75" style="112" customWidth="1"/>
    <col min="4895" max="4895" width="10.75" style="112" bestFit="1" customWidth="1"/>
    <col min="4896" max="4896" width="12.5" style="112" customWidth="1"/>
    <col min="4897" max="4897" width="14.5" style="112" customWidth="1"/>
    <col min="4898" max="4898" width="16" style="112" customWidth="1"/>
    <col min="4899" max="4899" width="9.125" style="112" bestFit="1" customWidth="1"/>
    <col min="4900" max="4900" width="10" style="112" bestFit="1" customWidth="1"/>
    <col min="4901" max="4927" width="9" style="112" bestFit="1" customWidth="1"/>
    <col min="4928" max="5119" width="8.75" style="112"/>
    <col min="5120" max="5120" width="9" style="112" bestFit="1" customWidth="1"/>
    <col min="5121" max="5121" width="10.5" style="112" customWidth="1"/>
    <col min="5122" max="5122" width="13.375" style="112" bestFit="1" customWidth="1"/>
    <col min="5123" max="5125" width="12.25" style="112" bestFit="1" customWidth="1"/>
    <col min="5126" max="5126" width="14.375" style="112" customWidth="1"/>
    <col min="5127" max="5127" width="12.875" style="112" customWidth="1"/>
    <col min="5128" max="5130" width="12.25" style="112" bestFit="1" customWidth="1"/>
    <col min="5131" max="5131" width="11.375" style="112" customWidth="1"/>
    <col min="5132" max="5132" width="13.25" style="112" bestFit="1" customWidth="1"/>
    <col min="5133" max="5133" width="10.75" style="112" bestFit="1" customWidth="1"/>
    <col min="5134" max="5134" width="13.375" style="112" bestFit="1" customWidth="1"/>
    <col min="5135" max="5135" width="12" style="112" customWidth="1"/>
    <col min="5136" max="5136" width="11.125" style="112" customWidth="1"/>
    <col min="5137" max="5137" width="12.25" style="112" bestFit="1" customWidth="1"/>
    <col min="5138" max="5138" width="12.875" style="112" customWidth="1"/>
    <col min="5139" max="5139" width="10.5" style="112" customWidth="1"/>
    <col min="5140" max="5140" width="13.75" style="112" customWidth="1"/>
    <col min="5141" max="5141" width="10.75" style="112" bestFit="1" customWidth="1"/>
    <col min="5142" max="5142" width="12.25" style="112" customWidth="1"/>
    <col min="5143" max="5143" width="12.125" style="112" customWidth="1"/>
    <col min="5144" max="5144" width="10.25" style="112" customWidth="1"/>
    <col min="5145" max="5145" width="12.125" style="112" customWidth="1"/>
    <col min="5146" max="5146" width="10.75" style="112" bestFit="1" customWidth="1"/>
    <col min="5147" max="5147" width="13.875" style="112" customWidth="1"/>
    <col min="5148" max="5148" width="11.125" style="112" bestFit="1" customWidth="1"/>
    <col min="5149" max="5149" width="12.875" style="112" bestFit="1" customWidth="1"/>
    <col min="5150" max="5150" width="11.75" style="112" customWidth="1"/>
    <col min="5151" max="5151" width="10.75" style="112" bestFit="1" customWidth="1"/>
    <col min="5152" max="5152" width="12.5" style="112" customWidth="1"/>
    <col min="5153" max="5153" width="14.5" style="112" customWidth="1"/>
    <col min="5154" max="5154" width="16" style="112" customWidth="1"/>
    <col min="5155" max="5155" width="9.125" style="112" bestFit="1" customWidth="1"/>
    <col min="5156" max="5156" width="10" style="112" bestFit="1" customWidth="1"/>
    <col min="5157" max="5183" width="9" style="112" bestFit="1" customWidth="1"/>
    <col min="5184" max="5375" width="8.75" style="112"/>
    <col min="5376" max="5376" width="9" style="112" bestFit="1" customWidth="1"/>
    <col min="5377" max="5377" width="10.5" style="112" customWidth="1"/>
    <col min="5378" max="5378" width="13.375" style="112" bestFit="1" customWidth="1"/>
    <col min="5379" max="5381" width="12.25" style="112" bestFit="1" customWidth="1"/>
    <col min="5382" max="5382" width="14.375" style="112" customWidth="1"/>
    <col min="5383" max="5383" width="12.875" style="112" customWidth="1"/>
    <col min="5384" max="5386" width="12.25" style="112" bestFit="1" customWidth="1"/>
    <col min="5387" max="5387" width="11.375" style="112" customWidth="1"/>
    <col min="5388" max="5388" width="13.25" style="112" bestFit="1" customWidth="1"/>
    <col min="5389" max="5389" width="10.75" style="112" bestFit="1" customWidth="1"/>
    <col min="5390" max="5390" width="13.375" style="112" bestFit="1" customWidth="1"/>
    <col min="5391" max="5391" width="12" style="112" customWidth="1"/>
    <col min="5392" max="5392" width="11.125" style="112" customWidth="1"/>
    <col min="5393" max="5393" width="12.25" style="112" bestFit="1" customWidth="1"/>
    <col min="5394" max="5394" width="12.875" style="112" customWidth="1"/>
    <col min="5395" max="5395" width="10.5" style="112" customWidth="1"/>
    <col min="5396" max="5396" width="13.75" style="112" customWidth="1"/>
    <col min="5397" max="5397" width="10.75" style="112" bestFit="1" customWidth="1"/>
    <col min="5398" max="5398" width="12.25" style="112" customWidth="1"/>
    <col min="5399" max="5399" width="12.125" style="112" customWidth="1"/>
    <col min="5400" max="5400" width="10.25" style="112" customWidth="1"/>
    <col min="5401" max="5401" width="12.125" style="112" customWidth="1"/>
    <col min="5402" max="5402" width="10.75" style="112" bestFit="1" customWidth="1"/>
    <col min="5403" max="5403" width="13.875" style="112" customWidth="1"/>
    <col min="5404" max="5404" width="11.125" style="112" bestFit="1" customWidth="1"/>
    <col min="5405" max="5405" width="12.875" style="112" bestFit="1" customWidth="1"/>
    <col min="5406" max="5406" width="11.75" style="112" customWidth="1"/>
    <col min="5407" max="5407" width="10.75" style="112" bestFit="1" customWidth="1"/>
    <col min="5408" max="5408" width="12.5" style="112" customWidth="1"/>
    <col min="5409" max="5409" width="14.5" style="112" customWidth="1"/>
    <col min="5410" max="5410" width="16" style="112" customWidth="1"/>
    <col min="5411" max="5411" width="9.125" style="112" bestFit="1" customWidth="1"/>
    <col min="5412" max="5412" width="10" style="112" bestFit="1" customWidth="1"/>
    <col min="5413" max="5439" width="9" style="112" bestFit="1" customWidth="1"/>
    <col min="5440" max="5631" width="8.75" style="112"/>
    <col min="5632" max="5632" width="9" style="112" bestFit="1" customWidth="1"/>
    <col min="5633" max="5633" width="10.5" style="112" customWidth="1"/>
    <col min="5634" max="5634" width="13.375" style="112" bestFit="1" customWidth="1"/>
    <col min="5635" max="5637" width="12.25" style="112" bestFit="1" customWidth="1"/>
    <col min="5638" max="5638" width="14.375" style="112" customWidth="1"/>
    <col min="5639" max="5639" width="12.875" style="112" customWidth="1"/>
    <col min="5640" max="5642" width="12.25" style="112" bestFit="1" customWidth="1"/>
    <col min="5643" max="5643" width="11.375" style="112" customWidth="1"/>
    <col min="5644" max="5644" width="13.25" style="112" bestFit="1" customWidth="1"/>
    <col min="5645" max="5645" width="10.75" style="112" bestFit="1" customWidth="1"/>
    <col min="5646" max="5646" width="13.375" style="112" bestFit="1" customWidth="1"/>
    <col min="5647" max="5647" width="12" style="112" customWidth="1"/>
    <col min="5648" max="5648" width="11.125" style="112" customWidth="1"/>
    <col min="5649" max="5649" width="12.25" style="112" bestFit="1" customWidth="1"/>
    <col min="5650" max="5650" width="12.875" style="112" customWidth="1"/>
    <col min="5651" max="5651" width="10.5" style="112" customWidth="1"/>
    <col min="5652" max="5652" width="13.75" style="112" customWidth="1"/>
    <col min="5653" max="5653" width="10.75" style="112" bestFit="1" customWidth="1"/>
    <col min="5654" max="5654" width="12.25" style="112" customWidth="1"/>
    <col min="5655" max="5655" width="12.125" style="112" customWidth="1"/>
    <col min="5656" max="5656" width="10.25" style="112" customWidth="1"/>
    <col min="5657" max="5657" width="12.125" style="112" customWidth="1"/>
    <col min="5658" max="5658" width="10.75" style="112" bestFit="1" customWidth="1"/>
    <col min="5659" max="5659" width="13.875" style="112" customWidth="1"/>
    <col min="5660" max="5660" width="11.125" style="112" bestFit="1" customWidth="1"/>
    <col min="5661" max="5661" width="12.875" style="112" bestFit="1" customWidth="1"/>
    <col min="5662" max="5662" width="11.75" style="112" customWidth="1"/>
    <col min="5663" max="5663" width="10.75" style="112" bestFit="1" customWidth="1"/>
    <col min="5664" max="5664" width="12.5" style="112" customWidth="1"/>
    <col min="5665" max="5665" width="14.5" style="112" customWidth="1"/>
    <col min="5666" max="5666" width="16" style="112" customWidth="1"/>
    <col min="5667" max="5667" width="9.125" style="112" bestFit="1" customWidth="1"/>
    <col min="5668" max="5668" width="10" style="112" bestFit="1" customWidth="1"/>
    <col min="5669" max="5695" width="9" style="112" bestFit="1" customWidth="1"/>
    <col min="5696" max="5887" width="8.75" style="112"/>
    <col min="5888" max="5888" width="9" style="112" bestFit="1" customWidth="1"/>
    <col min="5889" max="5889" width="10.5" style="112" customWidth="1"/>
    <col min="5890" max="5890" width="13.375" style="112" bestFit="1" customWidth="1"/>
    <col min="5891" max="5893" width="12.25" style="112" bestFit="1" customWidth="1"/>
    <col min="5894" max="5894" width="14.375" style="112" customWidth="1"/>
    <col min="5895" max="5895" width="12.875" style="112" customWidth="1"/>
    <col min="5896" max="5898" width="12.25" style="112" bestFit="1" customWidth="1"/>
    <col min="5899" max="5899" width="11.375" style="112" customWidth="1"/>
    <col min="5900" max="5900" width="13.25" style="112" bestFit="1" customWidth="1"/>
    <col min="5901" max="5901" width="10.75" style="112" bestFit="1" customWidth="1"/>
    <col min="5902" max="5902" width="13.375" style="112" bestFit="1" customWidth="1"/>
    <col min="5903" max="5903" width="12" style="112" customWidth="1"/>
    <col min="5904" max="5904" width="11.125" style="112" customWidth="1"/>
    <col min="5905" max="5905" width="12.25" style="112" bestFit="1" customWidth="1"/>
    <col min="5906" max="5906" width="12.875" style="112" customWidth="1"/>
    <col min="5907" max="5907" width="10.5" style="112" customWidth="1"/>
    <col min="5908" max="5908" width="13.75" style="112" customWidth="1"/>
    <col min="5909" max="5909" width="10.75" style="112" bestFit="1" customWidth="1"/>
    <col min="5910" max="5910" width="12.25" style="112" customWidth="1"/>
    <col min="5911" max="5911" width="12.125" style="112" customWidth="1"/>
    <col min="5912" max="5912" width="10.25" style="112" customWidth="1"/>
    <col min="5913" max="5913" width="12.125" style="112" customWidth="1"/>
    <col min="5914" max="5914" width="10.75" style="112" bestFit="1" customWidth="1"/>
    <col min="5915" max="5915" width="13.875" style="112" customWidth="1"/>
    <col min="5916" max="5916" width="11.125" style="112" bestFit="1" customWidth="1"/>
    <col min="5917" max="5917" width="12.875" style="112" bestFit="1" customWidth="1"/>
    <col min="5918" max="5918" width="11.75" style="112" customWidth="1"/>
    <col min="5919" max="5919" width="10.75" style="112" bestFit="1" customWidth="1"/>
    <col min="5920" max="5920" width="12.5" style="112" customWidth="1"/>
    <col min="5921" max="5921" width="14.5" style="112" customWidth="1"/>
    <col min="5922" max="5922" width="16" style="112" customWidth="1"/>
    <col min="5923" max="5923" width="9.125" style="112" bestFit="1" customWidth="1"/>
    <col min="5924" max="5924" width="10" style="112" bestFit="1" customWidth="1"/>
    <col min="5925" max="5951" width="9" style="112" bestFit="1" customWidth="1"/>
    <col min="5952" max="6143" width="8.75" style="112"/>
    <col min="6144" max="6144" width="9" style="112" bestFit="1" customWidth="1"/>
    <col min="6145" max="6145" width="10.5" style="112" customWidth="1"/>
    <col min="6146" max="6146" width="13.375" style="112" bestFit="1" customWidth="1"/>
    <col min="6147" max="6149" width="12.25" style="112" bestFit="1" customWidth="1"/>
    <col min="6150" max="6150" width="14.375" style="112" customWidth="1"/>
    <col min="6151" max="6151" width="12.875" style="112" customWidth="1"/>
    <col min="6152" max="6154" width="12.25" style="112" bestFit="1" customWidth="1"/>
    <col min="6155" max="6155" width="11.375" style="112" customWidth="1"/>
    <col min="6156" max="6156" width="13.25" style="112" bestFit="1" customWidth="1"/>
    <col min="6157" max="6157" width="10.75" style="112" bestFit="1" customWidth="1"/>
    <col min="6158" max="6158" width="13.375" style="112" bestFit="1" customWidth="1"/>
    <col min="6159" max="6159" width="12" style="112" customWidth="1"/>
    <col min="6160" max="6160" width="11.125" style="112" customWidth="1"/>
    <col min="6161" max="6161" width="12.25" style="112" bestFit="1" customWidth="1"/>
    <col min="6162" max="6162" width="12.875" style="112" customWidth="1"/>
    <col min="6163" max="6163" width="10.5" style="112" customWidth="1"/>
    <col min="6164" max="6164" width="13.75" style="112" customWidth="1"/>
    <col min="6165" max="6165" width="10.75" style="112" bestFit="1" customWidth="1"/>
    <col min="6166" max="6166" width="12.25" style="112" customWidth="1"/>
    <col min="6167" max="6167" width="12.125" style="112" customWidth="1"/>
    <col min="6168" max="6168" width="10.25" style="112" customWidth="1"/>
    <col min="6169" max="6169" width="12.125" style="112" customWidth="1"/>
    <col min="6170" max="6170" width="10.75" style="112" bestFit="1" customWidth="1"/>
    <col min="6171" max="6171" width="13.875" style="112" customWidth="1"/>
    <col min="6172" max="6172" width="11.125" style="112" bestFit="1" customWidth="1"/>
    <col min="6173" max="6173" width="12.875" style="112" bestFit="1" customWidth="1"/>
    <col min="6174" max="6174" width="11.75" style="112" customWidth="1"/>
    <col min="6175" max="6175" width="10.75" style="112" bestFit="1" customWidth="1"/>
    <col min="6176" max="6176" width="12.5" style="112" customWidth="1"/>
    <col min="6177" max="6177" width="14.5" style="112" customWidth="1"/>
    <col min="6178" max="6178" width="16" style="112" customWidth="1"/>
    <col min="6179" max="6179" width="9.125" style="112" bestFit="1" customWidth="1"/>
    <col min="6180" max="6180" width="10" style="112" bestFit="1" customWidth="1"/>
    <col min="6181" max="6207" width="9" style="112" bestFit="1" customWidth="1"/>
    <col min="6208" max="6399" width="8.75" style="112"/>
    <col min="6400" max="6400" width="9" style="112" bestFit="1" customWidth="1"/>
    <col min="6401" max="6401" width="10.5" style="112" customWidth="1"/>
    <col min="6402" max="6402" width="13.375" style="112" bestFit="1" customWidth="1"/>
    <col min="6403" max="6405" width="12.25" style="112" bestFit="1" customWidth="1"/>
    <col min="6406" max="6406" width="14.375" style="112" customWidth="1"/>
    <col min="6407" max="6407" width="12.875" style="112" customWidth="1"/>
    <col min="6408" max="6410" width="12.25" style="112" bestFit="1" customWidth="1"/>
    <col min="6411" max="6411" width="11.375" style="112" customWidth="1"/>
    <col min="6412" max="6412" width="13.25" style="112" bestFit="1" customWidth="1"/>
    <col min="6413" max="6413" width="10.75" style="112" bestFit="1" customWidth="1"/>
    <col min="6414" max="6414" width="13.375" style="112" bestFit="1" customWidth="1"/>
    <col min="6415" max="6415" width="12" style="112" customWidth="1"/>
    <col min="6416" max="6416" width="11.125" style="112" customWidth="1"/>
    <col min="6417" max="6417" width="12.25" style="112" bestFit="1" customWidth="1"/>
    <col min="6418" max="6418" width="12.875" style="112" customWidth="1"/>
    <col min="6419" max="6419" width="10.5" style="112" customWidth="1"/>
    <col min="6420" max="6420" width="13.75" style="112" customWidth="1"/>
    <col min="6421" max="6421" width="10.75" style="112" bestFit="1" customWidth="1"/>
    <col min="6422" max="6422" width="12.25" style="112" customWidth="1"/>
    <col min="6423" max="6423" width="12.125" style="112" customWidth="1"/>
    <col min="6424" max="6424" width="10.25" style="112" customWidth="1"/>
    <col min="6425" max="6425" width="12.125" style="112" customWidth="1"/>
    <col min="6426" max="6426" width="10.75" style="112" bestFit="1" customWidth="1"/>
    <col min="6427" max="6427" width="13.875" style="112" customWidth="1"/>
    <col min="6428" max="6428" width="11.125" style="112" bestFit="1" customWidth="1"/>
    <col min="6429" max="6429" width="12.875" style="112" bestFit="1" customWidth="1"/>
    <col min="6430" max="6430" width="11.75" style="112" customWidth="1"/>
    <col min="6431" max="6431" width="10.75" style="112" bestFit="1" customWidth="1"/>
    <col min="6432" max="6432" width="12.5" style="112" customWidth="1"/>
    <col min="6433" max="6433" width="14.5" style="112" customWidth="1"/>
    <col min="6434" max="6434" width="16" style="112" customWidth="1"/>
    <col min="6435" max="6435" width="9.125" style="112" bestFit="1" customWidth="1"/>
    <col min="6436" max="6436" width="10" style="112" bestFit="1" customWidth="1"/>
    <col min="6437" max="6463" width="9" style="112" bestFit="1" customWidth="1"/>
    <col min="6464" max="6655" width="8.75" style="112"/>
    <col min="6656" max="6656" width="9" style="112" bestFit="1" customWidth="1"/>
    <col min="6657" max="6657" width="10.5" style="112" customWidth="1"/>
    <col min="6658" max="6658" width="13.375" style="112" bestFit="1" customWidth="1"/>
    <col min="6659" max="6661" width="12.25" style="112" bestFit="1" customWidth="1"/>
    <col min="6662" max="6662" width="14.375" style="112" customWidth="1"/>
    <col min="6663" max="6663" width="12.875" style="112" customWidth="1"/>
    <col min="6664" max="6666" width="12.25" style="112" bestFit="1" customWidth="1"/>
    <col min="6667" max="6667" width="11.375" style="112" customWidth="1"/>
    <col min="6668" max="6668" width="13.25" style="112" bestFit="1" customWidth="1"/>
    <col min="6669" max="6669" width="10.75" style="112" bestFit="1" customWidth="1"/>
    <col min="6670" max="6670" width="13.375" style="112" bestFit="1" customWidth="1"/>
    <col min="6671" max="6671" width="12" style="112" customWidth="1"/>
    <col min="6672" max="6672" width="11.125" style="112" customWidth="1"/>
    <col min="6673" max="6673" width="12.25" style="112" bestFit="1" customWidth="1"/>
    <col min="6674" max="6674" width="12.875" style="112" customWidth="1"/>
    <col min="6675" max="6675" width="10.5" style="112" customWidth="1"/>
    <col min="6676" max="6676" width="13.75" style="112" customWidth="1"/>
    <col min="6677" max="6677" width="10.75" style="112" bestFit="1" customWidth="1"/>
    <col min="6678" max="6678" width="12.25" style="112" customWidth="1"/>
    <col min="6679" max="6679" width="12.125" style="112" customWidth="1"/>
    <col min="6680" max="6680" width="10.25" style="112" customWidth="1"/>
    <col min="6681" max="6681" width="12.125" style="112" customWidth="1"/>
    <col min="6682" max="6682" width="10.75" style="112" bestFit="1" customWidth="1"/>
    <col min="6683" max="6683" width="13.875" style="112" customWidth="1"/>
    <col min="6684" max="6684" width="11.125" style="112" bestFit="1" customWidth="1"/>
    <col min="6685" max="6685" width="12.875" style="112" bestFit="1" customWidth="1"/>
    <col min="6686" max="6686" width="11.75" style="112" customWidth="1"/>
    <col min="6687" max="6687" width="10.75" style="112" bestFit="1" customWidth="1"/>
    <col min="6688" max="6688" width="12.5" style="112" customWidth="1"/>
    <col min="6689" max="6689" width="14.5" style="112" customWidth="1"/>
    <col min="6690" max="6690" width="16" style="112" customWidth="1"/>
    <col min="6691" max="6691" width="9.125" style="112" bestFit="1" customWidth="1"/>
    <col min="6692" max="6692" width="10" style="112" bestFit="1" customWidth="1"/>
    <col min="6693" max="6719" width="9" style="112" bestFit="1" customWidth="1"/>
    <col min="6720" max="6911" width="8.75" style="112"/>
    <col min="6912" max="6912" width="9" style="112" bestFit="1" customWidth="1"/>
    <col min="6913" max="6913" width="10.5" style="112" customWidth="1"/>
    <col min="6914" max="6914" width="13.375" style="112" bestFit="1" customWidth="1"/>
    <col min="6915" max="6917" width="12.25" style="112" bestFit="1" customWidth="1"/>
    <col min="6918" max="6918" width="14.375" style="112" customWidth="1"/>
    <col min="6919" max="6919" width="12.875" style="112" customWidth="1"/>
    <col min="6920" max="6922" width="12.25" style="112" bestFit="1" customWidth="1"/>
    <col min="6923" max="6923" width="11.375" style="112" customWidth="1"/>
    <col min="6924" max="6924" width="13.25" style="112" bestFit="1" customWidth="1"/>
    <col min="6925" max="6925" width="10.75" style="112" bestFit="1" customWidth="1"/>
    <col min="6926" max="6926" width="13.375" style="112" bestFit="1" customWidth="1"/>
    <col min="6927" max="6927" width="12" style="112" customWidth="1"/>
    <col min="6928" max="6928" width="11.125" style="112" customWidth="1"/>
    <col min="6929" max="6929" width="12.25" style="112" bestFit="1" customWidth="1"/>
    <col min="6930" max="6930" width="12.875" style="112" customWidth="1"/>
    <col min="6931" max="6931" width="10.5" style="112" customWidth="1"/>
    <col min="6932" max="6932" width="13.75" style="112" customWidth="1"/>
    <col min="6933" max="6933" width="10.75" style="112" bestFit="1" customWidth="1"/>
    <col min="6934" max="6934" width="12.25" style="112" customWidth="1"/>
    <col min="6935" max="6935" width="12.125" style="112" customWidth="1"/>
    <col min="6936" max="6936" width="10.25" style="112" customWidth="1"/>
    <col min="6937" max="6937" width="12.125" style="112" customWidth="1"/>
    <col min="6938" max="6938" width="10.75" style="112" bestFit="1" customWidth="1"/>
    <col min="6939" max="6939" width="13.875" style="112" customWidth="1"/>
    <col min="6940" max="6940" width="11.125" style="112" bestFit="1" customWidth="1"/>
    <col min="6941" max="6941" width="12.875" style="112" bestFit="1" customWidth="1"/>
    <col min="6942" max="6942" width="11.75" style="112" customWidth="1"/>
    <col min="6943" max="6943" width="10.75" style="112" bestFit="1" customWidth="1"/>
    <col min="6944" max="6944" width="12.5" style="112" customWidth="1"/>
    <col min="6945" max="6945" width="14.5" style="112" customWidth="1"/>
    <col min="6946" max="6946" width="16" style="112" customWidth="1"/>
    <col min="6947" max="6947" width="9.125" style="112" bestFit="1" customWidth="1"/>
    <col min="6948" max="6948" width="10" style="112" bestFit="1" customWidth="1"/>
    <col min="6949" max="6975" width="9" style="112" bestFit="1" customWidth="1"/>
    <col min="6976" max="7167" width="8.75" style="112"/>
    <col min="7168" max="7168" width="9" style="112" bestFit="1" customWidth="1"/>
    <col min="7169" max="7169" width="10.5" style="112" customWidth="1"/>
    <col min="7170" max="7170" width="13.375" style="112" bestFit="1" customWidth="1"/>
    <col min="7171" max="7173" width="12.25" style="112" bestFit="1" customWidth="1"/>
    <col min="7174" max="7174" width="14.375" style="112" customWidth="1"/>
    <col min="7175" max="7175" width="12.875" style="112" customWidth="1"/>
    <col min="7176" max="7178" width="12.25" style="112" bestFit="1" customWidth="1"/>
    <col min="7179" max="7179" width="11.375" style="112" customWidth="1"/>
    <col min="7180" max="7180" width="13.25" style="112" bestFit="1" customWidth="1"/>
    <col min="7181" max="7181" width="10.75" style="112" bestFit="1" customWidth="1"/>
    <col min="7182" max="7182" width="13.375" style="112" bestFit="1" customWidth="1"/>
    <col min="7183" max="7183" width="12" style="112" customWidth="1"/>
    <col min="7184" max="7184" width="11.125" style="112" customWidth="1"/>
    <col min="7185" max="7185" width="12.25" style="112" bestFit="1" customWidth="1"/>
    <col min="7186" max="7186" width="12.875" style="112" customWidth="1"/>
    <col min="7187" max="7187" width="10.5" style="112" customWidth="1"/>
    <col min="7188" max="7188" width="13.75" style="112" customWidth="1"/>
    <col min="7189" max="7189" width="10.75" style="112" bestFit="1" customWidth="1"/>
    <col min="7190" max="7190" width="12.25" style="112" customWidth="1"/>
    <col min="7191" max="7191" width="12.125" style="112" customWidth="1"/>
    <col min="7192" max="7192" width="10.25" style="112" customWidth="1"/>
    <col min="7193" max="7193" width="12.125" style="112" customWidth="1"/>
    <col min="7194" max="7194" width="10.75" style="112" bestFit="1" customWidth="1"/>
    <col min="7195" max="7195" width="13.875" style="112" customWidth="1"/>
    <col min="7196" max="7196" width="11.125" style="112" bestFit="1" customWidth="1"/>
    <col min="7197" max="7197" width="12.875" style="112" bestFit="1" customWidth="1"/>
    <col min="7198" max="7198" width="11.75" style="112" customWidth="1"/>
    <col min="7199" max="7199" width="10.75" style="112" bestFit="1" customWidth="1"/>
    <col min="7200" max="7200" width="12.5" style="112" customWidth="1"/>
    <col min="7201" max="7201" width="14.5" style="112" customWidth="1"/>
    <col min="7202" max="7202" width="16" style="112" customWidth="1"/>
    <col min="7203" max="7203" width="9.125" style="112" bestFit="1" customWidth="1"/>
    <col min="7204" max="7204" width="10" style="112" bestFit="1" customWidth="1"/>
    <col min="7205" max="7231" width="9" style="112" bestFit="1" customWidth="1"/>
    <col min="7232" max="7423" width="8.75" style="112"/>
    <col min="7424" max="7424" width="9" style="112" bestFit="1" customWidth="1"/>
    <col min="7425" max="7425" width="10.5" style="112" customWidth="1"/>
    <col min="7426" max="7426" width="13.375" style="112" bestFit="1" customWidth="1"/>
    <col min="7427" max="7429" width="12.25" style="112" bestFit="1" customWidth="1"/>
    <col min="7430" max="7430" width="14.375" style="112" customWidth="1"/>
    <col min="7431" max="7431" width="12.875" style="112" customWidth="1"/>
    <col min="7432" max="7434" width="12.25" style="112" bestFit="1" customWidth="1"/>
    <col min="7435" max="7435" width="11.375" style="112" customWidth="1"/>
    <col min="7436" max="7436" width="13.25" style="112" bestFit="1" customWidth="1"/>
    <col min="7437" max="7437" width="10.75" style="112" bestFit="1" customWidth="1"/>
    <col min="7438" max="7438" width="13.375" style="112" bestFit="1" customWidth="1"/>
    <col min="7439" max="7439" width="12" style="112" customWidth="1"/>
    <col min="7440" max="7440" width="11.125" style="112" customWidth="1"/>
    <col min="7441" max="7441" width="12.25" style="112" bestFit="1" customWidth="1"/>
    <col min="7442" max="7442" width="12.875" style="112" customWidth="1"/>
    <col min="7443" max="7443" width="10.5" style="112" customWidth="1"/>
    <col min="7444" max="7444" width="13.75" style="112" customWidth="1"/>
    <col min="7445" max="7445" width="10.75" style="112" bestFit="1" customWidth="1"/>
    <col min="7446" max="7446" width="12.25" style="112" customWidth="1"/>
    <col min="7447" max="7447" width="12.125" style="112" customWidth="1"/>
    <col min="7448" max="7448" width="10.25" style="112" customWidth="1"/>
    <col min="7449" max="7449" width="12.125" style="112" customWidth="1"/>
    <col min="7450" max="7450" width="10.75" style="112" bestFit="1" customWidth="1"/>
    <col min="7451" max="7451" width="13.875" style="112" customWidth="1"/>
    <col min="7452" max="7452" width="11.125" style="112" bestFit="1" customWidth="1"/>
    <col min="7453" max="7453" width="12.875" style="112" bestFit="1" customWidth="1"/>
    <col min="7454" max="7454" width="11.75" style="112" customWidth="1"/>
    <col min="7455" max="7455" width="10.75" style="112" bestFit="1" customWidth="1"/>
    <col min="7456" max="7456" width="12.5" style="112" customWidth="1"/>
    <col min="7457" max="7457" width="14.5" style="112" customWidth="1"/>
    <col min="7458" max="7458" width="16" style="112" customWidth="1"/>
    <col min="7459" max="7459" width="9.125" style="112" bestFit="1" customWidth="1"/>
    <col min="7460" max="7460" width="10" style="112" bestFit="1" customWidth="1"/>
    <col min="7461" max="7487" width="9" style="112" bestFit="1" customWidth="1"/>
    <col min="7488" max="7679" width="8.75" style="112"/>
    <col min="7680" max="7680" width="9" style="112" bestFit="1" customWidth="1"/>
    <col min="7681" max="7681" width="10.5" style="112" customWidth="1"/>
    <col min="7682" max="7682" width="13.375" style="112" bestFit="1" customWidth="1"/>
    <col min="7683" max="7685" width="12.25" style="112" bestFit="1" customWidth="1"/>
    <col min="7686" max="7686" width="14.375" style="112" customWidth="1"/>
    <col min="7687" max="7687" width="12.875" style="112" customWidth="1"/>
    <col min="7688" max="7690" width="12.25" style="112" bestFit="1" customWidth="1"/>
    <col min="7691" max="7691" width="11.375" style="112" customWidth="1"/>
    <col min="7692" max="7692" width="13.25" style="112" bestFit="1" customWidth="1"/>
    <col min="7693" max="7693" width="10.75" style="112" bestFit="1" customWidth="1"/>
    <col min="7694" max="7694" width="13.375" style="112" bestFit="1" customWidth="1"/>
    <col min="7695" max="7695" width="12" style="112" customWidth="1"/>
    <col min="7696" max="7696" width="11.125" style="112" customWidth="1"/>
    <col min="7697" max="7697" width="12.25" style="112" bestFit="1" customWidth="1"/>
    <col min="7698" max="7698" width="12.875" style="112" customWidth="1"/>
    <col min="7699" max="7699" width="10.5" style="112" customWidth="1"/>
    <col min="7700" max="7700" width="13.75" style="112" customWidth="1"/>
    <col min="7701" max="7701" width="10.75" style="112" bestFit="1" customWidth="1"/>
    <col min="7702" max="7702" width="12.25" style="112" customWidth="1"/>
    <col min="7703" max="7703" width="12.125" style="112" customWidth="1"/>
    <col min="7704" max="7704" width="10.25" style="112" customWidth="1"/>
    <col min="7705" max="7705" width="12.125" style="112" customWidth="1"/>
    <col min="7706" max="7706" width="10.75" style="112" bestFit="1" customWidth="1"/>
    <col min="7707" max="7707" width="13.875" style="112" customWidth="1"/>
    <col min="7708" max="7708" width="11.125" style="112" bestFit="1" customWidth="1"/>
    <col min="7709" max="7709" width="12.875" style="112" bestFit="1" customWidth="1"/>
    <col min="7710" max="7710" width="11.75" style="112" customWidth="1"/>
    <col min="7711" max="7711" width="10.75" style="112" bestFit="1" customWidth="1"/>
    <col min="7712" max="7712" width="12.5" style="112" customWidth="1"/>
    <col min="7713" max="7713" width="14.5" style="112" customWidth="1"/>
    <col min="7714" max="7714" width="16" style="112" customWidth="1"/>
    <col min="7715" max="7715" width="9.125" style="112" bestFit="1" customWidth="1"/>
    <col min="7716" max="7716" width="10" style="112" bestFit="1" customWidth="1"/>
    <col min="7717" max="7743" width="9" style="112" bestFit="1" customWidth="1"/>
    <col min="7744" max="7935" width="8.75" style="112"/>
    <col min="7936" max="7936" width="9" style="112" bestFit="1" customWidth="1"/>
    <col min="7937" max="7937" width="10.5" style="112" customWidth="1"/>
    <col min="7938" max="7938" width="13.375" style="112" bestFit="1" customWidth="1"/>
    <col min="7939" max="7941" width="12.25" style="112" bestFit="1" customWidth="1"/>
    <col min="7942" max="7942" width="14.375" style="112" customWidth="1"/>
    <col min="7943" max="7943" width="12.875" style="112" customWidth="1"/>
    <col min="7944" max="7946" width="12.25" style="112" bestFit="1" customWidth="1"/>
    <col min="7947" max="7947" width="11.375" style="112" customWidth="1"/>
    <col min="7948" max="7948" width="13.25" style="112" bestFit="1" customWidth="1"/>
    <col min="7949" max="7949" width="10.75" style="112" bestFit="1" customWidth="1"/>
    <col min="7950" max="7950" width="13.375" style="112" bestFit="1" customWidth="1"/>
    <col min="7951" max="7951" width="12" style="112" customWidth="1"/>
    <col min="7952" max="7952" width="11.125" style="112" customWidth="1"/>
    <col min="7953" max="7953" width="12.25" style="112" bestFit="1" customWidth="1"/>
    <col min="7954" max="7954" width="12.875" style="112" customWidth="1"/>
    <col min="7955" max="7955" width="10.5" style="112" customWidth="1"/>
    <col min="7956" max="7956" width="13.75" style="112" customWidth="1"/>
    <col min="7957" max="7957" width="10.75" style="112" bestFit="1" customWidth="1"/>
    <col min="7958" max="7958" width="12.25" style="112" customWidth="1"/>
    <col min="7959" max="7959" width="12.125" style="112" customWidth="1"/>
    <col min="7960" max="7960" width="10.25" style="112" customWidth="1"/>
    <col min="7961" max="7961" width="12.125" style="112" customWidth="1"/>
    <col min="7962" max="7962" width="10.75" style="112" bestFit="1" customWidth="1"/>
    <col min="7963" max="7963" width="13.875" style="112" customWidth="1"/>
    <col min="7964" max="7964" width="11.125" style="112" bestFit="1" customWidth="1"/>
    <col min="7965" max="7965" width="12.875" style="112" bestFit="1" customWidth="1"/>
    <col min="7966" max="7966" width="11.75" style="112" customWidth="1"/>
    <col min="7967" max="7967" width="10.75" style="112" bestFit="1" customWidth="1"/>
    <col min="7968" max="7968" width="12.5" style="112" customWidth="1"/>
    <col min="7969" max="7969" width="14.5" style="112" customWidth="1"/>
    <col min="7970" max="7970" width="16" style="112" customWidth="1"/>
    <col min="7971" max="7971" width="9.125" style="112" bestFit="1" customWidth="1"/>
    <col min="7972" max="7972" width="10" style="112" bestFit="1" customWidth="1"/>
    <col min="7973" max="7999" width="9" style="112" bestFit="1" customWidth="1"/>
    <col min="8000" max="8191" width="8.75" style="112"/>
    <col min="8192" max="8192" width="9" style="112" bestFit="1" customWidth="1"/>
    <col min="8193" max="8193" width="10.5" style="112" customWidth="1"/>
    <col min="8194" max="8194" width="13.375" style="112" bestFit="1" customWidth="1"/>
    <col min="8195" max="8197" width="12.25" style="112" bestFit="1" customWidth="1"/>
    <col min="8198" max="8198" width="14.375" style="112" customWidth="1"/>
    <col min="8199" max="8199" width="12.875" style="112" customWidth="1"/>
    <col min="8200" max="8202" width="12.25" style="112" bestFit="1" customWidth="1"/>
    <col min="8203" max="8203" width="11.375" style="112" customWidth="1"/>
    <col min="8204" max="8204" width="13.25" style="112" bestFit="1" customWidth="1"/>
    <col min="8205" max="8205" width="10.75" style="112" bestFit="1" customWidth="1"/>
    <col min="8206" max="8206" width="13.375" style="112" bestFit="1" customWidth="1"/>
    <col min="8207" max="8207" width="12" style="112" customWidth="1"/>
    <col min="8208" max="8208" width="11.125" style="112" customWidth="1"/>
    <col min="8209" max="8209" width="12.25" style="112" bestFit="1" customWidth="1"/>
    <col min="8210" max="8210" width="12.875" style="112" customWidth="1"/>
    <col min="8211" max="8211" width="10.5" style="112" customWidth="1"/>
    <col min="8212" max="8212" width="13.75" style="112" customWidth="1"/>
    <col min="8213" max="8213" width="10.75" style="112" bestFit="1" customWidth="1"/>
    <col min="8214" max="8214" width="12.25" style="112" customWidth="1"/>
    <col min="8215" max="8215" width="12.125" style="112" customWidth="1"/>
    <col min="8216" max="8216" width="10.25" style="112" customWidth="1"/>
    <col min="8217" max="8217" width="12.125" style="112" customWidth="1"/>
    <col min="8218" max="8218" width="10.75" style="112" bestFit="1" customWidth="1"/>
    <col min="8219" max="8219" width="13.875" style="112" customWidth="1"/>
    <col min="8220" max="8220" width="11.125" style="112" bestFit="1" customWidth="1"/>
    <col min="8221" max="8221" width="12.875" style="112" bestFit="1" customWidth="1"/>
    <col min="8222" max="8222" width="11.75" style="112" customWidth="1"/>
    <col min="8223" max="8223" width="10.75" style="112" bestFit="1" customWidth="1"/>
    <col min="8224" max="8224" width="12.5" style="112" customWidth="1"/>
    <col min="8225" max="8225" width="14.5" style="112" customWidth="1"/>
    <col min="8226" max="8226" width="16" style="112" customWidth="1"/>
    <col min="8227" max="8227" width="9.125" style="112" bestFit="1" customWidth="1"/>
    <col min="8228" max="8228" width="10" style="112" bestFit="1" customWidth="1"/>
    <col min="8229" max="8255" width="9" style="112" bestFit="1" customWidth="1"/>
    <col min="8256" max="8447" width="8.75" style="112"/>
    <col min="8448" max="8448" width="9" style="112" bestFit="1" customWidth="1"/>
    <col min="8449" max="8449" width="10.5" style="112" customWidth="1"/>
    <col min="8450" max="8450" width="13.375" style="112" bestFit="1" customWidth="1"/>
    <col min="8451" max="8453" width="12.25" style="112" bestFit="1" customWidth="1"/>
    <col min="8454" max="8454" width="14.375" style="112" customWidth="1"/>
    <col min="8455" max="8455" width="12.875" style="112" customWidth="1"/>
    <col min="8456" max="8458" width="12.25" style="112" bestFit="1" customWidth="1"/>
    <col min="8459" max="8459" width="11.375" style="112" customWidth="1"/>
    <col min="8460" max="8460" width="13.25" style="112" bestFit="1" customWidth="1"/>
    <col min="8461" max="8461" width="10.75" style="112" bestFit="1" customWidth="1"/>
    <col min="8462" max="8462" width="13.375" style="112" bestFit="1" customWidth="1"/>
    <col min="8463" max="8463" width="12" style="112" customWidth="1"/>
    <col min="8464" max="8464" width="11.125" style="112" customWidth="1"/>
    <col min="8465" max="8465" width="12.25" style="112" bestFit="1" customWidth="1"/>
    <col min="8466" max="8466" width="12.875" style="112" customWidth="1"/>
    <col min="8467" max="8467" width="10.5" style="112" customWidth="1"/>
    <col min="8468" max="8468" width="13.75" style="112" customWidth="1"/>
    <col min="8469" max="8469" width="10.75" style="112" bestFit="1" customWidth="1"/>
    <col min="8470" max="8470" width="12.25" style="112" customWidth="1"/>
    <col min="8471" max="8471" width="12.125" style="112" customWidth="1"/>
    <col min="8472" max="8472" width="10.25" style="112" customWidth="1"/>
    <col min="8473" max="8473" width="12.125" style="112" customWidth="1"/>
    <col min="8474" max="8474" width="10.75" style="112" bestFit="1" customWidth="1"/>
    <col min="8475" max="8475" width="13.875" style="112" customWidth="1"/>
    <col min="8476" max="8476" width="11.125" style="112" bestFit="1" customWidth="1"/>
    <col min="8477" max="8477" width="12.875" style="112" bestFit="1" customWidth="1"/>
    <col min="8478" max="8478" width="11.75" style="112" customWidth="1"/>
    <col min="8479" max="8479" width="10.75" style="112" bestFit="1" customWidth="1"/>
    <col min="8480" max="8480" width="12.5" style="112" customWidth="1"/>
    <col min="8481" max="8481" width="14.5" style="112" customWidth="1"/>
    <col min="8482" max="8482" width="16" style="112" customWidth="1"/>
    <col min="8483" max="8483" width="9.125" style="112" bestFit="1" customWidth="1"/>
    <col min="8484" max="8484" width="10" style="112" bestFit="1" customWidth="1"/>
    <col min="8485" max="8511" width="9" style="112" bestFit="1" customWidth="1"/>
    <col min="8512" max="8703" width="8.75" style="112"/>
    <col min="8704" max="8704" width="9" style="112" bestFit="1" customWidth="1"/>
    <col min="8705" max="8705" width="10.5" style="112" customWidth="1"/>
    <col min="8706" max="8706" width="13.375" style="112" bestFit="1" customWidth="1"/>
    <col min="8707" max="8709" width="12.25" style="112" bestFit="1" customWidth="1"/>
    <col min="8710" max="8710" width="14.375" style="112" customWidth="1"/>
    <col min="8711" max="8711" width="12.875" style="112" customWidth="1"/>
    <col min="8712" max="8714" width="12.25" style="112" bestFit="1" customWidth="1"/>
    <col min="8715" max="8715" width="11.375" style="112" customWidth="1"/>
    <col min="8716" max="8716" width="13.25" style="112" bestFit="1" customWidth="1"/>
    <col min="8717" max="8717" width="10.75" style="112" bestFit="1" customWidth="1"/>
    <col min="8718" max="8718" width="13.375" style="112" bestFit="1" customWidth="1"/>
    <col min="8719" max="8719" width="12" style="112" customWidth="1"/>
    <col min="8720" max="8720" width="11.125" style="112" customWidth="1"/>
    <col min="8721" max="8721" width="12.25" style="112" bestFit="1" customWidth="1"/>
    <col min="8722" max="8722" width="12.875" style="112" customWidth="1"/>
    <col min="8723" max="8723" width="10.5" style="112" customWidth="1"/>
    <col min="8724" max="8724" width="13.75" style="112" customWidth="1"/>
    <col min="8725" max="8725" width="10.75" style="112" bestFit="1" customWidth="1"/>
    <col min="8726" max="8726" width="12.25" style="112" customWidth="1"/>
    <col min="8727" max="8727" width="12.125" style="112" customWidth="1"/>
    <col min="8728" max="8728" width="10.25" style="112" customWidth="1"/>
    <col min="8729" max="8729" width="12.125" style="112" customWidth="1"/>
    <col min="8730" max="8730" width="10.75" style="112" bestFit="1" customWidth="1"/>
    <col min="8731" max="8731" width="13.875" style="112" customWidth="1"/>
    <col min="8732" max="8732" width="11.125" style="112" bestFit="1" customWidth="1"/>
    <col min="8733" max="8733" width="12.875" style="112" bestFit="1" customWidth="1"/>
    <col min="8734" max="8734" width="11.75" style="112" customWidth="1"/>
    <col min="8735" max="8735" width="10.75" style="112" bestFit="1" customWidth="1"/>
    <col min="8736" max="8736" width="12.5" style="112" customWidth="1"/>
    <col min="8737" max="8737" width="14.5" style="112" customWidth="1"/>
    <col min="8738" max="8738" width="16" style="112" customWidth="1"/>
    <col min="8739" max="8739" width="9.125" style="112" bestFit="1" customWidth="1"/>
    <col min="8740" max="8740" width="10" style="112" bestFit="1" customWidth="1"/>
    <col min="8741" max="8767" width="9" style="112" bestFit="1" customWidth="1"/>
    <col min="8768" max="8959" width="8.75" style="112"/>
    <col min="8960" max="8960" width="9" style="112" bestFit="1" customWidth="1"/>
    <col min="8961" max="8961" width="10.5" style="112" customWidth="1"/>
    <col min="8962" max="8962" width="13.375" style="112" bestFit="1" customWidth="1"/>
    <col min="8963" max="8965" width="12.25" style="112" bestFit="1" customWidth="1"/>
    <col min="8966" max="8966" width="14.375" style="112" customWidth="1"/>
    <col min="8967" max="8967" width="12.875" style="112" customWidth="1"/>
    <col min="8968" max="8970" width="12.25" style="112" bestFit="1" customWidth="1"/>
    <col min="8971" max="8971" width="11.375" style="112" customWidth="1"/>
    <col min="8972" max="8972" width="13.25" style="112" bestFit="1" customWidth="1"/>
    <col min="8973" max="8973" width="10.75" style="112" bestFit="1" customWidth="1"/>
    <col min="8974" max="8974" width="13.375" style="112" bestFit="1" customWidth="1"/>
    <col min="8975" max="8975" width="12" style="112" customWidth="1"/>
    <col min="8976" max="8976" width="11.125" style="112" customWidth="1"/>
    <col min="8977" max="8977" width="12.25" style="112" bestFit="1" customWidth="1"/>
    <col min="8978" max="8978" width="12.875" style="112" customWidth="1"/>
    <col min="8979" max="8979" width="10.5" style="112" customWidth="1"/>
    <col min="8980" max="8980" width="13.75" style="112" customWidth="1"/>
    <col min="8981" max="8981" width="10.75" style="112" bestFit="1" customWidth="1"/>
    <col min="8982" max="8982" width="12.25" style="112" customWidth="1"/>
    <col min="8983" max="8983" width="12.125" style="112" customWidth="1"/>
    <col min="8984" max="8984" width="10.25" style="112" customWidth="1"/>
    <col min="8985" max="8985" width="12.125" style="112" customWidth="1"/>
    <col min="8986" max="8986" width="10.75" style="112" bestFit="1" customWidth="1"/>
    <col min="8987" max="8987" width="13.875" style="112" customWidth="1"/>
    <col min="8988" max="8988" width="11.125" style="112" bestFit="1" customWidth="1"/>
    <col min="8989" max="8989" width="12.875" style="112" bestFit="1" customWidth="1"/>
    <col min="8990" max="8990" width="11.75" style="112" customWidth="1"/>
    <col min="8991" max="8991" width="10.75" style="112" bestFit="1" customWidth="1"/>
    <col min="8992" max="8992" width="12.5" style="112" customWidth="1"/>
    <col min="8993" max="8993" width="14.5" style="112" customWidth="1"/>
    <col min="8994" max="8994" width="16" style="112" customWidth="1"/>
    <col min="8995" max="8995" width="9.125" style="112" bestFit="1" customWidth="1"/>
    <col min="8996" max="8996" width="10" style="112" bestFit="1" customWidth="1"/>
    <col min="8997" max="9023" width="9" style="112" bestFit="1" customWidth="1"/>
    <col min="9024" max="9215" width="8.75" style="112"/>
    <col min="9216" max="9216" width="9" style="112" bestFit="1" customWidth="1"/>
    <col min="9217" max="9217" width="10.5" style="112" customWidth="1"/>
    <col min="9218" max="9218" width="13.375" style="112" bestFit="1" customWidth="1"/>
    <col min="9219" max="9221" width="12.25" style="112" bestFit="1" customWidth="1"/>
    <col min="9222" max="9222" width="14.375" style="112" customWidth="1"/>
    <col min="9223" max="9223" width="12.875" style="112" customWidth="1"/>
    <col min="9224" max="9226" width="12.25" style="112" bestFit="1" customWidth="1"/>
    <col min="9227" max="9227" width="11.375" style="112" customWidth="1"/>
    <col min="9228" max="9228" width="13.25" style="112" bestFit="1" customWidth="1"/>
    <col min="9229" max="9229" width="10.75" style="112" bestFit="1" customWidth="1"/>
    <col min="9230" max="9230" width="13.375" style="112" bestFit="1" customWidth="1"/>
    <col min="9231" max="9231" width="12" style="112" customWidth="1"/>
    <col min="9232" max="9232" width="11.125" style="112" customWidth="1"/>
    <col min="9233" max="9233" width="12.25" style="112" bestFit="1" customWidth="1"/>
    <col min="9234" max="9234" width="12.875" style="112" customWidth="1"/>
    <col min="9235" max="9235" width="10.5" style="112" customWidth="1"/>
    <col min="9236" max="9236" width="13.75" style="112" customWidth="1"/>
    <col min="9237" max="9237" width="10.75" style="112" bestFit="1" customWidth="1"/>
    <col min="9238" max="9238" width="12.25" style="112" customWidth="1"/>
    <col min="9239" max="9239" width="12.125" style="112" customWidth="1"/>
    <col min="9240" max="9240" width="10.25" style="112" customWidth="1"/>
    <col min="9241" max="9241" width="12.125" style="112" customWidth="1"/>
    <col min="9242" max="9242" width="10.75" style="112" bestFit="1" customWidth="1"/>
    <col min="9243" max="9243" width="13.875" style="112" customWidth="1"/>
    <col min="9244" max="9244" width="11.125" style="112" bestFit="1" customWidth="1"/>
    <col min="9245" max="9245" width="12.875" style="112" bestFit="1" customWidth="1"/>
    <col min="9246" max="9246" width="11.75" style="112" customWidth="1"/>
    <col min="9247" max="9247" width="10.75" style="112" bestFit="1" customWidth="1"/>
    <col min="9248" max="9248" width="12.5" style="112" customWidth="1"/>
    <col min="9249" max="9249" width="14.5" style="112" customWidth="1"/>
    <col min="9250" max="9250" width="16" style="112" customWidth="1"/>
    <col min="9251" max="9251" width="9.125" style="112" bestFit="1" customWidth="1"/>
    <col min="9252" max="9252" width="10" style="112" bestFit="1" customWidth="1"/>
    <col min="9253" max="9279" width="9" style="112" bestFit="1" customWidth="1"/>
    <col min="9280" max="9471" width="8.75" style="112"/>
    <col min="9472" max="9472" width="9" style="112" bestFit="1" customWidth="1"/>
    <col min="9473" max="9473" width="10.5" style="112" customWidth="1"/>
    <col min="9474" max="9474" width="13.375" style="112" bestFit="1" customWidth="1"/>
    <col min="9475" max="9477" width="12.25" style="112" bestFit="1" customWidth="1"/>
    <col min="9478" max="9478" width="14.375" style="112" customWidth="1"/>
    <col min="9479" max="9479" width="12.875" style="112" customWidth="1"/>
    <col min="9480" max="9482" width="12.25" style="112" bestFit="1" customWidth="1"/>
    <col min="9483" max="9483" width="11.375" style="112" customWidth="1"/>
    <col min="9484" max="9484" width="13.25" style="112" bestFit="1" customWidth="1"/>
    <col min="9485" max="9485" width="10.75" style="112" bestFit="1" customWidth="1"/>
    <col min="9486" max="9486" width="13.375" style="112" bestFit="1" customWidth="1"/>
    <col min="9487" max="9487" width="12" style="112" customWidth="1"/>
    <col min="9488" max="9488" width="11.125" style="112" customWidth="1"/>
    <col min="9489" max="9489" width="12.25" style="112" bestFit="1" customWidth="1"/>
    <col min="9490" max="9490" width="12.875" style="112" customWidth="1"/>
    <col min="9491" max="9491" width="10.5" style="112" customWidth="1"/>
    <col min="9492" max="9492" width="13.75" style="112" customWidth="1"/>
    <col min="9493" max="9493" width="10.75" style="112" bestFit="1" customWidth="1"/>
    <col min="9494" max="9494" width="12.25" style="112" customWidth="1"/>
    <col min="9495" max="9495" width="12.125" style="112" customWidth="1"/>
    <col min="9496" max="9496" width="10.25" style="112" customWidth="1"/>
    <col min="9497" max="9497" width="12.125" style="112" customWidth="1"/>
    <col min="9498" max="9498" width="10.75" style="112" bestFit="1" customWidth="1"/>
    <col min="9499" max="9499" width="13.875" style="112" customWidth="1"/>
    <col min="9500" max="9500" width="11.125" style="112" bestFit="1" customWidth="1"/>
    <col min="9501" max="9501" width="12.875" style="112" bestFit="1" customWidth="1"/>
    <col min="9502" max="9502" width="11.75" style="112" customWidth="1"/>
    <col min="9503" max="9503" width="10.75" style="112" bestFit="1" customWidth="1"/>
    <col min="9504" max="9504" width="12.5" style="112" customWidth="1"/>
    <col min="9505" max="9505" width="14.5" style="112" customWidth="1"/>
    <col min="9506" max="9506" width="16" style="112" customWidth="1"/>
    <col min="9507" max="9507" width="9.125" style="112" bestFit="1" customWidth="1"/>
    <col min="9508" max="9508" width="10" style="112" bestFit="1" customWidth="1"/>
    <col min="9509" max="9535" width="9" style="112" bestFit="1" customWidth="1"/>
    <col min="9536" max="9727" width="8.75" style="112"/>
    <col min="9728" max="9728" width="9" style="112" bestFit="1" customWidth="1"/>
    <col min="9729" max="9729" width="10.5" style="112" customWidth="1"/>
    <col min="9730" max="9730" width="13.375" style="112" bestFit="1" customWidth="1"/>
    <col min="9731" max="9733" width="12.25" style="112" bestFit="1" customWidth="1"/>
    <col min="9734" max="9734" width="14.375" style="112" customWidth="1"/>
    <col min="9735" max="9735" width="12.875" style="112" customWidth="1"/>
    <col min="9736" max="9738" width="12.25" style="112" bestFit="1" customWidth="1"/>
    <col min="9739" max="9739" width="11.375" style="112" customWidth="1"/>
    <col min="9740" max="9740" width="13.25" style="112" bestFit="1" customWidth="1"/>
    <col min="9741" max="9741" width="10.75" style="112" bestFit="1" customWidth="1"/>
    <col min="9742" max="9742" width="13.375" style="112" bestFit="1" customWidth="1"/>
    <col min="9743" max="9743" width="12" style="112" customWidth="1"/>
    <col min="9744" max="9744" width="11.125" style="112" customWidth="1"/>
    <col min="9745" max="9745" width="12.25" style="112" bestFit="1" customWidth="1"/>
    <col min="9746" max="9746" width="12.875" style="112" customWidth="1"/>
    <col min="9747" max="9747" width="10.5" style="112" customWidth="1"/>
    <col min="9748" max="9748" width="13.75" style="112" customWidth="1"/>
    <col min="9749" max="9749" width="10.75" style="112" bestFit="1" customWidth="1"/>
    <col min="9750" max="9750" width="12.25" style="112" customWidth="1"/>
    <col min="9751" max="9751" width="12.125" style="112" customWidth="1"/>
    <col min="9752" max="9752" width="10.25" style="112" customWidth="1"/>
    <col min="9753" max="9753" width="12.125" style="112" customWidth="1"/>
    <col min="9754" max="9754" width="10.75" style="112" bestFit="1" customWidth="1"/>
    <col min="9755" max="9755" width="13.875" style="112" customWidth="1"/>
    <col min="9756" max="9756" width="11.125" style="112" bestFit="1" customWidth="1"/>
    <col min="9757" max="9757" width="12.875" style="112" bestFit="1" customWidth="1"/>
    <col min="9758" max="9758" width="11.75" style="112" customWidth="1"/>
    <col min="9759" max="9759" width="10.75" style="112" bestFit="1" customWidth="1"/>
    <col min="9760" max="9760" width="12.5" style="112" customWidth="1"/>
    <col min="9761" max="9761" width="14.5" style="112" customWidth="1"/>
    <col min="9762" max="9762" width="16" style="112" customWidth="1"/>
    <col min="9763" max="9763" width="9.125" style="112" bestFit="1" customWidth="1"/>
    <col min="9764" max="9764" width="10" style="112" bestFit="1" customWidth="1"/>
    <col min="9765" max="9791" width="9" style="112" bestFit="1" customWidth="1"/>
    <col min="9792" max="9983" width="8.75" style="112"/>
    <col min="9984" max="9984" width="9" style="112" bestFit="1" customWidth="1"/>
    <col min="9985" max="9985" width="10.5" style="112" customWidth="1"/>
    <col min="9986" max="9986" width="13.375" style="112" bestFit="1" customWidth="1"/>
    <col min="9987" max="9989" width="12.25" style="112" bestFit="1" customWidth="1"/>
    <col min="9990" max="9990" width="14.375" style="112" customWidth="1"/>
    <col min="9991" max="9991" width="12.875" style="112" customWidth="1"/>
    <col min="9992" max="9994" width="12.25" style="112" bestFit="1" customWidth="1"/>
    <col min="9995" max="9995" width="11.375" style="112" customWidth="1"/>
    <col min="9996" max="9996" width="13.25" style="112" bestFit="1" customWidth="1"/>
    <col min="9997" max="9997" width="10.75" style="112" bestFit="1" customWidth="1"/>
    <col min="9998" max="9998" width="13.375" style="112" bestFit="1" customWidth="1"/>
    <col min="9999" max="9999" width="12" style="112" customWidth="1"/>
    <col min="10000" max="10000" width="11.125" style="112" customWidth="1"/>
    <col min="10001" max="10001" width="12.25" style="112" bestFit="1" customWidth="1"/>
    <col min="10002" max="10002" width="12.875" style="112" customWidth="1"/>
    <col min="10003" max="10003" width="10.5" style="112" customWidth="1"/>
    <col min="10004" max="10004" width="13.75" style="112" customWidth="1"/>
    <col min="10005" max="10005" width="10.75" style="112" bestFit="1" customWidth="1"/>
    <col min="10006" max="10006" width="12.25" style="112" customWidth="1"/>
    <col min="10007" max="10007" width="12.125" style="112" customWidth="1"/>
    <col min="10008" max="10008" width="10.25" style="112" customWidth="1"/>
    <col min="10009" max="10009" width="12.125" style="112" customWidth="1"/>
    <col min="10010" max="10010" width="10.75" style="112" bestFit="1" customWidth="1"/>
    <col min="10011" max="10011" width="13.875" style="112" customWidth="1"/>
    <col min="10012" max="10012" width="11.125" style="112" bestFit="1" customWidth="1"/>
    <col min="10013" max="10013" width="12.875" style="112" bestFit="1" customWidth="1"/>
    <col min="10014" max="10014" width="11.75" style="112" customWidth="1"/>
    <col min="10015" max="10015" width="10.75" style="112" bestFit="1" customWidth="1"/>
    <col min="10016" max="10016" width="12.5" style="112" customWidth="1"/>
    <col min="10017" max="10017" width="14.5" style="112" customWidth="1"/>
    <col min="10018" max="10018" width="16" style="112" customWidth="1"/>
    <col min="10019" max="10019" width="9.125" style="112" bestFit="1" customWidth="1"/>
    <col min="10020" max="10020" width="10" style="112" bestFit="1" customWidth="1"/>
    <col min="10021" max="10047" width="9" style="112" bestFit="1" customWidth="1"/>
    <col min="10048" max="10239" width="8.75" style="112"/>
    <col min="10240" max="10240" width="9" style="112" bestFit="1" customWidth="1"/>
    <col min="10241" max="10241" width="10.5" style="112" customWidth="1"/>
    <col min="10242" max="10242" width="13.375" style="112" bestFit="1" customWidth="1"/>
    <col min="10243" max="10245" width="12.25" style="112" bestFit="1" customWidth="1"/>
    <col min="10246" max="10246" width="14.375" style="112" customWidth="1"/>
    <col min="10247" max="10247" width="12.875" style="112" customWidth="1"/>
    <col min="10248" max="10250" width="12.25" style="112" bestFit="1" customWidth="1"/>
    <col min="10251" max="10251" width="11.375" style="112" customWidth="1"/>
    <col min="10252" max="10252" width="13.25" style="112" bestFit="1" customWidth="1"/>
    <col min="10253" max="10253" width="10.75" style="112" bestFit="1" customWidth="1"/>
    <col min="10254" max="10254" width="13.375" style="112" bestFit="1" customWidth="1"/>
    <col min="10255" max="10255" width="12" style="112" customWidth="1"/>
    <col min="10256" max="10256" width="11.125" style="112" customWidth="1"/>
    <col min="10257" max="10257" width="12.25" style="112" bestFit="1" customWidth="1"/>
    <col min="10258" max="10258" width="12.875" style="112" customWidth="1"/>
    <col min="10259" max="10259" width="10.5" style="112" customWidth="1"/>
    <col min="10260" max="10260" width="13.75" style="112" customWidth="1"/>
    <col min="10261" max="10261" width="10.75" style="112" bestFit="1" customWidth="1"/>
    <col min="10262" max="10262" width="12.25" style="112" customWidth="1"/>
    <col min="10263" max="10263" width="12.125" style="112" customWidth="1"/>
    <col min="10264" max="10264" width="10.25" style="112" customWidth="1"/>
    <col min="10265" max="10265" width="12.125" style="112" customWidth="1"/>
    <col min="10266" max="10266" width="10.75" style="112" bestFit="1" customWidth="1"/>
    <col min="10267" max="10267" width="13.875" style="112" customWidth="1"/>
    <col min="10268" max="10268" width="11.125" style="112" bestFit="1" customWidth="1"/>
    <col min="10269" max="10269" width="12.875" style="112" bestFit="1" customWidth="1"/>
    <col min="10270" max="10270" width="11.75" style="112" customWidth="1"/>
    <col min="10271" max="10271" width="10.75" style="112" bestFit="1" customWidth="1"/>
    <col min="10272" max="10272" width="12.5" style="112" customWidth="1"/>
    <col min="10273" max="10273" width="14.5" style="112" customWidth="1"/>
    <col min="10274" max="10274" width="16" style="112" customWidth="1"/>
    <col min="10275" max="10275" width="9.125" style="112" bestFit="1" customWidth="1"/>
    <col min="10276" max="10276" width="10" style="112" bestFit="1" customWidth="1"/>
    <col min="10277" max="10303" width="9" style="112" bestFit="1" customWidth="1"/>
    <col min="10304" max="10495" width="8.75" style="112"/>
    <col min="10496" max="10496" width="9" style="112" bestFit="1" customWidth="1"/>
    <col min="10497" max="10497" width="10.5" style="112" customWidth="1"/>
    <col min="10498" max="10498" width="13.375" style="112" bestFit="1" customWidth="1"/>
    <col min="10499" max="10501" width="12.25" style="112" bestFit="1" customWidth="1"/>
    <col min="10502" max="10502" width="14.375" style="112" customWidth="1"/>
    <col min="10503" max="10503" width="12.875" style="112" customWidth="1"/>
    <col min="10504" max="10506" width="12.25" style="112" bestFit="1" customWidth="1"/>
    <col min="10507" max="10507" width="11.375" style="112" customWidth="1"/>
    <col min="10508" max="10508" width="13.25" style="112" bestFit="1" customWidth="1"/>
    <col min="10509" max="10509" width="10.75" style="112" bestFit="1" customWidth="1"/>
    <col min="10510" max="10510" width="13.375" style="112" bestFit="1" customWidth="1"/>
    <col min="10511" max="10511" width="12" style="112" customWidth="1"/>
    <col min="10512" max="10512" width="11.125" style="112" customWidth="1"/>
    <col min="10513" max="10513" width="12.25" style="112" bestFit="1" customWidth="1"/>
    <col min="10514" max="10514" width="12.875" style="112" customWidth="1"/>
    <col min="10515" max="10515" width="10.5" style="112" customWidth="1"/>
    <col min="10516" max="10516" width="13.75" style="112" customWidth="1"/>
    <col min="10517" max="10517" width="10.75" style="112" bestFit="1" customWidth="1"/>
    <col min="10518" max="10518" width="12.25" style="112" customWidth="1"/>
    <col min="10519" max="10519" width="12.125" style="112" customWidth="1"/>
    <col min="10520" max="10520" width="10.25" style="112" customWidth="1"/>
    <col min="10521" max="10521" width="12.125" style="112" customWidth="1"/>
    <col min="10522" max="10522" width="10.75" style="112" bestFit="1" customWidth="1"/>
    <col min="10523" max="10523" width="13.875" style="112" customWidth="1"/>
    <col min="10524" max="10524" width="11.125" style="112" bestFit="1" customWidth="1"/>
    <col min="10525" max="10525" width="12.875" style="112" bestFit="1" customWidth="1"/>
    <col min="10526" max="10526" width="11.75" style="112" customWidth="1"/>
    <col min="10527" max="10527" width="10.75" style="112" bestFit="1" customWidth="1"/>
    <col min="10528" max="10528" width="12.5" style="112" customWidth="1"/>
    <col min="10529" max="10529" width="14.5" style="112" customWidth="1"/>
    <col min="10530" max="10530" width="16" style="112" customWidth="1"/>
    <col min="10531" max="10531" width="9.125" style="112" bestFit="1" customWidth="1"/>
    <col min="10532" max="10532" width="10" style="112" bestFit="1" customWidth="1"/>
    <col min="10533" max="10559" width="9" style="112" bestFit="1" customWidth="1"/>
    <col min="10560" max="10751" width="8.75" style="112"/>
    <col min="10752" max="10752" width="9" style="112" bestFit="1" customWidth="1"/>
    <col min="10753" max="10753" width="10.5" style="112" customWidth="1"/>
    <col min="10754" max="10754" width="13.375" style="112" bestFit="1" customWidth="1"/>
    <col min="10755" max="10757" width="12.25" style="112" bestFit="1" customWidth="1"/>
    <col min="10758" max="10758" width="14.375" style="112" customWidth="1"/>
    <col min="10759" max="10759" width="12.875" style="112" customWidth="1"/>
    <col min="10760" max="10762" width="12.25" style="112" bestFit="1" customWidth="1"/>
    <col min="10763" max="10763" width="11.375" style="112" customWidth="1"/>
    <col min="10764" max="10764" width="13.25" style="112" bestFit="1" customWidth="1"/>
    <col min="10765" max="10765" width="10.75" style="112" bestFit="1" customWidth="1"/>
    <col min="10766" max="10766" width="13.375" style="112" bestFit="1" customWidth="1"/>
    <col min="10767" max="10767" width="12" style="112" customWidth="1"/>
    <col min="10768" max="10768" width="11.125" style="112" customWidth="1"/>
    <col min="10769" max="10769" width="12.25" style="112" bestFit="1" customWidth="1"/>
    <col min="10770" max="10770" width="12.875" style="112" customWidth="1"/>
    <col min="10771" max="10771" width="10.5" style="112" customWidth="1"/>
    <col min="10772" max="10772" width="13.75" style="112" customWidth="1"/>
    <col min="10773" max="10773" width="10.75" style="112" bestFit="1" customWidth="1"/>
    <col min="10774" max="10774" width="12.25" style="112" customWidth="1"/>
    <col min="10775" max="10775" width="12.125" style="112" customWidth="1"/>
    <col min="10776" max="10776" width="10.25" style="112" customWidth="1"/>
    <col min="10777" max="10777" width="12.125" style="112" customWidth="1"/>
    <col min="10778" max="10778" width="10.75" style="112" bestFit="1" customWidth="1"/>
    <col min="10779" max="10779" width="13.875" style="112" customWidth="1"/>
    <col min="10780" max="10780" width="11.125" style="112" bestFit="1" customWidth="1"/>
    <col min="10781" max="10781" width="12.875" style="112" bestFit="1" customWidth="1"/>
    <col min="10782" max="10782" width="11.75" style="112" customWidth="1"/>
    <col min="10783" max="10783" width="10.75" style="112" bestFit="1" customWidth="1"/>
    <col min="10784" max="10784" width="12.5" style="112" customWidth="1"/>
    <col min="10785" max="10785" width="14.5" style="112" customWidth="1"/>
    <col min="10786" max="10786" width="16" style="112" customWidth="1"/>
    <col min="10787" max="10787" width="9.125" style="112" bestFit="1" customWidth="1"/>
    <col min="10788" max="10788" width="10" style="112" bestFit="1" customWidth="1"/>
    <col min="10789" max="10815" width="9" style="112" bestFit="1" customWidth="1"/>
    <col min="10816" max="11007" width="8.75" style="112"/>
    <col min="11008" max="11008" width="9" style="112" bestFit="1" customWidth="1"/>
    <col min="11009" max="11009" width="10.5" style="112" customWidth="1"/>
    <col min="11010" max="11010" width="13.375" style="112" bestFit="1" customWidth="1"/>
    <col min="11011" max="11013" width="12.25" style="112" bestFit="1" customWidth="1"/>
    <col min="11014" max="11014" width="14.375" style="112" customWidth="1"/>
    <col min="11015" max="11015" width="12.875" style="112" customWidth="1"/>
    <col min="11016" max="11018" width="12.25" style="112" bestFit="1" customWidth="1"/>
    <col min="11019" max="11019" width="11.375" style="112" customWidth="1"/>
    <col min="11020" max="11020" width="13.25" style="112" bestFit="1" customWidth="1"/>
    <col min="11021" max="11021" width="10.75" style="112" bestFit="1" customWidth="1"/>
    <col min="11022" max="11022" width="13.375" style="112" bestFit="1" customWidth="1"/>
    <col min="11023" max="11023" width="12" style="112" customWidth="1"/>
    <col min="11024" max="11024" width="11.125" style="112" customWidth="1"/>
    <col min="11025" max="11025" width="12.25" style="112" bestFit="1" customWidth="1"/>
    <col min="11026" max="11026" width="12.875" style="112" customWidth="1"/>
    <col min="11027" max="11027" width="10.5" style="112" customWidth="1"/>
    <col min="11028" max="11028" width="13.75" style="112" customWidth="1"/>
    <col min="11029" max="11029" width="10.75" style="112" bestFit="1" customWidth="1"/>
    <col min="11030" max="11030" width="12.25" style="112" customWidth="1"/>
    <col min="11031" max="11031" width="12.125" style="112" customWidth="1"/>
    <col min="11032" max="11032" width="10.25" style="112" customWidth="1"/>
    <col min="11033" max="11033" width="12.125" style="112" customWidth="1"/>
    <col min="11034" max="11034" width="10.75" style="112" bestFit="1" customWidth="1"/>
    <col min="11035" max="11035" width="13.875" style="112" customWidth="1"/>
    <col min="11036" max="11036" width="11.125" style="112" bestFit="1" customWidth="1"/>
    <col min="11037" max="11037" width="12.875" style="112" bestFit="1" customWidth="1"/>
    <col min="11038" max="11038" width="11.75" style="112" customWidth="1"/>
    <col min="11039" max="11039" width="10.75" style="112" bestFit="1" customWidth="1"/>
    <col min="11040" max="11040" width="12.5" style="112" customWidth="1"/>
    <col min="11041" max="11041" width="14.5" style="112" customWidth="1"/>
    <col min="11042" max="11042" width="16" style="112" customWidth="1"/>
    <col min="11043" max="11043" width="9.125" style="112" bestFit="1" customWidth="1"/>
    <col min="11044" max="11044" width="10" style="112" bestFit="1" customWidth="1"/>
    <col min="11045" max="11071" width="9" style="112" bestFit="1" customWidth="1"/>
    <col min="11072" max="11263" width="8.75" style="112"/>
    <col min="11264" max="11264" width="9" style="112" bestFit="1" customWidth="1"/>
    <col min="11265" max="11265" width="10.5" style="112" customWidth="1"/>
    <col min="11266" max="11266" width="13.375" style="112" bestFit="1" customWidth="1"/>
    <col min="11267" max="11269" width="12.25" style="112" bestFit="1" customWidth="1"/>
    <col min="11270" max="11270" width="14.375" style="112" customWidth="1"/>
    <col min="11271" max="11271" width="12.875" style="112" customWidth="1"/>
    <col min="11272" max="11274" width="12.25" style="112" bestFit="1" customWidth="1"/>
    <col min="11275" max="11275" width="11.375" style="112" customWidth="1"/>
    <col min="11276" max="11276" width="13.25" style="112" bestFit="1" customWidth="1"/>
    <col min="11277" max="11277" width="10.75" style="112" bestFit="1" customWidth="1"/>
    <col min="11278" max="11278" width="13.375" style="112" bestFit="1" customWidth="1"/>
    <col min="11279" max="11279" width="12" style="112" customWidth="1"/>
    <col min="11280" max="11280" width="11.125" style="112" customWidth="1"/>
    <col min="11281" max="11281" width="12.25" style="112" bestFit="1" customWidth="1"/>
    <col min="11282" max="11282" width="12.875" style="112" customWidth="1"/>
    <col min="11283" max="11283" width="10.5" style="112" customWidth="1"/>
    <col min="11284" max="11284" width="13.75" style="112" customWidth="1"/>
    <col min="11285" max="11285" width="10.75" style="112" bestFit="1" customWidth="1"/>
    <col min="11286" max="11286" width="12.25" style="112" customWidth="1"/>
    <col min="11287" max="11287" width="12.125" style="112" customWidth="1"/>
    <col min="11288" max="11288" width="10.25" style="112" customWidth="1"/>
    <col min="11289" max="11289" width="12.125" style="112" customWidth="1"/>
    <col min="11290" max="11290" width="10.75" style="112" bestFit="1" customWidth="1"/>
    <col min="11291" max="11291" width="13.875" style="112" customWidth="1"/>
    <col min="11292" max="11292" width="11.125" style="112" bestFit="1" customWidth="1"/>
    <col min="11293" max="11293" width="12.875" style="112" bestFit="1" customWidth="1"/>
    <col min="11294" max="11294" width="11.75" style="112" customWidth="1"/>
    <col min="11295" max="11295" width="10.75" style="112" bestFit="1" customWidth="1"/>
    <col min="11296" max="11296" width="12.5" style="112" customWidth="1"/>
    <col min="11297" max="11297" width="14.5" style="112" customWidth="1"/>
    <col min="11298" max="11298" width="16" style="112" customWidth="1"/>
    <col min="11299" max="11299" width="9.125" style="112" bestFit="1" customWidth="1"/>
    <col min="11300" max="11300" width="10" style="112" bestFit="1" customWidth="1"/>
    <col min="11301" max="11327" width="9" style="112" bestFit="1" customWidth="1"/>
    <col min="11328" max="11519" width="8.75" style="112"/>
    <col min="11520" max="11520" width="9" style="112" bestFit="1" customWidth="1"/>
    <col min="11521" max="11521" width="10.5" style="112" customWidth="1"/>
    <col min="11522" max="11522" width="13.375" style="112" bestFit="1" customWidth="1"/>
    <col min="11523" max="11525" width="12.25" style="112" bestFit="1" customWidth="1"/>
    <col min="11526" max="11526" width="14.375" style="112" customWidth="1"/>
    <col min="11527" max="11527" width="12.875" style="112" customWidth="1"/>
    <col min="11528" max="11530" width="12.25" style="112" bestFit="1" customWidth="1"/>
    <col min="11531" max="11531" width="11.375" style="112" customWidth="1"/>
    <col min="11532" max="11532" width="13.25" style="112" bestFit="1" customWidth="1"/>
    <col min="11533" max="11533" width="10.75" style="112" bestFit="1" customWidth="1"/>
    <col min="11534" max="11534" width="13.375" style="112" bestFit="1" customWidth="1"/>
    <col min="11535" max="11535" width="12" style="112" customWidth="1"/>
    <col min="11536" max="11536" width="11.125" style="112" customWidth="1"/>
    <col min="11537" max="11537" width="12.25" style="112" bestFit="1" customWidth="1"/>
    <col min="11538" max="11538" width="12.875" style="112" customWidth="1"/>
    <col min="11539" max="11539" width="10.5" style="112" customWidth="1"/>
    <col min="11540" max="11540" width="13.75" style="112" customWidth="1"/>
    <col min="11541" max="11541" width="10.75" style="112" bestFit="1" customWidth="1"/>
    <col min="11542" max="11542" width="12.25" style="112" customWidth="1"/>
    <col min="11543" max="11543" width="12.125" style="112" customWidth="1"/>
    <col min="11544" max="11544" width="10.25" style="112" customWidth="1"/>
    <col min="11545" max="11545" width="12.125" style="112" customWidth="1"/>
    <col min="11546" max="11546" width="10.75" style="112" bestFit="1" customWidth="1"/>
    <col min="11547" max="11547" width="13.875" style="112" customWidth="1"/>
    <col min="11548" max="11548" width="11.125" style="112" bestFit="1" customWidth="1"/>
    <col min="11549" max="11549" width="12.875" style="112" bestFit="1" customWidth="1"/>
    <col min="11550" max="11550" width="11.75" style="112" customWidth="1"/>
    <col min="11551" max="11551" width="10.75" style="112" bestFit="1" customWidth="1"/>
    <col min="11552" max="11552" width="12.5" style="112" customWidth="1"/>
    <col min="11553" max="11553" width="14.5" style="112" customWidth="1"/>
    <col min="11554" max="11554" width="16" style="112" customWidth="1"/>
    <col min="11555" max="11555" width="9.125" style="112" bestFit="1" customWidth="1"/>
    <col min="11556" max="11556" width="10" style="112" bestFit="1" customWidth="1"/>
    <col min="11557" max="11583" width="9" style="112" bestFit="1" customWidth="1"/>
    <col min="11584" max="11775" width="8.75" style="112"/>
    <col min="11776" max="11776" width="9" style="112" bestFit="1" customWidth="1"/>
    <col min="11777" max="11777" width="10.5" style="112" customWidth="1"/>
    <col min="11778" max="11778" width="13.375" style="112" bestFit="1" customWidth="1"/>
    <col min="11779" max="11781" width="12.25" style="112" bestFit="1" customWidth="1"/>
    <col min="11782" max="11782" width="14.375" style="112" customWidth="1"/>
    <col min="11783" max="11783" width="12.875" style="112" customWidth="1"/>
    <col min="11784" max="11786" width="12.25" style="112" bestFit="1" customWidth="1"/>
    <col min="11787" max="11787" width="11.375" style="112" customWidth="1"/>
    <col min="11788" max="11788" width="13.25" style="112" bestFit="1" customWidth="1"/>
    <col min="11789" max="11789" width="10.75" style="112" bestFit="1" customWidth="1"/>
    <col min="11790" max="11790" width="13.375" style="112" bestFit="1" customWidth="1"/>
    <col min="11791" max="11791" width="12" style="112" customWidth="1"/>
    <col min="11792" max="11792" width="11.125" style="112" customWidth="1"/>
    <col min="11793" max="11793" width="12.25" style="112" bestFit="1" customWidth="1"/>
    <col min="11794" max="11794" width="12.875" style="112" customWidth="1"/>
    <col min="11795" max="11795" width="10.5" style="112" customWidth="1"/>
    <col min="11796" max="11796" width="13.75" style="112" customWidth="1"/>
    <col min="11797" max="11797" width="10.75" style="112" bestFit="1" customWidth="1"/>
    <col min="11798" max="11798" width="12.25" style="112" customWidth="1"/>
    <col min="11799" max="11799" width="12.125" style="112" customWidth="1"/>
    <col min="11800" max="11800" width="10.25" style="112" customWidth="1"/>
    <col min="11801" max="11801" width="12.125" style="112" customWidth="1"/>
    <col min="11802" max="11802" width="10.75" style="112" bestFit="1" customWidth="1"/>
    <col min="11803" max="11803" width="13.875" style="112" customWidth="1"/>
    <col min="11804" max="11804" width="11.125" style="112" bestFit="1" customWidth="1"/>
    <col min="11805" max="11805" width="12.875" style="112" bestFit="1" customWidth="1"/>
    <col min="11806" max="11806" width="11.75" style="112" customWidth="1"/>
    <col min="11807" max="11807" width="10.75" style="112" bestFit="1" customWidth="1"/>
    <col min="11808" max="11808" width="12.5" style="112" customWidth="1"/>
    <col min="11809" max="11809" width="14.5" style="112" customWidth="1"/>
    <col min="11810" max="11810" width="16" style="112" customWidth="1"/>
    <col min="11811" max="11811" width="9.125" style="112" bestFit="1" customWidth="1"/>
    <col min="11812" max="11812" width="10" style="112" bestFit="1" customWidth="1"/>
    <col min="11813" max="11839" width="9" style="112" bestFit="1" customWidth="1"/>
    <col min="11840" max="12031" width="8.75" style="112"/>
    <col min="12032" max="12032" width="9" style="112" bestFit="1" customWidth="1"/>
    <col min="12033" max="12033" width="10.5" style="112" customWidth="1"/>
    <col min="12034" max="12034" width="13.375" style="112" bestFit="1" customWidth="1"/>
    <col min="12035" max="12037" width="12.25" style="112" bestFit="1" customWidth="1"/>
    <col min="12038" max="12038" width="14.375" style="112" customWidth="1"/>
    <col min="12039" max="12039" width="12.875" style="112" customWidth="1"/>
    <col min="12040" max="12042" width="12.25" style="112" bestFit="1" customWidth="1"/>
    <col min="12043" max="12043" width="11.375" style="112" customWidth="1"/>
    <col min="12044" max="12044" width="13.25" style="112" bestFit="1" customWidth="1"/>
    <col min="12045" max="12045" width="10.75" style="112" bestFit="1" customWidth="1"/>
    <col min="12046" max="12046" width="13.375" style="112" bestFit="1" customWidth="1"/>
    <col min="12047" max="12047" width="12" style="112" customWidth="1"/>
    <col min="12048" max="12048" width="11.125" style="112" customWidth="1"/>
    <col min="12049" max="12049" width="12.25" style="112" bestFit="1" customWidth="1"/>
    <col min="12050" max="12050" width="12.875" style="112" customWidth="1"/>
    <col min="12051" max="12051" width="10.5" style="112" customWidth="1"/>
    <col min="12052" max="12052" width="13.75" style="112" customWidth="1"/>
    <col min="12053" max="12053" width="10.75" style="112" bestFit="1" customWidth="1"/>
    <col min="12054" max="12054" width="12.25" style="112" customWidth="1"/>
    <col min="12055" max="12055" width="12.125" style="112" customWidth="1"/>
    <col min="12056" max="12056" width="10.25" style="112" customWidth="1"/>
    <col min="12057" max="12057" width="12.125" style="112" customWidth="1"/>
    <col min="12058" max="12058" width="10.75" style="112" bestFit="1" customWidth="1"/>
    <col min="12059" max="12059" width="13.875" style="112" customWidth="1"/>
    <col min="12060" max="12060" width="11.125" style="112" bestFit="1" customWidth="1"/>
    <col min="12061" max="12061" width="12.875" style="112" bestFit="1" customWidth="1"/>
    <col min="12062" max="12062" width="11.75" style="112" customWidth="1"/>
    <col min="12063" max="12063" width="10.75" style="112" bestFit="1" customWidth="1"/>
    <col min="12064" max="12064" width="12.5" style="112" customWidth="1"/>
    <col min="12065" max="12065" width="14.5" style="112" customWidth="1"/>
    <col min="12066" max="12066" width="16" style="112" customWidth="1"/>
    <col min="12067" max="12067" width="9.125" style="112" bestFit="1" customWidth="1"/>
    <col min="12068" max="12068" width="10" style="112" bestFit="1" customWidth="1"/>
    <col min="12069" max="12095" width="9" style="112" bestFit="1" customWidth="1"/>
    <col min="12096" max="12287" width="8.75" style="112"/>
    <col min="12288" max="12288" width="9" style="112" bestFit="1" customWidth="1"/>
    <col min="12289" max="12289" width="10.5" style="112" customWidth="1"/>
    <col min="12290" max="12290" width="13.375" style="112" bestFit="1" customWidth="1"/>
    <col min="12291" max="12293" width="12.25" style="112" bestFit="1" customWidth="1"/>
    <col min="12294" max="12294" width="14.375" style="112" customWidth="1"/>
    <col min="12295" max="12295" width="12.875" style="112" customWidth="1"/>
    <col min="12296" max="12298" width="12.25" style="112" bestFit="1" customWidth="1"/>
    <col min="12299" max="12299" width="11.375" style="112" customWidth="1"/>
    <col min="12300" max="12300" width="13.25" style="112" bestFit="1" customWidth="1"/>
    <col min="12301" max="12301" width="10.75" style="112" bestFit="1" customWidth="1"/>
    <col min="12302" max="12302" width="13.375" style="112" bestFit="1" customWidth="1"/>
    <col min="12303" max="12303" width="12" style="112" customWidth="1"/>
    <col min="12304" max="12304" width="11.125" style="112" customWidth="1"/>
    <col min="12305" max="12305" width="12.25" style="112" bestFit="1" customWidth="1"/>
    <col min="12306" max="12306" width="12.875" style="112" customWidth="1"/>
    <col min="12307" max="12307" width="10.5" style="112" customWidth="1"/>
    <col min="12308" max="12308" width="13.75" style="112" customWidth="1"/>
    <col min="12309" max="12309" width="10.75" style="112" bestFit="1" customWidth="1"/>
    <col min="12310" max="12310" width="12.25" style="112" customWidth="1"/>
    <col min="12311" max="12311" width="12.125" style="112" customWidth="1"/>
    <col min="12312" max="12312" width="10.25" style="112" customWidth="1"/>
    <col min="12313" max="12313" width="12.125" style="112" customWidth="1"/>
    <col min="12314" max="12314" width="10.75" style="112" bestFit="1" customWidth="1"/>
    <col min="12315" max="12315" width="13.875" style="112" customWidth="1"/>
    <col min="12316" max="12316" width="11.125" style="112" bestFit="1" customWidth="1"/>
    <col min="12317" max="12317" width="12.875" style="112" bestFit="1" customWidth="1"/>
    <col min="12318" max="12318" width="11.75" style="112" customWidth="1"/>
    <col min="12319" max="12319" width="10.75" style="112" bestFit="1" customWidth="1"/>
    <col min="12320" max="12320" width="12.5" style="112" customWidth="1"/>
    <col min="12321" max="12321" width="14.5" style="112" customWidth="1"/>
    <col min="12322" max="12322" width="16" style="112" customWidth="1"/>
    <col min="12323" max="12323" width="9.125" style="112" bestFit="1" customWidth="1"/>
    <col min="12324" max="12324" width="10" style="112" bestFit="1" customWidth="1"/>
    <col min="12325" max="12351" width="9" style="112" bestFit="1" customWidth="1"/>
    <col min="12352" max="12543" width="8.75" style="112"/>
    <col min="12544" max="12544" width="9" style="112" bestFit="1" customWidth="1"/>
    <col min="12545" max="12545" width="10.5" style="112" customWidth="1"/>
    <col min="12546" max="12546" width="13.375" style="112" bestFit="1" customWidth="1"/>
    <col min="12547" max="12549" width="12.25" style="112" bestFit="1" customWidth="1"/>
    <col min="12550" max="12550" width="14.375" style="112" customWidth="1"/>
    <col min="12551" max="12551" width="12.875" style="112" customWidth="1"/>
    <col min="12552" max="12554" width="12.25" style="112" bestFit="1" customWidth="1"/>
    <col min="12555" max="12555" width="11.375" style="112" customWidth="1"/>
    <col min="12556" max="12556" width="13.25" style="112" bestFit="1" customWidth="1"/>
    <col min="12557" max="12557" width="10.75" style="112" bestFit="1" customWidth="1"/>
    <col min="12558" max="12558" width="13.375" style="112" bestFit="1" customWidth="1"/>
    <col min="12559" max="12559" width="12" style="112" customWidth="1"/>
    <col min="12560" max="12560" width="11.125" style="112" customWidth="1"/>
    <col min="12561" max="12561" width="12.25" style="112" bestFit="1" customWidth="1"/>
    <col min="12562" max="12562" width="12.875" style="112" customWidth="1"/>
    <col min="12563" max="12563" width="10.5" style="112" customWidth="1"/>
    <col min="12564" max="12564" width="13.75" style="112" customWidth="1"/>
    <col min="12565" max="12565" width="10.75" style="112" bestFit="1" customWidth="1"/>
    <col min="12566" max="12566" width="12.25" style="112" customWidth="1"/>
    <col min="12567" max="12567" width="12.125" style="112" customWidth="1"/>
    <col min="12568" max="12568" width="10.25" style="112" customWidth="1"/>
    <col min="12569" max="12569" width="12.125" style="112" customWidth="1"/>
    <col min="12570" max="12570" width="10.75" style="112" bestFit="1" customWidth="1"/>
    <col min="12571" max="12571" width="13.875" style="112" customWidth="1"/>
    <col min="12572" max="12572" width="11.125" style="112" bestFit="1" customWidth="1"/>
    <col min="12573" max="12573" width="12.875" style="112" bestFit="1" customWidth="1"/>
    <col min="12574" max="12574" width="11.75" style="112" customWidth="1"/>
    <col min="12575" max="12575" width="10.75" style="112" bestFit="1" customWidth="1"/>
    <col min="12576" max="12576" width="12.5" style="112" customWidth="1"/>
    <col min="12577" max="12577" width="14.5" style="112" customWidth="1"/>
    <col min="12578" max="12578" width="16" style="112" customWidth="1"/>
    <col min="12579" max="12579" width="9.125" style="112" bestFit="1" customWidth="1"/>
    <col min="12580" max="12580" width="10" style="112" bestFit="1" customWidth="1"/>
    <col min="12581" max="12607" width="9" style="112" bestFit="1" customWidth="1"/>
    <col min="12608" max="12799" width="8.75" style="112"/>
    <col min="12800" max="12800" width="9" style="112" bestFit="1" customWidth="1"/>
    <col min="12801" max="12801" width="10.5" style="112" customWidth="1"/>
    <col min="12802" max="12802" width="13.375" style="112" bestFit="1" customWidth="1"/>
    <col min="12803" max="12805" width="12.25" style="112" bestFit="1" customWidth="1"/>
    <col min="12806" max="12806" width="14.375" style="112" customWidth="1"/>
    <col min="12807" max="12807" width="12.875" style="112" customWidth="1"/>
    <col min="12808" max="12810" width="12.25" style="112" bestFit="1" customWidth="1"/>
    <col min="12811" max="12811" width="11.375" style="112" customWidth="1"/>
    <col min="12812" max="12812" width="13.25" style="112" bestFit="1" customWidth="1"/>
    <col min="12813" max="12813" width="10.75" style="112" bestFit="1" customWidth="1"/>
    <col min="12814" max="12814" width="13.375" style="112" bestFit="1" customWidth="1"/>
    <col min="12815" max="12815" width="12" style="112" customWidth="1"/>
    <col min="12816" max="12816" width="11.125" style="112" customWidth="1"/>
    <col min="12817" max="12817" width="12.25" style="112" bestFit="1" customWidth="1"/>
    <col min="12818" max="12818" width="12.875" style="112" customWidth="1"/>
    <col min="12819" max="12819" width="10.5" style="112" customWidth="1"/>
    <col min="12820" max="12820" width="13.75" style="112" customWidth="1"/>
    <col min="12821" max="12821" width="10.75" style="112" bestFit="1" customWidth="1"/>
    <col min="12822" max="12822" width="12.25" style="112" customWidth="1"/>
    <col min="12823" max="12823" width="12.125" style="112" customWidth="1"/>
    <col min="12824" max="12824" width="10.25" style="112" customWidth="1"/>
    <col min="12825" max="12825" width="12.125" style="112" customWidth="1"/>
    <col min="12826" max="12826" width="10.75" style="112" bestFit="1" customWidth="1"/>
    <col min="12827" max="12827" width="13.875" style="112" customWidth="1"/>
    <col min="12828" max="12828" width="11.125" style="112" bestFit="1" customWidth="1"/>
    <col min="12829" max="12829" width="12.875" style="112" bestFit="1" customWidth="1"/>
    <col min="12830" max="12830" width="11.75" style="112" customWidth="1"/>
    <col min="12831" max="12831" width="10.75" style="112" bestFit="1" customWidth="1"/>
    <col min="12832" max="12832" width="12.5" style="112" customWidth="1"/>
    <col min="12833" max="12833" width="14.5" style="112" customWidth="1"/>
    <col min="12834" max="12834" width="16" style="112" customWidth="1"/>
    <col min="12835" max="12835" width="9.125" style="112" bestFit="1" customWidth="1"/>
    <col min="12836" max="12836" width="10" style="112" bestFit="1" customWidth="1"/>
    <col min="12837" max="12863" width="9" style="112" bestFit="1" customWidth="1"/>
    <col min="12864" max="13055" width="8.75" style="112"/>
    <col min="13056" max="13056" width="9" style="112" bestFit="1" customWidth="1"/>
    <col min="13057" max="13057" width="10.5" style="112" customWidth="1"/>
    <col min="13058" max="13058" width="13.375" style="112" bestFit="1" customWidth="1"/>
    <col min="13059" max="13061" width="12.25" style="112" bestFit="1" customWidth="1"/>
    <col min="13062" max="13062" width="14.375" style="112" customWidth="1"/>
    <col min="13063" max="13063" width="12.875" style="112" customWidth="1"/>
    <col min="13064" max="13066" width="12.25" style="112" bestFit="1" customWidth="1"/>
    <col min="13067" max="13067" width="11.375" style="112" customWidth="1"/>
    <col min="13068" max="13068" width="13.25" style="112" bestFit="1" customWidth="1"/>
    <col min="13069" max="13069" width="10.75" style="112" bestFit="1" customWidth="1"/>
    <col min="13070" max="13070" width="13.375" style="112" bestFit="1" customWidth="1"/>
    <col min="13071" max="13071" width="12" style="112" customWidth="1"/>
    <col min="13072" max="13072" width="11.125" style="112" customWidth="1"/>
    <col min="13073" max="13073" width="12.25" style="112" bestFit="1" customWidth="1"/>
    <col min="13074" max="13074" width="12.875" style="112" customWidth="1"/>
    <col min="13075" max="13075" width="10.5" style="112" customWidth="1"/>
    <col min="13076" max="13076" width="13.75" style="112" customWidth="1"/>
    <col min="13077" max="13077" width="10.75" style="112" bestFit="1" customWidth="1"/>
    <col min="13078" max="13078" width="12.25" style="112" customWidth="1"/>
    <col min="13079" max="13079" width="12.125" style="112" customWidth="1"/>
    <col min="13080" max="13080" width="10.25" style="112" customWidth="1"/>
    <col min="13081" max="13081" width="12.125" style="112" customWidth="1"/>
    <col min="13082" max="13082" width="10.75" style="112" bestFit="1" customWidth="1"/>
    <col min="13083" max="13083" width="13.875" style="112" customWidth="1"/>
    <col min="13084" max="13084" width="11.125" style="112" bestFit="1" customWidth="1"/>
    <col min="13085" max="13085" width="12.875" style="112" bestFit="1" customWidth="1"/>
    <col min="13086" max="13086" width="11.75" style="112" customWidth="1"/>
    <col min="13087" max="13087" width="10.75" style="112" bestFit="1" customWidth="1"/>
    <col min="13088" max="13088" width="12.5" style="112" customWidth="1"/>
    <col min="13089" max="13089" width="14.5" style="112" customWidth="1"/>
    <col min="13090" max="13090" width="16" style="112" customWidth="1"/>
    <col min="13091" max="13091" width="9.125" style="112" bestFit="1" customWidth="1"/>
    <col min="13092" max="13092" width="10" style="112" bestFit="1" customWidth="1"/>
    <col min="13093" max="13119" width="9" style="112" bestFit="1" customWidth="1"/>
    <col min="13120" max="13311" width="8.75" style="112"/>
    <col min="13312" max="13312" width="9" style="112" bestFit="1" customWidth="1"/>
    <col min="13313" max="13313" width="10.5" style="112" customWidth="1"/>
    <col min="13314" max="13314" width="13.375" style="112" bestFit="1" customWidth="1"/>
    <col min="13315" max="13317" width="12.25" style="112" bestFit="1" customWidth="1"/>
    <col min="13318" max="13318" width="14.375" style="112" customWidth="1"/>
    <col min="13319" max="13319" width="12.875" style="112" customWidth="1"/>
    <col min="13320" max="13322" width="12.25" style="112" bestFit="1" customWidth="1"/>
    <col min="13323" max="13323" width="11.375" style="112" customWidth="1"/>
    <col min="13324" max="13324" width="13.25" style="112" bestFit="1" customWidth="1"/>
    <col min="13325" max="13325" width="10.75" style="112" bestFit="1" customWidth="1"/>
    <col min="13326" max="13326" width="13.375" style="112" bestFit="1" customWidth="1"/>
    <col min="13327" max="13327" width="12" style="112" customWidth="1"/>
    <col min="13328" max="13328" width="11.125" style="112" customWidth="1"/>
    <col min="13329" max="13329" width="12.25" style="112" bestFit="1" customWidth="1"/>
    <col min="13330" max="13330" width="12.875" style="112" customWidth="1"/>
    <col min="13331" max="13331" width="10.5" style="112" customWidth="1"/>
    <col min="13332" max="13332" width="13.75" style="112" customWidth="1"/>
    <col min="13333" max="13333" width="10.75" style="112" bestFit="1" customWidth="1"/>
    <col min="13334" max="13334" width="12.25" style="112" customWidth="1"/>
    <col min="13335" max="13335" width="12.125" style="112" customWidth="1"/>
    <col min="13336" max="13336" width="10.25" style="112" customWidth="1"/>
    <col min="13337" max="13337" width="12.125" style="112" customWidth="1"/>
    <col min="13338" max="13338" width="10.75" style="112" bestFit="1" customWidth="1"/>
    <col min="13339" max="13339" width="13.875" style="112" customWidth="1"/>
    <col min="13340" max="13340" width="11.125" style="112" bestFit="1" customWidth="1"/>
    <col min="13341" max="13341" width="12.875" style="112" bestFit="1" customWidth="1"/>
    <col min="13342" max="13342" width="11.75" style="112" customWidth="1"/>
    <col min="13343" max="13343" width="10.75" style="112" bestFit="1" customWidth="1"/>
    <col min="13344" max="13344" width="12.5" style="112" customWidth="1"/>
    <col min="13345" max="13345" width="14.5" style="112" customWidth="1"/>
    <col min="13346" max="13346" width="16" style="112" customWidth="1"/>
    <col min="13347" max="13347" width="9.125" style="112" bestFit="1" customWidth="1"/>
    <col min="13348" max="13348" width="10" style="112" bestFit="1" customWidth="1"/>
    <col min="13349" max="13375" width="9" style="112" bestFit="1" customWidth="1"/>
    <col min="13376" max="13567" width="8.75" style="112"/>
    <col min="13568" max="13568" width="9" style="112" bestFit="1" customWidth="1"/>
    <col min="13569" max="13569" width="10.5" style="112" customWidth="1"/>
    <col min="13570" max="13570" width="13.375" style="112" bestFit="1" customWidth="1"/>
    <col min="13571" max="13573" width="12.25" style="112" bestFit="1" customWidth="1"/>
    <col min="13574" max="13574" width="14.375" style="112" customWidth="1"/>
    <col min="13575" max="13575" width="12.875" style="112" customWidth="1"/>
    <col min="13576" max="13578" width="12.25" style="112" bestFit="1" customWidth="1"/>
    <col min="13579" max="13579" width="11.375" style="112" customWidth="1"/>
    <col min="13580" max="13580" width="13.25" style="112" bestFit="1" customWidth="1"/>
    <col min="13581" max="13581" width="10.75" style="112" bestFit="1" customWidth="1"/>
    <col min="13582" max="13582" width="13.375" style="112" bestFit="1" customWidth="1"/>
    <col min="13583" max="13583" width="12" style="112" customWidth="1"/>
    <col min="13584" max="13584" width="11.125" style="112" customWidth="1"/>
    <col min="13585" max="13585" width="12.25" style="112" bestFit="1" customWidth="1"/>
    <col min="13586" max="13586" width="12.875" style="112" customWidth="1"/>
    <col min="13587" max="13587" width="10.5" style="112" customWidth="1"/>
    <col min="13588" max="13588" width="13.75" style="112" customWidth="1"/>
    <col min="13589" max="13589" width="10.75" style="112" bestFit="1" customWidth="1"/>
    <col min="13590" max="13590" width="12.25" style="112" customWidth="1"/>
    <col min="13591" max="13591" width="12.125" style="112" customWidth="1"/>
    <col min="13592" max="13592" width="10.25" style="112" customWidth="1"/>
    <col min="13593" max="13593" width="12.125" style="112" customWidth="1"/>
    <col min="13594" max="13594" width="10.75" style="112" bestFit="1" customWidth="1"/>
    <col min="13595" max="13595" width="13.875" style="112" customWidth="1"/>
    <col min="13596" max="13596" width="11.125" style="112" bestFit="1" customWidth="1"/>
    <col min="13597" max="13597" width="12.875" style="112" bestFit="1" customWidth="1"/>
    <col min="13598" max="13598" width="11.75" style="112" customWidth="1"/>
    <col min="13599" max="13599" width="10.75" style="112" bestFit="1" customWidth="1"/>
    <col min="13600" max="13600" width="12.5" style="112" customWidth="1"/>
    <col min="13601" max="13601" width="14.5" style="112" customWidth="1"/>
    <col min="13602" max="13602" width="16" style="112" customWidth="1"/>
    <col min="13603" max="13603" width="9.125" style="112" bestFit="1" customWidth="1"/>
    <col min="13604" max="13604" width="10" style="112" bestFit="1" customWidth="1"/>
    <col min="13605" max="13631" width="9" style="112" bestFit="1" customWidth="1"/>
    <col min="13632" max="13823" width="8.75" style="112"/>
    <col min="13824" max="13824" width="9" style="112" bestFit="1" customWidth="1"/>
    <col min="13825" max="13825" width="10.5" style="112" customWidth="1"/>
    <col min="13826" max="13826" width="13.375" style="112" bestFit="1" customWidth="1"/>
    <col min="13827" max="13829" width="12.25" style="112" bestFit="1" customWidth="1"/>
    <col min="13830" max="13830" width="14.375" style="112" customWidth="1"/>
    <col min="13831" max="13831" width="12.875" style="112" customWidth="1"/>
    <col min="13832" max="13834" width="12.25" style="112" bestFit="1" customWidth="1"/>
    <col min="13835" max="13835" width="11.375" style="112" customWidth="1"/>
    <col min="13836" max="13836" width="13.25" style="112" bestFit="1" customWidth="1"/>
    <col min="13837" max="13837" width="10.75" style="112" bestFit="1" customWidth="1"/>
    <col min="13838" max="13838" width="13.375" style="112" bestFit="1" customWidth="1"/>
    <col min="13839" max="13839" width="12" style="112" customWidth="1"/>
    <col min="13840" max="13840" width="11.125" style="112" customWidth="1"/>
    <col min="13841" max="13841" width="12.25" style="112" bestFit="1" customWidth="1"/>
    <col min="13842" max="13842" width="12.875" style="112" customWidth="1"/>
    <col min="13843" max="13843" width="10.5" style="112" customWidth="1"/>
    <col min="13844" max="13844" width="13.75" style="112" customWidth="1"/>
    <col min="13845" max="13845" width="10.75" style="112" bestFit="1" customWidth="1"/>
    <col min="13846" max="13846" width="12.25" style="112" customWidth="1"/>
    <col min="13847" max="13847" width="12.125" style="112" customWidth="1"/>
    <col min="13848" max="13848" width="10.25" style="112" customWidth="1"/>
    <col min="13849" max="13849" width="12.125" style="112" customWidth="1"/>
    <col min="13850" max="13850" width="10.75" style="112" bestFit="1" customWidth="1"/>
    <col min="13851" max="13851" width="13.875" style="112" customWidth="1"/>
    <col min="13852" max="13852" width="11.125" style="112" bestFit="1" customWidth="1"/>
    <col min="13853" max="13853" width="12.875" style="112" bestFit="1" customWidth="1"/>
    <col min="13854" max="13854" width="11.75" style="112" customWidth="1"/>
    <col min="13855" max="13855" width="10.75" style="112" bestFit="1" customWidth="1"/>
    <col min="13856" max="13856" width="12.5" style="112" customWidth="1"/>
    <col min="13857" max="13857" width="14.5" style="112" customWidth="1"/>
    <col min="13858" max="13858" width="16" style="112" customWidth="1"/>
    <col min="13859" max="13859" width="9.125" style="112" bestFit="1" customWidth="1"/>
    <col min="13860" max="13860" width="10" style="112" bestFit="1" customWidth="1"/>
    <col min="13861" max="13887" width="9" style="112" bestFit="1" customWidth="1"/>
    <col min="13888" max="14079" width="8.75" style="112"/>
    <col min="14080" max="14080" width="9" style="112" bestFit="1" customWidth="1"/>
    <col min="14081" max="14081" width="10.5" style="112" customWidth="1"/>
    <col min="14082" max="14082" width="13.375" style="112" bestFit="1" customWidth="1"/>
    <col min="14083" max="14085" width="12.25" style="112" bestFit="1" customWidth="1"/>
    <col min="14086" max="14086" width="14.375" style="112" customWidth="1"/>
    <col min="14087" max="14087" width="12.875" style="112" customWidth="1"/>
    <col min="14088" max="14090" width="12.25" style="112" bestFit="1" customWidth="1"/>
    <col min="14091" max="14091" width="11.375" style="112" customWidth="1"/>
    <col min="14092" max="14092" width="13.25" style="112" bestFit="1" customWidth="1"/>
    <col min="14093" max="14093" width="10.75" style="112" bestFit="1" customWidth="1"/>
    <col min="14094" max="14094" width="13.375" style="112" bestFit="1" customWidth="1"/>
    <col min="14095" max="14095" width="12" style="112" customWidth="1"/>
    <col min="14096" max="14096" width="11.125" style="112" customWidth="1"/>
    <col min="14097" max="14097" width="12.25" style="112" bestFit="1" customWidth="1"/>
    <col min="14098" max="14098" width="12.875" style="112" customWidth="1"/>
    <col min="14099" max="14099" width="10.5" style="112" customWidth="1"/>
    <col min="14100" max="14100" width="13.75" style="112" customWidth="1"/>
    <col min="14101" max="14101" width="10.75" style="112" bestFit="1" customWidth="1"/>
    <col min="14102" max="14102" width="12.25" style="112" customWidth="1"/>
    <col min="14103" max="14103" width="12.125" style="112" customWidth="1"/>
    <col min="14104" max="14104" width="10.25" style="112" customWidth="1"/>
    <col min="14105" max="14105" width="12.125" style="112" customWidth="1"/>
    <col min="14106" max="14106" width="10.75" style="112" bestFit="1" customWidth="1"/>
    <col min="14107" max="14107" width="13.875" style="112" customWidth="1"/>
    <col min="14108" max="14108" width="11.125" style="112" bestFit="1" customWidth="1"/>
    <col min="14109" max="14109" width="12.875" style="112" bestFit="1" customWidth="1"/>
    <col min="14110" max="14110" width="11.75" style="112" customWidth="1"/>
    <col min="14111" max="14111" width="10.75" style="112" bestFit="1" customWidth="1"/>
    <col min="14112" max="14112" width="12.5" style="112" customWidth="1"/>
    <col min="14113" max="14113" width="14.5" style="112" customWidth="1"/>
    <col min="14114" max="14114" width="16" style="112" customWidth="1"/>
    <col min="14115" max="14115" width="9.125" style="112" bestFit="1" customWidth="1"/>
    <col min="14116" max="14116" width="10" style="112" bestFit="1" customWidth="1"/>
    <col min="14117" max="14143" width="9" style="112" bestFit="1" customWidth="1"/>
    <col min="14144" max="14335" width="8.75" style="112"/>
    <col min="14336" max="14336" width="9" style="112" bestFit="1" customWidth="1"/>
    <col min="14337" max="14337" width="10.5" style="112" customWidth="1"/>
    <col min="14338" max="14338" width="13.375" style="112" bestFit="1" customWidth="1"/>
    <col min="14339" max="14341" width="12.25" style="112" bestFit="1" customWidth="1"/>
    <col min="14342" max="14342" width="14.375" style="112" customWidth="1"/>
    <col min="14343" max="14343" width="12.875" style="112" customWidth="1"/>
    <col min="14344" max="14346" width="12.25" style="112" bestFit="1" customWidth="1"/>
    <col min="14347" max="14347" width="11.375" style="112" customWidth="1"/>
    <col min="14348" max="14348" width="13.25" style="112" bestFit="1" customWidth="1"/>
    <col min="14349" max="14349" width="10.75" style="112" bestFit="1" customWidth="1"/>
    <col min="14350" max="14350" width="13.375" style="112" bestFit="1" customWidth="1"/>
    <col min="14351" max="14351" width="12" style="112" customWidth="1"/>
    <col min="14352" max="14352" width="11.125" style="112" customWidth="1"/>
    <col min="14353" max="14353" width="12.25" style="112" bestFit="1" customWidth="1"/>
    <col min="14354" max="14354" width="12.875" style="112" customWidth="1"/>
    <col min="14355" max="14355" width="10.5" style="112" customWidth="1"/>
    <col min="14356" max="14356" width="13.75" style="112" customWidth="1"/>
    <col min="14357" max="14357" width="10.75" style="112" bestFit="1" customWidth="1"/>
    <col min="14358" max="14358" width="12.25" style="112" customWidth="1"/>
    <col min="14359" max="14359" width="12.125" style="112" customWidth="1"/>
    <col min="14360" max="14360" width="10.25" style="112" customWidth="1"/>
    <col min="14361" max="14361" width="12.125" style="112" customWidth="1"/>
    <col min="14362" max="14362" width="10.75" style="112" bestFit="1" customWidth="1"/>
    <col min="14363" max="14363" width="13.875" style="112" customWidth="1"/>
    <col min="14364" max="14364" width="11.125" style="112" bestFit="1" customWidth="1"/>
    <col min="14365" max="14365" width="12.875" style="112" bestFit="1" customWidth="1"/>
    <col min="14366" max="14366" width="11.75" style="112" customWidth="1"/>
    <col min="14367" max="14367" width="10.75" style="112" bestFit="1" customWidth="1"/>
    <col min="14368" max="14368" width="12.5" style="112" customWidth="1"/>
    <col min="14369" max="14369" width="14.5" style="112" customWidth="1"/>
    <col min="14370" max="14370" width="16" style="112" customWidth="1"/>
    <col min="14371" max="14371" width="9.125" style="112" bestFit="1" customWidth="1"/>
    <col min="14372" max="14372" width="10" style="112" bestFit="1" customWidth="1"/>
    <col min="14373" max="14399" width="9" style="112" bestFit="1" customWidth="1"/>
    <col min="14400" max="14591" width="8.75" style="112"/>
    <col min="14592" max="14592" width="9" style="112" bestFit="1" customWidth="1"/>
    <col min="14593" max="14593" width="10.5" style="112" customWidth="1"/>
    <col min="14594" max="14594" width="13.375" style="112" bestFit="1" customWidth="1"/>
    <col min="14595" max="14597" width="12.25" style="112" bestFit="1" customWidth="1"/>
    <col min="14598" max="14598" width="14.375" style="112" customWidth="1"/>
    <col min="14599" max="14599" width="12.875" style="112" customWidth="1"/>
    <col min="14600" max="14602" width="12.25" style="112" bestFit="1" customWidth="1"/>
    <col min="14603" max="14603" width="11.375" style="112" customWidth="1"/>
    <col min="14604" max="14604" width="13.25" style="112" bestFit="1" customWidth="1"/>
    <col min="14605" max="14605" width="10.75" style="112" bestFit="1" customWidth="1"/>
    <col min="14606" max="14606" width="13.375" style="112" bestFit="1" customWidth="1"/>
    <col min="14607" max="14607" width="12" style="112" customWidth="1"/>
    <col min="14608" max="14608" width="11.125" style="112" customWidth="1"/>
    <col min="14609" max="14609" width="12.25" style="112" bestFit="1" customWidth="1"/>
    <col min="14610" max="14610" width="12.875" style="112" customWidth="1"/>
    <col min="14611" max="14611" width="10.5" style="112" customWidth="1"/>
    <col min="14612" max="14612" width="13.75" style="112" customWidth="1"/>
    <col min="14613" max="14613" width="10.75" style="112" bestFit="1" customWidth="1"/>
    <col min="14614" max="14614" width="12.25" style="112" customWidth="1"/>
    <col min="14615" max="14615" width="12.125" style="112" customWidth="1"/>
    <col min="14616" max="14616" width="10.25" style="112" customWidth="1"/>
    <col min="14617" max="14617" width="12.125" style="112" customWidth="1"/>
    <col min="14618" max="14618" width="10.75" style="112" bestFit="1" customWidth="1"/>
    <col min="14619" max="14619" width="13.875" style="112" customWidth="1"/>
    <col min="14620" max="14620" width="11.125" style="112" bestFit="1" customWidth="1"/>
    <col min="14621" max="14621" width="12.875" style="112" bestFit="1" customWidth="1"/>
    <col min="14622" max="14622" width="11.75" style="112" customWidth="1"/>
    <col min="14623" max="14623" width="10.75" style="112" bestFit="1" customWidth="1"/>
    <col min="14624" max="14624" width="12.5" style="112" customWidth="1"/>
    <col min="14625" max="14625" width="14.5" style="112" customWidth="1"/>
    <col min="14626" max="14626" width="16" style="112" customWidth="1"/>
    <col min="14627" max="14627" width="9.125" style="112" bestFit="1" customWidth="1"/>
    <col min="14628" max="14628" width="10" style="112" bestFit="1" customWidth="1"/>
    <col min="14629" max="14655" width="9" style="112" bestFit="1" customWidth="1"/>
    <col min="14656" max="14847" width="8.75" style="112"/>
    <col min="14848" max="14848" width="9" style="112" bestFit="1" customWidth="1"/>
    <col min="14849" max="14849" width="10.5" style="112" customWidth="1"/>
    <col min="14850" max="14850" width="13.375" style="112" bestFit="1" customWidth="1"/>
    <col min="14851" max="14853" width="12.25" style="112" bestFit="1" customWidth="1"/>
    <col min="14854" max="14854" width="14.375" style="112" customWidth="1"/>
    <col min="14855" max="14855" width="12.875" style="112" customWidth="1"/>
    <col min="14856" max="14858" width="12.25" style="112" bestFit="1" customWidth="1"/>
    <col min="14859" max="14859" width="11.375" style="112" customWidth="1"/>
    <col min="14860" max="14860" width="13.25" style="112" bestFit="1" customWidth="1"/>
    <col min="14861" max="14861" width="10.75" style="112" bestFit="1" customWidth="1"/>
    <col min="14862" max="14862" width="13.375" style="112" bestFit="1" customWidth="1"/>
    <col min="14863" max="14863" width="12" style="112" customWidth="1"/>
    <col min="14864" max="14864" width="11.125" style="112" customWidth="1"/>
    <col min="14865" max="14865" width="12.25" style="112" bestFit="1" customWidth="1"/>
    <col min="14866" max="14866" width="12.875" style="112" customWidth="1"/>
    <col min="14867" max="14867" width="10.5" style="112" customWidth="1"/>
    <col min="14868" max="14868" width="13.75" style="112" customWidth="1"/>
    <col min="14869" max="14869" width="10.75" style="112" bestFit="1" customWidth="1"/>
    <col min="14870" max="14870" width="12.25" style="112" customWidth="1"/>
    <col min="14871" max="14871" width="12.125" style="112" customWidth="1"/>
    <col min="14872" max="14872" width="10.25" style="112" customWidth="1"/>
    <col min="14873" max="14873" width="12.125" style="112" customWidth="1"/>
    <col min="14874" max="14874" width="10.75" style="112" bestFit="1" customWidth="1"/>
    <col min="14875" max="14875" width="13.875" style="112" customWidth="1"/>
    <col min="14876" max="14876" width="11.125" style="112" bestFit="1" customWidth="1"/>
    <col min="14877" max="14877" width="12.875" style="112" bestFit="1" customWidth="1"/>
    <col min="14878" max="14878" width="11.75" style="112" customWidth="1"/>
    <col min="14879" max="14879" width="10.75" style="112" bestFit="1" customWidth="1"/>
    <col min="14880" max="14880" width="12.5" style="112" customWidth="1"/>
    <col min="14881" max="14881" width="14.5" style="112" customWidth="1"/>
    <col min="14882" max="14882" width="16" style="112" customWidth="1"/>
    <col min="14883" max="14883" width="9.125" style="112" bestFit="1" customWidth="1"/>
    <col min="14884" max="14884" width="10" style="112" bestFit="1" customWidth="1"/>
    <col min="14885" max="14911" width="9" style="112" bestFit="1" customWidth="1"/>
    <col min="14912" max="15103" width="8.75" style="112"/>
    <col min="15104" max="15104" width="9" style="112" bestFit="1" customWidth="1"/>
    <col min="15105" max="15105" width="10.5" style="112" customWidth="1"/>
    <col min="15106" max="15106" width="13.375" style="112" bestFit="1" customWidth="1"/>
    <col min="15107" max="15109" width="12.25" style="112" bestFit="1" customWidth="1"/>
    <col min="15110" max="15110" width="14.375" style="112" customWidth="1"/>
    <col min="15111" max="15111" width="12.875" style="112" customWidth="1"/>
    <col min="15112" max="15114" width="12.25" style="112" bestFit="1" customWidth="1"/>
    <col min="15115" max="15115" width="11.375" style="112" customWidth="1"/>
    <col min="15116" max="15116" width="13.25" style="112" bestFit="1" customWidth="1"/>
    <col min="15117" max="15117" width="10.75" style="112" bestFit="1" customWidth="1"/>
    <col min="15118" max="15118" width="13.375" style="112" bestFit="1" customWidth="1"/>
    <col min="15119" max="15119" width="12" style="112" customWidth="1"/>
    <col min="15120" max="15120" width="11.125" style="112" customWidth="1"/>
    <col min="15121" max="15121" width="12.25" style="112" bestFit="1" customWidth="1"/>
    <col min="15122" max="15122" width="12.875" style="112" customWidth="1"/>
    <col min="15123" max="15123" width="10.5" style="112" customWidth="1"/>
    <col min="15124" max="15124" width="13.75" style="112" customWidth="1"/>
    <col min="15125" max="15125" width="10.75" style="112" bestFit="1" customWidth="1"/>
    <col min="15126" max="15126" width="12.25" style="112" customWidth="1"/>
    <col min="15127" max="15127" width="12.125" style="112" customWidth="1"/>
    <col min="15128" max="15128" width="10.25" style="112" customWidth="1"/>
    <col min="15129" max="15129" width="12.125" style="112" customWidth="1"/>
    <col min="15130" max="15130" width="10.75" style="112" bestFit="1" customWidth="1"/>
    <col min="15131" max="15131" width="13.875" style="112" customWidth="1"/>
    <col min="15132" max="15132" width="11.125" style="112" bestFit="1" customWidth="1"/>
    <col min="15133" max="15133" width="12.875" style="112" bestFit="1" customWidth="1"/>
    <col min="15134" max="15134" width="11.75" style="112" customWidth="1"/>
    <col min="15135" max="15135" width="10.75" style="112" bestFit="1" customWidth="1"/>
    <col min="15136" max="15136" width="12.5" style="112" customWidth="1"/>
    <col min="15137" max="15137" width="14.5" style="112" customWidth="1"/>
    <col min="15138" max="15138" width="16" style="112" customWidth="1"/>
    <col min="15139" max="15139" width="9.125" style="112" bestFit="1" customWidth="1"/>
    <col min="15140" max="15140" width="10" style="112" bestFit="1" customWidth="1"/>
    <col min="15141" max="15167" width="9" style="112" bestFit="1" customWidth="1"/>
    <col min="15168" max="15359" width="8.75" style="112"/>
    <col min="15360" max="15360" width="9" style="112" bestFit="1" customWidth="1"/>
    <col min="15361" max="15361" width="10.5" style="112" customWidth="1"/>
    <col min="15362" max="15362" width="13.375" style="112" bestFit="1" customWidth="1"/>
    <col min="15363" max="15365" width="12.25" style="112" bestFit="1" customWidth="1"/>
    <col min="15366" max="15366" width="14.375" style="112" customWidth="1"/>
    <col min="15367" max="15367" width="12.875" style="112" customWidth="1"/>
    <col min="15368" max="15370" width="12.25" style="112" bestFit="1" customWidth="1"/>
    <col min="15371" max="15371" width="11.375" style="112" customWidth="1"/>
    <col min="15372" max="15372" width="13.25" style="112" bestFit="1" customWidth="1"/>
    <col min="15373" max="15373" width="10.75" style="112" bestFit="1" customWidth="1"/>
    <col min="15374" max="15374" width="13.375" style="112" bestFit="1" customWidth="1"/>
    <col min="15375" max="15375" width="12" style="112" customWidth="1"/>
    <col min="15376" max="15376" width="11.125" style="112" customWidth="1"/>
    <col min="15377" max="15377" width="12.25" style="112" bestFit="1" customWidth="1"/>
    <col min="15378" max="15378" width="12.875" style="112" customWidth="1"/>
    <col min="15379" max="15379" width="10.5" style="112" customWidth="1"/>
    <col min="15380" max="15380" width="13.75" style="112" customWidth="1"/>
    <col min="15381" max="15381" width="10.75" style="112" bestFit="1" customWidth="1"/>
    <col min="15382" max="15382" width="12.25" style="112" customWidth="1"/>
    <col min="15383" max="15383" width="12.125" style="112" customWidth="1"/>
    <col min="15384" max="15384" width="10.25" style="112" customWidth="1"/>
    <col min="15385" max="15385" width="12.125" style="112" customWidth="1"/>
    <col min="15386" max="15386" width="10.75" style="112" bestFit="1" customWidth="1"/>
    <col min="15387" max="15387" width="13.875" style="112" customWidth="1"/>
    <col min="15388" max="15388" width="11.125" style="112" bestFit="1" customWidth="1"/>
    <col min="15389" max="15389" width="12.875" style="112" bestFit="1" customWidth="1"/>
    <col min="15390" max="15390" width="11.75" style="112" customWidth="1"/>
    <col min="15391" max="15391" width="10.75" style="112" bestFit="1" customWidth="1"/>
    <col min="15392" max="15392" width="12.5" style="112" customWidth="1"/>
    <col min="15393" max="15393" width="14.5" style="112" customWidth="1"/>
    <col min="15394" max="15394" width="16" style="112" customWidth="1"/>
    <col min="15395" max="15395" width="9.125" style="112" bestFit="1" customWidth="1"/>
    <col min="15396" max="15396" width="10" style="112" bestFit="1" customWidth="1"/>
    <col min="15397" max="15423" width="9" style="112" bestFit="1" customWidth="1"/>
    <col min="15424" max="15615" width="8.75" style="112"/>
    <col min="15616" max="15616" width="9" style="112" bestFit="1" customWidth="1"/>
    <col min="15617" max="15617" width="10.5" style="112" customWidth="1"/>
    <col min="15618" max="15618" width="13.375" style="112" bestFit="1" customWidth="1"/>
    <col min="15619" max="15621" width="12.25" style="112" bestFit="1" customWidth="1"/>
    <col min="15622" max="15622" width="14.375" style="112" customWidth="1"/>
    <col min="15623" max="15623" width="12.875" style="112" customWidth="1"/>
    <col min="15624" max="15626" width="12.25" style="112" bestFit="1" customWidth="1"/>
    <col min="15627" max="15627" width="11.375" style="112" customWidth="1"/>
    <col min="15628" max="15628" width="13.25" style="112" bestFit="1" customWidth="1"/>
    <col min="15629" max="15629" width="10.75" style="112" bestFit="1" customWidth="1"/>
    <col min="15630" max="15630" width="13.375" style="112" bestFit="1" customWidth="1"/>
    <col min="15631" max="15631" width="12" style="112" customWidth="1"/>
    <col min="15632" max="15632" width="11.125" style="112" customWidth="1"/>
    <col min="15633" max="15633" width="12.25" style="112" bestFit="1" customWidth="1"/>
    <col min="15634" max="15634" width="12.875" style="112" customWidth="1"/>
    <col min="15635" max="15635" width="10.5" style="112" customWidth="1"/>
    <col min="15636" max="15636" width="13.75" style="112" customWidth="1"/>
    <col min="15637" max="15637" width="10.75" style="112" bestFit="1" customWidth="1"/>
    <col min="15638" max="15638" width="12.25" style="112" customWidth="1"/>
    <col min="15639" max="15639" width="12.125" style="112" customWidth="1"/>
    <col min="15640" max="15640" width="10.25" style="112" customWidth="1"/>
    <col min="15641" max="15641" width="12.125" style="112" customWidth="1"/>
    <col min="15642" max="15642" width="10.75" style="112" bestFit="1" customWidth="1"/>
    <col min="15643" max="15643" width="13.875" style="112" customWidth="1"/>
    <col min="15644" max="15644" width="11.125" style="112" bestFit="1" customWidth="1"/>
    <col min="15645" max="15645" width="12.875" style="112" bestFit="1" customWidth="1"/>
    <col min="15646" max="15646" width="11.75" style="112" customWidth="1"/>
    <col min="15647" max="15647" width="10.75" style="112" bestFit="1" customWidth="1"/>
    <col min="15648" max="15648" width="12.5" style="112" customWidth="1"/>
    <col min="15649" max="15649" width="14.5" style="112" customWidth="1"/>
    <col min="15650" max="15650" width="16" style="112" customWidth="1"/>
    <col min="15651" max="15651" width="9.125" style="112" bestFit="1" customWidth="1"/>
    <col min="15652" max="15652" width="10" style="112" bestFit="1" customWidth="1"/>
    <col min="15653" max="15679" width="9" style="112" bestFit="1" customWidth="1"/>
    <col min="15680" max="15871" width="8.75" style="112"/>
    <col min="15872" max="15872" width="9" style="112" bestFit="1" customWidth="1"/>
    <col min="15873" max="15873" width="10.5" style="112" customWidth="1"/>
    <col min="15874" max="15874" width="13.375" style="112" bestFit="1" customWidth="1"/>
    <col min="15875" max="15877" width="12.25" style="112" bestFit="1" customWidth="1"/>
    <col min="15878" max="15878" width="14.375" style="112" customWidth="1"/>
    <col min="15879" max="15879" width="12.875" style="112" customWidth="1"/>
    <col min="15880" max="15882" width="12.25" style="112" bestFit="1" customWidth="1"/>
    <col min="15883" max="15883" width="11.375" style="112" customWidth="1"/>
    <col min="15884" max="15884" width="13.25" style="112" bestFit="1" customWidth="1"/>
    <col min="15885" max="15885" width="10.75" style="112" bestFit="1" customWidth="1"/>
    <col min="15886" max="15886" width="13.375" style="112" bestFit="1" customWidth="1"/>
    <col min="15887" max="15887" width="12" style="112" customWidth="1"/>
    <col min="15888" max="15888" width="11.125" style="112" customWidth="1"/>
    <col min="15889" max="15889" width="12.25" style="112" bestFit="1" customWidth="1"/>
    <col min="15890" max="15890" width="12.875" style="112" customWidth="1"/>
    <col min="15891" max="15891" width="10.5" style="112" customWidth="1"/>
    <col min="15892" max="15892" width="13.75" style="112" customWidth="1"/>
    <col min="15893" max="15893" width="10.75" style="112" bestFit="1" customWidth="1"/>
    <col min="15894" max="15894" width="12.25" style="112" customWidth="1"/>
    <col min="15895" max="15895" width="12.125" style="112" customWidth="1"/>
    <col min="15896" max="15896" width="10.25" style="112" customWidth="1"/>
    <col min="15897" max="15897" width="12.125" style="112" customWidth="1"/>
    <col min="15898" max="15898" width="10.75" style="112" bestFit="1" customWidth="1"/>
    <col min="15899" max="15899" width="13.875" style="112" customWidth="1"/>
    <col min="15900" max="15900" width="11.125" style="112" bestFit="1" customWidth="1"/>
    <col min="15901" max="15901" width="12.875" style="112" bestFit="1" customWidth="1"/>
    <col min="15902" max="15902" width="11.75" style="112" customWidth="1"/>
    <col min="15903" max="15903" width="10.75" style="112" bestFit="1" customWidth="1"/>
    <col min="15904" max="15904" width="12.5" style="112" customWidth="1"/>
    <col min="15905" max="15905" width="14.5" style="112" customWidth="1"/>
    <col min="15906" max="15906" width="16" style="112" customWidth="1"/>
    <col min="15907" max="15907" width="9.125" style="112" bestFit="1" customWidth="1"/>
    <col min="15908" max="15908" width="10" style="112" bestFit="1" customWidth="1"/>
    <col min="15909" max="15935" width="9" style="112" bestFit="1" customWidth="1"/>
    <col min="15936" max="16127" width="8.75" style="112"/>
    <col min="16128" max="16128" width="9" style="112" bestFit="1" customWidth="1"/>
    <col min="16129" max="16129" width="10.5" style="112" customWidth="1"/>
    <col min="16130" max="16130" width="13.375" style="112" bestFit="1" customWidth="1"/>
    <col min="16131" max="16133" width="12.25" style="112" bestFit="1" customWidth="1"/>
    <col min="16134" max="16134" width="14.375" style="112" customWidth="1"/>
    <col min="16135" max="16135" width="12.875" style="112" customWidth="1"/>
    <col min="16136" max="16138" width="12.25" style="112" bestFit="1" customWidth="1"/>
    <col min="16139" max="16139" width="11.375" style="112" customWidth="1"/>
    <col min="16140" max="16140" width="13.25" style="112" bestFit="1" customWidth="1"/>
    <col min="16141" max="16141" width="10.75" style="112" bestFit="1" customWidth="1"/>
    <col min="16142" max="16142" width="13.375" style="112" bestFit="1" customWidth="1"/>
    <col min="16143" max="16143" width="12" style="112" customWidth="1"/>
    <col min="16144" max="16144" width="11.125" style="112" customWidth="1"/>
    <col min="16145" max="16145" width="12.25" style="112" bestFit="1" customWidth="1"/>
    <col min="16146" max="16146" width="12.875" style="112" customWidth="1"/>
    <col min="16147" max="16147" width="10.5" style="112" customWidth="1"/>
    <col min="16148" max="16148" width="13.75" style="112" customWidth="1"/>
    <col min="16149" max="16149" width="10.75" style="112" bestFit="1" customWidth="1"/>
    <col min="16150" max="16150" width="12.25" style="112" customWidth="1"/>
    <col min="16151" max="16151" width="12.125" style="112" customWidth="1"/>
    <col min="16152" max="16152" width="10.25" style="112" customWidth="1"/>
    <col min="16153" max="16153" width="12.125" style="112" customWidth="1"/>
    <col min="16154" max="16154" width="10.75" style="112" bestFit="1" customWidth="1"/>
    <col min="16155" max="16155" width="13.875" style="112" customWidth="1"/>
    <col min="16156" max="16156" width="11.125" style="112" bestFit="1" customWidth="1"/>
    <col min="16157" max="16157" width="12.875" style="112" bestFit="1" customWidth="1"/>
    <col min="16158" max="16158" width="11.75" style="112" customWidth="1"/>
    <col min="16159" max="16159" width="10.75" style="112" bestFit="1" customWidth="1"/>
    <col min="16160" max="16160" width="12.5" style="112" customWidth="1"/>
    <col min="16161" max="16161" width="14.5" style="112" customWidth="1"/>
    <col min="16162" max="16162" width="16" style="112" customWidth="1"/>
    <col min="16163" max="16163" width="9.125" style="112" bestFit="1" customWidth="1"/>
    <col min="16164" max="16164" width="10" style="112" bestFit="1" customWidth="1"/>
    <col min="16165" max="16191" width="9" style="112" bestFit="1" customWidth="1"/>
    <col min="16192" max="16384" width="8.75" style="112"/>
  </cols>
  <sheetData>
    <row r="1" spans="1:42" ht="18" customHeight="1" x14ac:dyDescent="0.15">
      <c r="A1" s="108" t="s">
        <v>0</v>
      </c>
      <c r="B1" s="163" t="s">
        <v>625</v>
      </c>
      <c r="C1" s="163"/>
      <c r="D1" s="163"/>
      <c r="E1" s="109" t="s">
        <v>635</v>
      </c>
      <c r="F1" s="110"/>
      <c r="G1" s="111" t="s">
        <v>701</v>
      </c>
    </row>
    <row r="2" spans="1:42" s="118" customFormat="1" ht="21.75" customHeight="1" x14ac:dyDescent="0.15">
      <c r="A2" s="113" t="s">
        <v>1</v>
      </c>
      <c r="B2" s="113" t="s">
        <v>2</v>
      </c>
      <c r="C2" s="113" t="s">
        <v>3</v>
      </c>
      <c r="D2" s="113" t="s">
        <v>4</v>
      </c>
      <c r="E2" s="113" t="s">
        <v>5</v>
      </c>
      <c r="F2" s="113" t="s">
        <v>6</v>
      </c>
      <c r="G2" s="113" t="s">
        <v>7</v>
      </c>
      <c r="H2" s="113" t="s">
        <v>8</v>
      </c>
      <c r="I2" s="113" t="s">
        <v>9</v>
      </c>
      <c r="J2" s="113" t="s">
        <v>10</v>
      </c>
      <c r="K2" s="113" t="s">
        <v>11</v>
      </c>
      <c r="L2" s="113" t="s">
        <v>12</v>
      </c>
      <c r="M2" s="113" t="s">
        <v>13</v>
      </c>
      <c r="N2" s="113" t="s">
        <v>14</v>
      </c>
      <c r="O2" s="113" t="s">
        <v>15</v>
      </c>
      <c r="P2" s="113" t="s">
        <v>16</v>
      </c>
      <c r="Q2" s="113" t="s">
        <v>17</v>
      </c>
      <c r="R2" s="113" t="s">
        <v>18</v>
      </c>
      <c r="S2" s="114" t="s">
        <v>19</v>
      </c>
      <c r="T2" s="115" t="s">
        <v>20</v>
      </c>
      <c r="U2" s="113" t="s">
        <v>21</v>
      </c>
      <c r="V2" s="113" t="s">
        <v>22</v>
      </c>
      <c r="W2" s="116" t="s">
        <v>23</v>
      </c>
      <c r="X2" s="113" t="s">
        <v>24</v>
      </c>
      <c r="Y2" s="116" t="s">
        <v>25</v>
      </c>
      <c r="Z2" s="116" t="s">
        <v>26</v>
      </c>
      <c r="AA2" s="117" t="s">
        <v>27</v>
      </c>
      <c r="AB2" s="113" t="s">
        <v>28</v>
      </c>
      <c r="AC2" s="116" t="s">
        <v>29</v>
      </c>
      <c r="AD2" s="113" t="s">
        <v>30</v>
      </c>
      <c r="AE2" s="113" t="s">
        <v>31</v>
      </c>
      <c r="AF2" s="113" t="s">
        <v>32</v>
      </c>
      <c r="AG2" s="116" t="s">
        <v>33</v>
      </c>
      <c r="AH2" s="113" t="s">
        <v>34</v>
      </c>
      <c r="AI2" s="116" t="s">
        <v>35</v>
      </c>
      <c r="AJ2" s="113" t="s">
        <v>233</v>
      </c>
      <c r="AK2" s="113" t="s">
        <v>234</v>
      </c>
      <c r="AL2" s="113" t="s">
        <v>235</v>
      </c>
      <c r="AM2" s="113" t="s">
        <v>236</v>
      </c>
      <c r="AN2" s="113" t="s">
        <v>237</v>
      </c>
      <c r="AO2" s="113" t="s">
        <v>238</v>
      </c>
      <c r="AP2" s="113" t="s">
        <v>239</v>
      </c>
    </row>
    <row r="3" spans="1:42" s="121" customFormat="1" ht="18" customHeight="1" x14ac:dyDescent="0.15">
      <c r="A3" s="119"/>
      <c r="B3" s="120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19"/>
      <c r="AB3" s="119"/>
      <c r="AC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</row>
    <row r="4" spans="1:42" s="123" customFormat="1" ht="18" customHeight="1" x14ac:dyDescent="0.15">
      <c r="A4" s="122" t="s">
        <v>586</v>
      </c>
      <c r="B4" s="1" t="s">
        <v>332</v>
      </c>
      <c r="C4" s="122">
        <v>315000</v>
      </c>
      <c r="D4" s="122">
        <v>30500</v>
      </c>
      <c r="E4" s="122">
        <v>117000</v>
      </c>
      <c r="F4" s="122">
        <v>120500</v>
      </c>
      <c r="G4" s="122">
        <v>265000</v>
      </c>
      <c r="H4" s="122">
        <v>2500</v>
      </c>
      <c r="I4" s="122">
        <v>3000</v>
      </c>
      <c r="J4" s="122">
        <v>18000</v>
      </c>
      <c r="K4" s="122">
        <v>6000</v>
      </c>
      <c r="L4" s="122">
        <v>19700</v>
      </c>
      <c r="M4" s="122">
        <v>119400</v>
      </c>
      <c r="N4" s="122">
        <v>0</v>
      </c>
      <c r="O4" s="122">
        <v>303625</v>
      </c>
      <c r="P4" s="122">
        <v>33034</v>
      </c>
      <c r="Q4" s="122">
        <v>0</v>
      </c>
      <c r="R4" s="122">
        <v>10080</v>
      </c>
      <c r="S4" s="122">
        <v>1200</v>
      </c>
      <c r="T4" s="122">
        <v>200</v>
      </c>
      <c r="U4" s="122">
        <v>5000</v>
      </c>
      <c r="V4" s="122">
        <v>10</v>
      </c>
      <c r="W4" s="119">
        <v>4440</v>
      </c>
      <c r="X4" s="119">
        <v>0</v>
      </c>
      <c r="Y4" s="119">
        <v>320</v>
      </c>
      <c r="Z4" s="119">
        <v>8400</v>
      </c>
      <c r="AA4" s="119">
        <v>0</v>
      </c>
      <c r="AB4" s="119">
        <v>420</v>
      </c>
      <c r="AC4" s="119">
        <v>1800</v>
      </c>
      <c r="AD4" s="119">
        <v>21</v>
      </c>
      <c r="AE4" s="119">
        <v>11000</v>
      </c>
      <c r="AF4" s="119">
        <v>95</v>
      </c>
      <c r="AG4" s="119">
        <v>1350</v>
      </c>
      <c r="AH4" s="119">
        <v>1400</v>
      </c>
      <c r="AI4" s="119">
        <v>2400</v>
      </c>
      <c r="AJ4" s="119">
        <v>2050</v>
      </c>
      <c r="AK4" s="119">
        <v>620</v>
      </c>
      <c r="AL4" s="119">
        <v>1200</v>
      </c>
      <c r="AM4" s="119">
        <v>470</v>
      </c>
      <c r="AN4" s="119">
        <v>385</v>
      </c>
      <c r="AO4" s="119">
        <v>0</v>
      </c>
      <c r="AP4" s="119">
        <v>3000</v>
      </c>
    </row>
    <row r="5" spans="1:42" s="126" customFormat="1" ht="18" customHeight="1" x14ac:dyDescent="0.15">
      <c r="A5" s="124" t="s">
        <v>587</v>
      </c>
      <c r="B5" s="125" t="s">
        <v>333</v>
      </c>
      <c r="C5" s="124">
        <v>250564</v>
      </c>
      <c r="D5" s="124">
        <v>20830</v>
      </c>
      <c r="E5" s="124">
        <v>90000</v>
      </c>
      <c r="F5" s="124">
        <v>89500</v>
      </c>
      <c r="G5" s="124">
        <v>225000</v>
      </c>
      <c r="H5" s="124">
        <v>0</v>
      </c>
      <c r="I5" s="124">
        <v>2000</v>
      </c>
      <c r="J5" s="124">
        <v>10000</v>
      </c>
      <c r="K5" s="124">
        <v>2000</v>
      </c>
      <c r="L5" s="124">
        <v>0</v>
      </c>
      <c r="M5" s="124">
        <v>53970</v>
      </c>
      <c r="N5" s="124">
        <v>0</v>
      </c>
      <c r="O5" s="124">
        <v>234750</v>
      </c>
      <c r="P5" s="124">
        <v>26406</v>
      </c>
      <c r="Q5" s="124">
        <v>0</v>
      </c>
      <c r="R5" s="124">
        <v>3520</v>
      </c>
      <c r="S5" s="124">
        <v>1263</v>
      </c>
      <c r="T5" s="124">
        <v>227</v>
      </c>
      <c r="U5" s="124">
        <v>3517</v>
      </c>
      <c r="V5" s="124">
        <v>0</v>
      </c>
      <c r="W5" s="124">
        <v>3350</v>
      </c>
      <c r="X5" s="124">
        <v>0</v>
      </c>
      <c r="Y5" s="124">
        <v>240</v>
      </c>
      <c r="Z5" s="124">
        <v>6000</v>
      </c>
      <c r="AA5" s="124">
        <v>0</v>
      </c>
      <c r="AB5" s="124">
        <v>198</v>
      </c>
      <c r="AC5" s="124">
        <v>500</v>
      </c>
      <c r="AD5" s="124">
        <v>14.5</v>
      </c>
      <c r="AE5" s="124">
        <v>4000</v>
      </c>
      <c r="AF5" s="124">
        <v>0</v>
      </c>
      <c r="AG5" s="124">
        <v>1400</v>
      </c>
      <c r="AH5" s="124">
        <v>0</v>
      </c>
      <c r="AI5" s="124">
        <v>2030</v>
      </c>
      <c r="AJ5" s="124">
        <v>1027</v>
      </c>
      <c r="AK5" s="124">
        <v>280</v>
      </c>
      <c r="AL5" s="124">
        <v>277</v>
      </c>
      <c r="AM5" s="124">
        <v>250</v>
      </c>
      <c r="AN5" s="124">
        <v>90</v>
      </c>
      <c r="AO5" s="124">
        <v>0</v>
      </c>
      <c r="AP5" s="124">
        <v>920</v>
      </c>
    </row>
    <row r="6" spans="1:42" s="126" customFormat="1" ht="18" customHeight="1" x14ac:dyDescent="0.15">
      <c r="A6" s="124" t="s">
        <v>588</v>
      </c>
      <c r="B6" s="125" t="s">
        <v>334</v>
      </c>
      <c r="C6" s="124">
        <v>142200</v>
      </c>
      <c r="D6" s="124">
        <v>18100</v>
      </c>
      <c r="E6" s="124">
        <v>39800</v>
      </c>
      <c r="F6" s="124">
        <v>46300</v>
      </c>
      <c r="G6" s="124">
        <v>138200</v>
      </c>
      <c r="H6" s="124">
        <v>820</v>
      </c>
      <c r="I6" s="124">
        <v>1100</v>
      </c>
      <c r="J6" s="124">
        <v>4500</v>
      </c>
      <c r="K6" s="124">
        <v>2100</v>
      </c>
      <c r="L6" s="124">
        <v>4400</v>
      </c>
      <c r="M6" s="124">
        <v>33450</v>
      </c>
      <c r="N6" s="124">
        <v>0</v>
      </c>
      <c r="O6" s="124">
        <v>120000</v>
      </c>
      <c r="P6" s="124">
        <v>8617</v>
      </c>
      <c r="Q6" s="124">
        <v>0</v>
      </c>
      <c r="R6" s="124">
        <v>15060</v>
      </c>
      <c r="S6" s="124">
        <v>5</v>
      </c>
      <c r="T6" s="124">
        <v>28</v>
      </c>
      <c r="U6" s="124">
        <v>1790</v>
      </c>
      <c r="V6" s="124">
        <v>10</v>
      </c>
      <c r="W6" s="124">
        <v>1800</v>
      </c>
      <c r="X6" s="124">
        <v>0</v>
      </c>
      <c r="Y6" s="124">
        <v>200</v>
      </c>
      <c r="Z6" s="124">
        <v>3080</v>
      </c>
      <c r="AA6" s="124">
        <v>0</v>
      </c>
      <c r="AB6" s="124">
        <v>139</v>
      </c>
      <c r="AC6" s="124">
        <v>100</v>
      </c>
      <c r="AD6" s="124">
        <v>12</v>
      </c>
      <c r="AE6" s="124">
        <v>8000</v>
      </c>
      <c r="AF6" s="124">
        <v>41</v>
      </c>
      <c r="AG6" s="124">
        <v>1637</v>
      </c>
      <c r="AH6" s="124">
        <v>230</v>
      </c>
      <c r="AI6" s="124">
        <v>600</v>
      </c>
      <c r="AJ6" s="124">
        <v>125</v>
      </c>
      <c r="AK6" s="124">
        <v>110</v>
      </c>
      <c r="AL6" s="124">
        <v>185</v>
      </c>
      <c r="AM6" s="124">
        <v>60</v>
      </c>
      <c r="AN6" s="124">
        <v>100</v>
      </c>
      <c r="AO6" s="124">
        <v>65</v>
      </c>
      <c r="AP6" s="124">
        <v>150</v>
      </c>
    </row>
    <row r="7" spans="1:42" s="126" customFormat="1" ht="18" customHeight="1" x14ac:dyDescent="0.15">
      <c r="A7" s="124" t="s">
        <v>589</v>
      </c>
      <c r="B7" s="125" t="s">
        <v>335</v>
      </c>
      <c r="C7" s="124">
        <v>171900</v>
      </c>
      <c r="D7" s="124">
        <v>19400</v>
      </c>
      <c r="E7" s="124">
        <v>56800</v>
      </c>
      <c r="F7" s="124">
        <v>58500</v>
      </c>
      <c r="G7" s="124">
        <v>175000</v>
      </c>
      <c r="H7" s="124">
        <v>900</v>
      </c>
      <c r="I7" s="124">
        <v>2000</v>
      </c>
      <c r="J7" s="124">
        <v>5500</v>
      </c>
      <c r="K7" s="124">
        <v>3000</v>
      </c>
      <c r="L7" s="124">
        <v>9500</v>
      </c>
      <c r="M7" s="124">
        <v>52100</v>
      </c>
      <c r="N7" s="124">
        <v>0</v>
      </c>
      <c r="O7" s="124">
        <v>179125</v>
      </c>
      <c r="P7" s="124">
        <v>14517</v>
      </c>
      <c r="Q7" s="124">
        <v>0</v>
      </c>
      <c r="R7" s="124">
        <v>6260</v>
      </c>
      <c r="S7" s="124">
        <v>650</v>
      </c>
      <c r="T7" s="124">
        <v>230</v>
      </c>
      <c r="U7" s="124">
        <v>2775</v>
      </c>
      <c r="V7" s="124">
        <v>10</v>
      </c>
      <c r="W7" s="124">
        <v>2100</v>
      </c>
      <c r="X7" s="124">
        <v>0</v>
      </c>
      <c r="Y7" s="124">
        <v>203</v>
      </c>
      <c r="Z7" s="124">
        <v>3800</v>
      </c>
      <c r="AA7" s="124">
        <v>0</v>
      </c>
      <c r="AB7" s="124">
        <v>202</v>
      </c>
      <c r="AC7" s="124">
        <v>2000</v>
      </c>
      <c r="AD7" s="124">
        <v>12</v>
      </c>
      <c r="AE7" s="124">
        <v>3000</v>
      </c>
      <c r="AF7" s="124">
        <v>50</v>
      </c>
      <c r="AG7" s="124">
        <v>900</v>
      </c>
      <c r="AH7" s="124">
        <v>300</v>
      </c>
      <c r="AI7" s="124">
        <v>1800</v>
      </c>
      <c r="AJ7" s="124">
        <v>740</v>
      </c>
      <c r="AK7" s="124">
        <v>190</v>
      </c>
      <c r="AL7" s="124">
        <v>90</v>
      </c>
      <c r="AM7" s="124">
        <v>40</v>
      </c>
      <c r="AN7" s="124">
        <v>100</v>
      </c>
      <c r="AO7" s="124">
        <v>150</v>
      </c>
      <c r="AP7" s="124">
        <v>1300</v>
      </c>
    </row>
    <row r="8" spans="1:42" s="126" customFormat="1" ht="18" customHeight="1" x14ac:dyDescent="0.15">
      <c r="A8" s="124" t="s">
        <v>595</v>
      </c>
      <c r="B8" s="125" t="s">
        <v>591</v>
      </c>
      <c r="C8" s="124">
        <v>286050</v>
      </c>
      <c r="D8" s="124">
        <v>9400</v>
      </c>
      <c r="E8" s="124">
        <v>122442</v>
      </c>
      <c r="F8" s="124">
        <v>91000</v>
      </c>
      <c r="G8" s="124">
        <v>302000</v>
      </c>
      <c r="H8" s="124">
        <v>1596</v>
      </c>
      <c r="I8" s="124">
        <v>2348</v>
      </c>
      <c r="J8" s="124">
        <v>18000</v>
      </c>
      <c r="K8" s="124">
        <v>5200</v>
      </c>
      <c r="L8" s="124">
        <v>16240</v>
      </c>
      <c r="M8" s="124">
        <v>128100</v>
      </c>
      <c r="N8" s="124">
        <v>0</v>
      </c>
      <c r="O8" s="124">
        <v>329208</v>
      </c>
      <c r="P8" s="124">
        <v>11565.34</v>
      </c>
      <c r="Q8" s="124">
        <v>0</v>
      </c>
      <c r="R8" s="124">
        <v>7196</v>
      </c>
      <c r="S8" s="124">
        <v>1603</v>
      </c>
      <c r="T8" s="124">
        <v>224</v>
      </c>
      <c r="U8" s="124">
        <v>4847</v>
      </c>
      <c r="V8" s="124">
        <v>146</v>
      </c>
      <c r="W8" s="124">
        <v>4637</v>
      </c>
      <c r="X8" s="124">
        <v>0</v>
      </c>
      <c r="Y8" s="124">
        <v>110</v>
      </c>
      <c r="Z8" s="124">
        <v>7647</v>
      </c>
      <c r="AA8" s="124">
        <v>0</v>
      </c>
      <c r="AB8" s="124">
        <v>201</v>
      </c>
      <c r="AC8" s="124">
        <v>2438</v>
      </c>
      <c r="AD8" s="124">
        <v>19</v>
      </c>
      <c r="AE8" s="124">
        <v>6000</v>
      </c>
      <c r="AF8" s="124">
        <v>125</v>
      </c>
      <c r="AG8" s="124">
        <v>623</v>
      </c>
      <c r="AH8" s="124">
        <v>0</v>
      </c>
      <c r="AI8" s="124">
        <v>5357</v>
      </c>
      <c r="AJ8" s="124">
        <v>0</v>
      </c>
      <c r="AK8" s="124">
        <v>875</v>
      </c>
      <c r="AL8" s="124">
        <v>0</v>
      </c>
      <c r="AM8" s="124">
        <v>309</v>
      </c>
      <c r="AN8" s="124">
        <v>328</v>
      </c>
      <c r="AO8" s="124">
        <v>88</v>
      </c>
      <c r="AP8" s="124">
        <v>3574</v>
      </c>
    </row>
    <row r="9" spans="1:42" s="126" customFormat="1" ht="18" customHeight="1" x14ac:dyDescent="0.15">
      <c r="A9" s="124" t="s">
        <v>596</v>
      </c>
      <c r="B9" s="125" t="s">
        <v>592</v>
      </c>
      <c r="C9" s="124">
        <v>183800</v>
      </c>
      <c r="D9" s="124">
        <v>11896</v>
      </c>
      <c r="E9" s="124">
        <v>84600</v>
      </c>
      <c r="F9" s="124">
        <v>61800</v>
      </c>
      <c r="G9" s="124">
        <v>154000</v>
      </c>
      <c r="H9" s="124">
        <v>1130</v>
      </c>
      <c r="I9" s="124">
        <v>1690</v>
      </c>
      <c r="J9" s="124">
        <v>9571</v>
      </c>
      <c r="K9" s="124">
        <v>2900</v>
      </c>
      <c r="L9" s="124">
        <v>10360</v>
      </c>
      <c r="M9" s="124">
        <v>59709</v>
      </c>
      <c r="N9" s="124">
        <v>1000</v>
      </c>
      <c r="O9" s="124">
        <v>176175</v>
      </c>
      <c r="P9" s="124">
        <v>23434</v>
      </c>
      <c r="Q9" s="124">
        <v>0</v>
      </c>
      <c r="R9" s="124">
        <v>3266</v>
      </c>
      <c r="S9" s="124">
        <v>893</v>
      </c>
      <c r="T9" s="124">
        <v>129</v>
      </c>
      <c r="U9" s="124">
        <v>2983</v>
      </c>
      <c r="V9" s="124">
        <v>32</v>
      </c>
      <c r="W9" s="124">
        <v>2367</v>
      </c>
      <c r="X9" s="124">
        <v>0</v>
      </c>
      <c r="Y9" s="124">
        <v>140</v>
      </c>
      <c r="Z9" s="124">
        <v>3494</v>
      </c>
      <c r="AA9" s="124">
        <v>0</v>
      </c>
      <c r="AB9" s="124">
        <v>142</v>
      </c>
      <c r="AC9" s="124">
        <v>384</v>
      </c>
      <c r="AD9" s="124">
        <v>15</v>
      </c>
      <c r="AE9" s="124">
        <v>3760</v>
      </c>
      <c r="AF9" s="124">
        <v>51</v>
      </c>
      <c r="AG9" s="124">
        <v>1138</v>
      </c>
      <c r="AH9" s="124">
        <v>44</v>
      </c>
      <c r="AI9" s="124">
        <v>1350</v>
      </c>
      <c r="AJ9" s="124">
        <v>1173</v>
      </c>
      <c r="AK9" s="124">
        <v>260</v>
      </c>
      <c r="AL9" s="124">
        <v>25</v>
      </c>
      <c r="AM9" s="124">
        <v>38</v>
      </c>
      <c r="AN9" s="124">
        <v>96</v>
      </c>
      <c r="AO9" s="124">
        <v>42</v>
      </c>
      <c r="AP9" s="124">
        <v>788</v>
      </c>
    </row>
    <row r="10" spans="1:42" s="126" customFormat="1" ht="18" customHeight="1" x14ac:dyDescent="0.15">
      <c r="A10" s="124" t="s">
        <v>597</v>
      </c>
      <c r="B10" s="125" t="s">
        <v>593</v>
      </c>
      <c r="C10" s="124">
        <v>299192</v>
      </c>
      <c r="D10" s="124">
        <v>19000</v>
      </c>
      <c r="E10" s="124">
        <v>121833</v>
      </c>
      <c r="F10" s="124">
        <v>50500</v>
      </c>
      <c r="G10" s="124">
        <v>302500</v>
      </c>
      <c r="H10" s="124">
        <v>2166</v>
      </c>
      <c r="I10" s="124">
        <v>3100</v>
      </c>
      <c r="J10" s="124">
        <v>12253</v>
      </c>
      <c r="K10" s="124">
        <v>2900</v>
      </c>
      <c r="L10" s="124">
        <v>18346</v>
      </c>
      <c r="M10" s="124">
        <v>100697</v>
      </c>
      <c r="N10" s="124">
        <v>1957</v>
      </c>
      <c r="O10" s="124">
        <v>304100</v>
      </c>
      <c r="P10" s="124">
        <v>23993</v>
      </c>
      <c r="Q10" s="124">
        <v>0</v>
      </c>
      <c r="R10" s="124">
        <v>6773</v>
      </c>
      <c r="S10" s="124">
        <v>927</v>
      </c>
      <c r="T10" s="124">
        <v>81</v>
      </c>
      <c r="U10" s="124">
        <v>4918</v>
      </c>
      <c r="V10" s="124">
        <v>139</v>
      </c>
      <c r="W10" s="124">
        <v>4300</v>
      </c>
      <c r="X10" s="124">
        <v>0</v>
      </c>
      <c r="Y10" s="124">
        <v>160</v>
      </c>
      <c r="Z10" s="124">
        <v>9800</v>
      </c>
      <c r="AA10" s="124">
        <v>0</v>
      </c>
      <c r="AB10" s="124">
        <v>30</v>
      </c>
      <c r="AC10" s="124">
        <v>1800</v>
      </c>
      <c r="AD10" s="124">
        <v>19</v>
      </c>
      <c r="AE10" s="124">
        <v>6660</v>
      </c>
      <c r="AF10" s="124">
        <v>49</v>
      </c>
      <c r="AG10" s="124">
        <v>435</v>
      </c>
      <c r="AH10" s="124">
        <v>300</v>
      </c>
      <c r="AI10" s="124">
        <v>3559</v>
      </c>
      <c r="AJ10" s="124">
        <v>3600</v>
      </c>
      <c r="AK10" s="124">
        <v>683</v>
      </c>
      <c r="AL10" s="124">
        <v>135</v>
      </c>
      <c r="AM10" s="124">
        <v>260</v>
      </c>
      <c r="AN10" s="124">
        <v>220</v>
      </c>
      <c r="AO10" s="124">
        <v>20</v>
      </c>
      <c r="AP10" s="124">
        <v>1829</v>
      </c>
    </row>
    <row r="11" spans="1:42" s="126" customFormat="1" ht="18" customHeight="1" x14ac:dyDescent="0.15">
      <c r="A11" s="124" t="s">
        <v>598</v>
      </c>
      <c r="B11" s="125" t="s">
        <v>594</v>
      </c>
      <c r="C11" s="124">
        <v>213000</v>
      </c>
      <c r="D11" s="124">
        <v>21000</v>
      </c>
      <c r="E11" s="124">
        <v>84000</v>
      </c>
      <c r="F11" s="124">
        <v>75000</v>
      </c>
      <c r="G11" s="124">
        <v>260000</v>
      </c>
      <c r="H11" s="124">
        <v>2000</v>
      </c>
      <c r="I11" s="124">
        <v>1000</v>
      </c>
      <c r="J11" s="124">
        <v>6000</v>
      </c>
      <c r="K11" s="124">
        <v>4000</v>
      </c>
      <c r="L11" s="124">
        <v>12250</v>
      </c>
      <c r="M11" s="124">
        <v>85300</v>
      </c>
      <c r="N11" s="124">
        <v>0</v>
      </c>
      <c r="O11" s="124">
        <v>201575</v>
      </c>
      <c r="P11" s="124">
        <v>26434</v>
      </c>
      <c r="Q11" s="124">
        <v>0</v>
      </c>
      <c r="R11" s="124">
        <v>12680</v>
      </c>
      <c r="S11" s="124">
        <v>920</v>
      </c>
      <c r="T11" s="124">
        <v>230</v>
      </c>
      <c r="U11" s="124">
        <v>3300</v>
      </c>
      <c r="V11" s="124">
        <v>12</v>
      </c>
      <c r="W11" s="124">
        <v>2794</v>
      </c>
      <c r="X11" s="124">
        <v>0</v>
      </c>
      <c r="Y11" s="124">
        <v>238</v>
      </c>
      <c r="Z11" s="124">
        <v>6295</v>
      </c>
      <c r="AA11" s="124">
        <v>0</v>
      </c>
      <c r="AB11" s="124">
        <v>143</v>
      </c>
      <c r="AC11" s="124">
        <v>500</v>
      </c>
      <c r="AD11" s="124">
        <v>15</v>
      </c>
      <c r="AE11" s="124">
        <v>5500</v>
      </c>
      <c r="AF11" s="124">
        <v>70</v>
      </c>
      <c r="AG11" s="124">
        <v>2364</v>
      </c>
      <c r="AH11" s="124">
        <v>605</v>
      </c>
      <c r="AI11" s="124">
        <v>1201</v>
      </c>
      <c r="AJ11" s="124">
        <v>588</v>
      </c>
      <c r="AK11" s="124">
        <v>194</v>
      </c>
      <c r="AL11" s="124">
        <v>380</v>
      </c>
      <c r="AM11" s="124">
        <v>88</v>
      </c>
      <c r="AN11" s="124">
        <v>90</v>
      </c>
      <c r="AO11" s="124">
        <v>41</v>
      </c>
      <c r="AP11" s="124">
        <v>527</v>
      </c>
    </row>
    <row r="12" spans="1:42" s="126" customFormat="1" ht="18" customHeight="1" x14ac:dyDescent="0.15">
      <c r="A12" s="124" t="s">
        <v>636</v>
      </c>
      <c r="B12" s="125" t="s">
        <v>637</v>
      </c>
      <c r="C12" s="124">
        <v>121000</v>
      </c>
      <c r="D12" s="124">
        <v>6200</v>
      </c>
      <c r="E12" s="124">
        <v>40000</v>
      </c>
      <c r="F12" s="124">
        <v>44800</v>
      </c>
      <c r="G12" s="124">
        <v>105000</v>
      </c>
      <c r="H12" s="124">
        <v>800</v>
      </c>
      <c r="I12" s="124">
        <v>1000</v>
      </c>
      <c r="J12" s="124">
        <v>6440</v>
      </c>
      <c r="K12" s="124">
        <v>1540</v>
      </c>
      <c r="L12" s="124">
        <v>7800</v>
      </c>
      <c r="M12" s="124">
        <v>38200</v>
      </c>
      <c r="N12" s="124">
        <v>0</v>
      </c>
      <c r="O12" s="124">
        <v>112875</v>
      </c>
      <c r="P12" s="124">
        <v>9834</v>
      </c>
      <c r="Q12" s="124">
        <v>0</v>
      </c>
      <c r="R12" s="124">
        <v>3000</v>
      </c>
      <c r="S12" s="124">
        <v>500</v>
      </c>
      <c r="T12" s="124">
        <v>40</v>
      </c>
      <c r="U12" s="124">
        <v>1800</v>
      </c>
      <c r="V12" s="124">
        <v>2</v>
      </c>
      <c r="W12" s="124">
        <v>1500</v>
      </c>
      <c r="X12" s="124">
        <v>0</v>
      </c>
      <c r="Y12" s="124">
        <v>70</v>
      </c>
      <c r="Z12" s="124">
        <v>3100</v>
      </c>
      <c r="AA12" s="124">
        <v>0</v>
      </c>
      <c r="AB12" s="124">
        <v>7</v>
      </c>
      <c r="AC12" s="124">
        <v>0</v>
      </c>
      <c r="AD12" s="124">
        <v>8</v>
      </c>
      <c r="AE12" s="124">
        <v>2800</v>
      </c>
      <c r="AF12" s="124">
        <v>20</v>
      </c>
      <c r="AG12" s="124">
        <v>0</v>
      </c>
      <c r="AH12" s="124">
        <v>0</v>
      </c>
      <c r="AI12" s="124">
        <v>2400</v>
      </c>
      <c r="AJ12" s="124">
        <v>1000</v>
      </c>
      <c r="AK12" s="124">
        <v>150</v>
      </c>
      <c r="AL12" s="124">
        <v>58</v>
      </c>
      <c r="AM12" s="124">
        <v>177</v>
      </c>
      <c r="AN12" s="124">
        <v>80</v>
      </c>
      <c r="AO12" s="124">
        <v>0</v>
      </c>
      <c r="AP12" s="124">
        <v>0</v>
      </c>
    </row>
    <row r="13" spans="1:42" s="126" customFormat="1" ht="18" customHeight="1" x14ac:dyDescent="0.15">
      <c r="A13" s="124" t="s">
        <v>638</v>
      </c>
      <c r="B13" s="125" t="s">
        <v>639</v>
      </c>
      <c r="C13" s="124">
        <v>190000</v>
      </c>
      <c r="D13" s="124">
        <v>38500</v>
      </c>
      <c r="E13" s="124">
        <v>72000</v>
      </c>
      <c r="F13" s="124">
        <v>100000</v>
      </c>
      <c r="G13" s="124">
        <v>240000</v>
      </c>
      <c r="H13" s="124">
        <v>1000</v>
      </c>
      <c r="I13" s="124">
        <v>1500</v>
      </c>
      <c r="J13" s="124">
        <v>11000</v>
      </c>
      <c r="K13" s="124">
        <v>4000</v>
      </c>
      <c r="L13" s="124">
        <v>8250</v>
      </c>
      <c r="M13" s="124">
        <v>84000</v>
      </c>
      <c r="N13" s="124">
        <v>0</v>
      </c>
      <c r="O13" s="124">
        <v>209000</v>
      </c>
      <c r="P13" s="124">
        <v>15734</v>
      </c>
      <c r="Q13" s="124">
        <v>0</v>
      </c>
      <c r="R13" s="124">
        <v>6840</v>
      </c>
      <c r="S13" s="124">
        <v>1010</v>
      </c>
      <c r="T13" s="124">
        <v>57</v>
      </c>
      <c r="U13" s="124">
        <v>2815</v>
      </c>
      <c r="V13" s="124">
        <v>0</v>
      </c>
      <c r="W13" s="124">
        <v>3090</v>
      </c>
      <c r="X13" s="124">
        <v>0</v>
      </c>
      <c r="Y13" s="124">
        <v>441</v>
      </c>
      <c r="Z13" s="124">
        <v>7480</v>
      </c>
      <c r="AA13" s="124">
        <v>0</v>
      </c>
      <c r="AB13" s="124">
        <v>84</v>
      </c>
      <c r="AC13" s="124">
        <v>700</v>
      </c>
      <c r="AD13" s="124">
        <v>18</v>
      </c>
      <c r="AE13" s="124">
        <v>6000</v>
      </c>
      <c r="AF13" s="124">
        <v>73</v>
      </c>
      <c r="AG13" s="124">
        <v>1500</v>
      </c>
      <c r="AH13" s="124">
        <v>350</v>
      </c>
      <c r="AI13" s="124">
        <v>2400</v>
      </c>
      <c r="AJ13" s="124">
        <v>500</v>
      </c>
      <c r="AK13" s="124">
        <v>398</v>
      </c>
      <c r="AL13" s="124">
        <v>0</v>
      </c>
      <c r="AM13" s="124">
        <v>0</v>
      </c>
      <c r="AN13" s="124">
        <v>249</v>
      </c>
      <c r="AO13" s="124">
        <v>0</v>
      </c>
      <c r="AP13" s="124">
        <v>1675</v>
      </c>
    </row>
    <row r="14" spans="1:42" s="126" customFormat="1" ht="18" customHeight="1" x14ac:dyDescent="0.15">
      <c r="A14" s="124" t="s">
        <v>640</v>
      </c>
      <c r="B14" s="125" t="s">
        <v>641</v>
      </c>
      <c r="C14" s="124">
        <v>144700</v>
      </c>
      <c r="D14" s="124">
        <v>15500</v>
      </c>
      <c r="E14" s="124">
        <v>53700</v>
      </c>
      <c r="F14" s="124">
        <v>53000</v>
      </c>
      <c r="G14" s="124">
        <v>173000</v>
      </c>
      <c r="H14" s="124">
        <v>2300</v>
      </c>
      <c r="I14" s="124">
        <v>2600</v>
      </c>
      <c r="J14" s="124">
        <v>6000</v>
      </c>
      <c r="K14" s="124">
        <v>3800</v>
      </c>
      <c r="L14" s="124">
        <v>7500</v>
      </c>
      <c r="M14" s="124">
        <v>30500</v>
      </c>
      <c r="N14" s="124">
        <v>900</v>
      </c>
      <c r="O14" s="124">
        <v>157750</v>
      </c>
      <c r="P14" s="124">
        <v>20517</v>
      </c>
      <c r="Q14" s="124">
        <v>0</v>
      </c>
      <c r="R14" s="124">
        <v>4580</v>
      </c>
      <c r="S14" s="124">
        <v>550</v>
      </c>
      <c r="T14" s="124">
        <v>50</v>
      </c>
      <c r="U14" s="124">
        <v>2075</v>
      </c>
      <c r="V14" s="124">
        <v>0</v>
      </c>
      <c r="W14" s="124">
        <v>2150</v>
      </c>
      <c r="X14" s="124">
        <v>0</v>
      </c>
      <c r="Y14" s="124">
        <v>200</v>
      </c>
      <c r="Z14" s="124">
        <v>3400</v>
      </c>
      <c r="AA14" s="124">
        <v>0</v>
      </c>
      <c r="AB14" s="124">
        <v>147</v>
      </c>
      <c r="AC14" s="124">
        <v>1000</v>
      </c>
      <c r="AD14" s="124">
        <v>15</v>
      </c>
      <c r="AE14" s="124">
        <v>2800</v>
      </c>
      <c r="AF14" s="124">
        <v>70</v>
      </c>
      <c r="AG14" s="124">
        <v>480</v>
      </c>
      <c r="AH14" s="124">
        <v>0</v>
      </c>
      <c r="AI14" s="124">
        <v>3200</v>
      </c>
      <c r="AJ14" s="124">
        <v>857</v>
      </c>
      <c r="AK14" s="124">
        <v>200</v>
      </c>
      <c r="AL14" s="124">
        <v>560</v>
      </c>
      <c r="AM14" s="124">
        <v>150</v>
      </c>
      <c r="AN14" s="124">
        <v>100</v>
      </c>
      <c r="AO14" s="124">
        <v>0</v>
      </c>
      <c r="AP14" s="124">
        <v>500</v>
      </c>
    </row>
    <row r="15" spans="1:42" s="126" customFormat="1" ht="18" customHeight="1" x14ac:dyDescent="0.15">
      <c r="A15" s="124" t="s">
        <v>642</v>
      </c>
      <c r="B15" s="125" t="s">
        <v>643</v>
      </c>
      <c r="C15" s="124">
        <v>122400</v>
      </c>
      <c r="D15" s="124">
        <v>11544</v>
      </c>
      <c r="E15" s="124">
        <v>37300</v>
      </c>
      <c r="F15" s="124">
        <v>50000</v>
      </c>
      <c r="G15" s="124">
        <v>145000</v>
      </c>
      <c r="H15" s="124">
        <v>496</v>
      </c>
      <c r="I15" s="124">
        <v>796</v>
      </c>
      <c r="J15" s="124">
        <v>4218</v>
      </c>
      <c r="K15" s="124">
        <v>1032</v>
      </c>
      <c r="L15" s="124">
        <v>6250</v>
      </c>
      <c r="M15" s="124">
        <v>39440</v>
      </c>
      <c r="N15" s="124">
        <v>0</v>
      </c>
      <c r="O15" s="124">
        <v>109475</v>
      </c>
      <c r="P15" s="124">
        <v>14217</v>
      </c>
      <c r="Q15" s="124">
        <v>0</v>
      </c>
      <c r="R15" s="124">
        <v>3860</v>
      </c>
      <c r="S15" s="124">
        <v>147</v>
      </c>
      <c r="T15" s="124">
        <v>70</v>
      </c>
      <c r="U15" s="124">
        <v>1468</v>
      </c>
      <c r="V15" s="124">
        <v>16</v>
      </c>
      <c r="W15" s="124">
        <v>1909</v>
      </c>
      <c r="X15" s="124">
        <v>0</v>
      </c>
      <c r="Y15" s="124">
        <v>116</v>
      </c>
      <c r="Z15" s="124">
        <v>3380</v>
      </c>
      <c r="AA15" s="124">
        <v>0</v>
      </c>
      <c r="AB15" s="124">
        <v>145</v>
      </c>
      <c r="AC15" s="124">
        <v>659</v>
      </c>
      <c r="AD15" s="124">
        <v>14</v>
      </c>
      <c r="AE15" s="124">
        <v>2000</v>
      </c>
      <c r="AF15" s="124">
        <v>56</v>
      </c>
      <c r="AG15" s="124">
        <v>1114</v>
      </c>
      <c r="AH15" s="124">
        <v>193</v>
      </c>
      <c r="AI15" s="124">
        <v>798</v>
      </c>
      <c r="AJ15" s="124">
        <v>510</v>
      </c>
      <c r="AK15" s="124">
        <v>84</v>
      </c>
      <c r="AL15" s="124">
        <v>63</v>
      </c>
      <c r="AM15" s="124">
        <v>122</v>
      </c>
      <c r="AN15" s="124">
        <v>75</v>
      </c>
      <c r="AO15" s="124">
        <v>61</v>
      </c>
      <c r="AP15" s="124">
        <v>279</v>
      </c>
    </row>
    <row r="16" spans="1:42" s="121" customFormat="1" ht="18" hidden="1" customHeight="1" x14ac:dyDescent="0.15">
      <c r="A16" s="119"/>
      <c r="B16" s="2"/>
      <c r="C16" s="119">
        <v>2439806</v>
      </c>
      <c r="D16" s="119">
        <v>221870</v>
      </c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</row>
    <row r="17" spans="1:42" s="121" customFormat="1" ht="18" hidden="1" customHeight="1" x14ac:dyDescent="0.15">
      <c r="A17" s="119"/>
      <c r="B17" s="2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</row>
    <row r="18" spans="1:42" s="121" customFormat="1" ht="18" hidden="1" customHeight="1" x14ac:dyDescent="0.15">
      <c r="A18" s="119"/>
      <c r="B18" s="2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</row>
    <row r="19" spans="1:42" s="121" customFormat="1" ht="18" hidden="1" customHeight="1" x14ac:dyDescent="0.15">
      <c r="A19" s="119"/>
      <c r="B19" s="2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</row>
    <row r="20" spans="1:42" s="121" customFormat="1" ht="18" hidden="1" customHeight="1" x14ac:dyDescent="0.15">
      <c r="A20" s="119"/>
      <c r="B20" s="2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</row>
    <row r="21" spans="1:42" s="121" customFormat="1" ht="18" hidden="1" customHeight="1" x14ac:dyDescent="0.15">
      <c r="A21" s="119"/>
      <c r="B21" s="2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</row>
    <row r="22" spans="1:42" s="121" customFormat="1" ht="18" hidden="1" customHeight="1" x14ac:dyDescent="0.15">
      <c r="A22" s="119"/>
      <c r="B22" s="2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</row>
    <row r="23" spans="1:42" s="121" customFormat="1" ht="18" hidden="1" customHeight="1" x14ac:dyDescent="0.15">
      <c r="A23" s="119"/>
      <c r="B23" s="2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</row>
    <row r="24" spans="1:42" s="121" customFormat="1" ht="18" hidden="1" customHeight="1" x14ac:dyDescent="0.15">
      <c r="A24" s="119"/>
      <c r="B24" s="2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</row>
    <row r="25" spans="1:42" s="121" customFormat="1" ht="18" hidden="1" customHeight="1" x14ac:dyDescent="0.15">
      <c r="A25" s="119"/>
      <c r="B25" s="2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</row>
    <row r="26" spans="1:42" s="121" customFormat="1" ht="18" hidden="1" customHeight="1" x14ac:dyDescent="0.15">
      <c r="A26" s="119"/>
      <c r="B26" s="2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</row>
    <row r="27" spans="1:42" s="121" customFormat="1" ht="18" hidden="1" customHeight="1" x14ac:dyDescent="0.15">
      <c r="A27" s="119"/>
      <c r="B27" s="2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</row>
    <row r="28" spans="1:42" s="121" customFormat="1" ht="18" hidden="1" customHeight="1" x14ac:dyDescent="0.15">
      <c r="A28" s="119"/>
      <c r="B28" s="2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</row>
    <row r="29" spans="1:42" s="121" customFormat="1" ht="18" customHeight="1" x14ac:dyDescent="0.15">
      <c r="A29" s="127"/>
      <c r="B29" s="128"/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127"/>
      <c r="Y29" s="127"/>
      <c r="Z29" s="127"/>
      <c r="AA29" s="127"/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  <c r="AM29" s="127"/>
      <c r="AN29" s="127"/>
      <c r="AO29" s="127"/>
      <c r="AP29" s="129"/>
    </row>
    <row r="30" spans="1:42" s="132" customFormat="1" ht="18" customHeight="1" x14ac:dyDescent="0.15">
      <c r="A30" s="130" t="s">
        <v>52</v>
      </c>
      <c r="B30" s="131"/>
      <c r="AP30" s="133"/>
    </row>
    <row r="31" spans="1:42" s="139" customFormat="1" ht="18" customHeight="1" x14ac:dyDescent="0.15">
      <c r="A31" s="134" t="s">
        <v>1</v>
      </c>
      <c r="B31" s="134" t="s">
        <v>2</v>
      </c>
      <c r="C31" s="134" t="s">
        <v>3</v>
      </c>
      <c r="D31" s="134" t="s">
        <v>4</v>
      </c>
      <c r="E31" s="134" t="s">
        <v>5</v>
      </c>
      <c r="F31" s="134" t="s">
        <v>6</v>
      </c>
      <c r="G31" s="134" t="s">
        <v>7</v>
      </c>
      <c r="H31" s="134" t="s">
        <v>8</v>
      </c>
      <c r="I31" s="134" t="s">
        <v>9</v>
      </c>
      <c r="J31" s="134" t="s">
        <v>10</v>
      </c>
      <c r="K31" s="134" t="s">
        <v>11</v>
      </c>
      <c r="L31" s="134" t="s">
        <v>12</v>
      </c>
      <c r="M31" s="134" t="s">
        <v>13</v>
      </c>
      <c r="N31" s="134" t="s">
        <v>14</v>
      </c>
      <c r="O31" s="134" t="s">
        <v>15</v>
      </c>
      <c r="P31" s="134" t="s">
        <v>16</v>
      </c>
      <c r="Q31" s="134" t="s">
        <v>17</v>
      </c>
      <c r="R31" s="134" t="s">
        <v>18</v>
      </c>
      <c r="S31" s="135" t="s">
        <v>19</v>
      </c>
      <c r="T31" s="135" t="s">
        <v>20</v>
      </c>
      <c r="U31" s="134" t="s">
        <v>21</v>
      </c>
      <c r="V31" s="134" t="s">
        <v>22</v>
      </c>
      <c r="W31" s="134" t="s">
        <v>23</v>
      </c>
      <c r="X31" s="134" t="s">
        <v>24</v>
      </c>
      <c r="Y31" s="134" t="s">
        <v>25</v>
      </c>
      <c r="Z31" s="134" t="s">
        <v>26</v>
      </c>
      <c r="AA31" s="134" t="s">
        <v>27</v>
      </c>
      <c r="AB31" s="134" t="s">
        <v>28</v>
      </c>
      <c r="AC31" s="134" t="s">
        <v>29</v>
      </c>
      <c r="AD31" s="134" t="s">
        <v>30</v>
      </c>
      <c r="AE31" s="134" t="s">
        <v>31</v>
      </c>
      <c r="AF31" s="134" t="s">
        <v>32</v>
      </c>
      <c r="AG31" s="134" t="s">
        <v>33</v>
      </c>
      <c r="AH31" s="136" t="s">
        <v>34</v>
      </c>
      <c r="AI31" s="137" t="s">
        <v>35</v>
      </c>
      <c r="AJ31" s="137" t="s">
        <v>233</v>
      </c>
      <c r="AK31" s="137" t="s">
        <v>234</v>
      </c>
      <c r="AL31" s="137" t="s">
        <v>235</v>
      </c>
      <c r="AM31" s="138" t="s">
        <v>236</v>
      </c>
      <c r="AN31" s="138" t="s">
        <v>237</v>
      </c>
      <c r="AO31" s="138" t="s">
        <v>238</v>
      </c>
      <c r="AP31" s="138" t="s">
        <v>239</v>
      </c>
    </row>
    <row r="32" spans="1:42" ht="18" customHeight="1" x14ac:dyDescent="0.15">
      <c r="A32" s="119"/>
      <c r="B32" s="12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1"/>
      <c r="AI32" s="140"/>
      <c r="AJ32" s="140"/>
      <c r="AK32" s="140"/>
      <c r="AL32" s="140"/>
      <c r="AM32" s="140"/>
      <c r="AN32" s="140"/>
      <c r="AO32" s="140"/>
      <c r="AP32" s="140"/>
    </row>
    <row r="33" spans="1:42" s="143" customFormat="1" ht="18" customHeight="1" x14ac:dyDescent="0.15">
      <c r="A33" s="122" t="s">
        <v>586</v>
      </c>
      <c r="B33" s="1" t="s">
        <v>332</v>
      </c>
      <c r="C33" s="142">
        <v>3113.22</v>
      </c>
      <c r="D33" s="142">
        <v>360.91</v>
      </c>
      <c r="E33" s="142">
        <v>1780.12</v>
      </c>
      <c r="F33" s="142">
        <v>867.6</v>
      </c>
      <c r="G33" s="142">
        <v>1213.75</v>
      </c>
      <c r="H33" s="142">
        <v>35.44</v>
      </c>
      <c r="I33" s="142">
        <v>42.52</v>
      </c>
      <c r="J33" s="142">
        <v>330.31</v>
      </c>
      <c r="K33" s="142">
        <v>98.73</v>
      </c>
      <c r="L33" s="142">
        <v>122</v>
      </c>
      <c r="M33" s="142">
        <v>1152.6300000000001</v>
      </c>
      <c r="N33" s="142">
        <v>0</v>
      </c>
      <c r="O33" s="142">
        <v>3037.48</v>
      </c>
      <c r="P33" s="142">
        <v>356.93</v>
      </c>
      <c r="Q33" s="142">
        <v>0</v>
      </c>
      <c r="R33" s="142">
        <v>194.63</v>
      </c>
      <c r="S33" s="142">
        <v>98.98</v>
      </c>
      <c r="T33" s="142">
        <v>20.52</v>
      </c>
      <c r="U33" s="142">
        <v>442.48</v>
      </c>
      <c r="V33" s="142">
        <v>0.56000000000000005</v>
      </c>
      <c r="W33" s="119">
        <v>126.85</v>
      </c>
      <c r="X33" s="140">
        <v>0</v>
      </c>
      <c r="Y33" s="140">
        <v>17.62</v>
      </c>
      <c r="Z33" s="140">
        <v>347.72</v>
      </c>
      <c r="AA33" s="140">
        <v>0</v>
      </c>
      <c r="AB33" s="140">
        <v>392.09</v>
      </c>
      <c r="AC33" s="140">
        <v>81.650000000000006</v>
      </c>
      <c r="AD33" s="140">
        <v>3285.71</v>
      </c>
      <c r="AE33" s="140">
        <v>69.290000000000006</v>
      </c>
      <c r="AF33" s="140">
        <v>147.25</v>
      </c>
      <c r="AG33" s="140">
        <v>100.31</v>
      </c>
      <c r="AH33" s="140">
        <v>80.010000000000005</v>
      </c>
      <c r="AI33" s="140">
        <v>91.44</v>
      </c>
      <c r="AJ33" s="140">
        <v>430.79</v>
      </c>
      <c r="AK33" s="140">
        <v>84.27</v>
      </c>
      <c r="AL33" s="140">
        <v>456.89</v>
      </c>
      <c r="AM33" s="140">
        <v>38.57</v>
      </c>
      <c r="AN33" s="140">
        <v>115.28</v>
      </c>
      <c r="AO33" s="140">
        <v>0</v>
      </c>
      <c r="AP33" s="140">
        <v>683.85</v>
      </c>
    </row>
    <row r="34" spans="1:42" s="145" customFormat="1" ht="18" customHeight="1" x14ac:dyDescent="0.15">
      <c r="A34" s="124" t="s">
        <v>587</v>
      </c>
      <c r="B34" s="125" t="s">
        <v>333</v>
      </c>
      <c r="C34" s="144">
        <v>2476.39</v>
      </c>
      <c r="D34" s="144">
        <v>246.47</v>
      </c>
      <c r="E34" s="144">
        <v>1368.26</v>
      </c>
      <c r="F34" s="144">
        <v>644.42999999999995</v>
      </c>
      <c r="G34" s="144">
        <v>1030.44</v>
      </c>
      <c r="H34" s="144">
        <v>0</v>
      </c>
      <c r="I34" s="144">
        <v>28.48</v>
      </c>
      <c r="J34" s="144">
        <v>183.51</v>
      </c>
      <c r="K34" s="144">
        <v>31.85</v>
      </c>
      <c r="L34" s="144">
        <v>0</v>
      </c>
      <c r="M34" s="144">
        <v>521.04999999999995</v>
      </c>
      <c r="N34" s="144">
        <v>0</v>
      </c>
      <c r="O34" s="144">
        <v>2348.48</v>
      </c>
      <c r="P34" s="144">
        <v>285.29000000000002</v>
      </c>
      <c r="Q34" s="144">
        <v>0</v>
      </c>
      <c r="R34" s="144">
        <v>69.16</v>
      </c>
      <c r="S34" s="144">
        <v>104.23</v>
      </c>
      <c r="T34" s="144">
        <v>23.26</v>
      </c>
      <c r="U34" s="144">
        <v>311.31</v>
      </c>
      <c r="V34" s="144">
        <v>0</v>
      </c>
      <c r="W34" s="124">
        <v>93.83</v>
      </c>
      <c r="X34" s="144">
        <v>0</v>
      </c>
      <c r="Y34" s="144">
        <v>13.18</v>
      </c>
      <c r="Z34" s="144">
        <v>248.41</v>
      </c>
      <c r="AA34" s="144">
        <v>0</v>
      </c>
      <c r="AB34" s="144">
        <v>185.27</v>
      </c>
      <c r="AC34" s="144">
        <v>22.68</v>
      </c>
      <c r="AD34" s="144">
        <v>2235.4499999999998</v>
      </c>
      <c r="AE34" s="144">
        <v>25.22</v>
      </c>
      <c r="AF34" s="144">
        <v>0</v>
      </c>
      <c r="AG34" s="144">
        <v>278.12</v>
      </c>
      <c r="AH34" s="144">
        <v>0</v>
      </c>
      <c r="AI34" s="144">
        <v>225.15</v>
      </c>
      <c r="AJ34" s="144">
        <v>213.02</v>
      </c>
      <c r="AK34" s="144">
        <v>38.04</v>
      </c>
      <c r="AL34" s="144">
        <v>104.58</v>
      </c>
      <c r="AM34" s="144">
        <v>20.53</v>
      </c>
      <c r="AN34" s="144">
        <v>27.54</v>
      </c>
      <c r="AO34" s="144">
        <v>0</v>
      </c>
      <c r="AP34" s="144">
        <v>209.71</v>
      </c>
    </row>
    <row r="35" spans="1:42" s="145" customFormat="1" ht="18" customHeight="1" x14ac:dyDescent="0.15">
      <c r="A35" s="124" t="s">
        <v>588</v>
      </c>
      <c r="B35" s="125" t="s">
        <v>334</v>
      </c>
      <c r="C35" s="144">
        <v>1405.41</v>
      </c>
      <c r="D35" s="144">
        <v>214.17</v>
      </c>
      <c r="E35" s="144">
        <v>604.92999999999995</v>
      </c>
      <c r="F35" s="144">
        <v>333.38</v>
      </c>
      <c r="G35" s="144">
        <v>633.07000000000005</v>
      </c>
      <c r="H35" s="144">
        <v>11.63</v>
      </c>
      <c r="I35" s="144">
        <v>15.59</v>
      </c>
      <c r="J35" s="144">
        <v>82.57</v>
      </c>
      <c r="K35" s="144">
        <v>33.92</v>
      </c>
      <c r="L35" s="144">
        <v>27.29</v>
      </c>
      <c r="M35" s="144">
        <v>322.79000000000002</v>
      </c>
      <c r="N35" s="144">
        <v>0</v>
      </c>
      <c r="O35" s="144">
        <v>1200.47</v>
      </c>
      <c r="P35" s="144">
        <v>93.72</v>
      </c>
      <c r="Q35" s="144">
        <v>0</v>
      </c>
      <c r="R35" s="144">
        <v>290.75</v>
      </c>
      <c r="S35" s="144">
        <v>0.45</v>
      </c>
      <c r="T35" s="144">
        <v>2.87</v>
      </c>
      <c r="U35" s="144">
        <v>158.37</v>
      </c>
      <c r="V35" s="144">
        <v>0.56000000000000005</v>
      </c>
      <c r="W35" s="124">
        <v>54</v>
      </c>
      <c r="X35" s="144">
        <v>0</v>
      </c>
      <c r="Y35" s="144">
        <v>11.03</v>
      </c>
      <c r="Z35" s="144">
        <v>127.52</v>
      </c>
      <c r="AA35" s="144">
        <v>0</v>
      </c>
      <c r="AB35" s="144">
        <v>126.2</v>
      </c>
      <c r="AC35" s="144">
        <v>4.54</v>
      </c>
      <c r="AD35" s="144">
        <v>1867.01</v>
      </c>
      <c r="AE35" s="144">
        <v>50.4</v>
      </c>
      <c r="AF35" s="144">
        <v>63.55</v>
      </c>
      <c r="AG35" s="144">
        <v>103.82000000000001</v>
      </c>
      <c r="AH35" s="144">
        <v>13.14</v>
      </c>
      <c r="AI35" s="144">
        <v>22.86</v>
      </c>
      <c r="AJ35" s="144">
        <v>25.59</v>
      </c>
      <c r="AK35" s="144">
        <v>14.88</v>
      </c>
      <c r="AL35" s="144">
        <v>69.849999999999994</v>
      </c>
      <c r="AM35" s="144">
        <v>4.91</v>
      </c>
      <c r="AN35" s="144">
        <v>29.94</v>
      </c>
      <c r="AO35" s="144">
        <v>23.43</v>
      </c>
      <c r="AP35" s="144">
        <v>34.19</v>
      </c>
    </row>
    <row r="36" spans="1:42" s="145" customFormat="1" ht="18" customHeight="1" x14ac:dyDescent="0.15">
      <c r="A36" s="124" t="s">
        <v>589</v>
      </c>
      <c r="B36" s="125" t="s">
        <v>335</v>
      </c>
      <c r="C36" s="144">
        <v>1698.94</v>
      </c>
      <c r="D36" s="144">
        <v>229.55</v>
      </c>
      <c r="E36" s="144">
        <v>864.99</v>
      </c>
      <c r="F36" s="144">
        <v>421.2</v>
      </c>
      <c r="G36" s="144">
        <v>801.47</v>
      </c>
      <c r="H36" s="144">
        <v>12.77</v>
      </c>
      <c r="I36" s="144">
        <v>28.32</v>
      </c>
      <c r="J36" s="144">
        <v>100.95</v>
      </c>
      <c r="K36" s="144">
        <v>49.4</v>
      </c>
      <c r="L36" s="144">
        <v>58.85</v>
      </c>
      <c r="M36" s="144">
        <v>502.93</v>
      </c>
      <c r="N36" s="144">
        <v>0</v>
      </c>
      <c r="O36" s="144">
        <v>1795.49</v>
      </c>
      <c r="P36" s="144">
        <v>158.04</v>
      </c>
      <c r="Q36" s="144">
        <v>0</v>
      </c>
      <c r="R36" s="144">
        <v>120.87</v>
      </c>
      <c r="S36" s="144">
        <v>53.55</v>
      </c>
      <c r="T36" s="144">
        <v>23.57</v>
      </c>
      <c r="U36" s="144">
        <v>245.56</v>
      </c>
      <c r="V36" s="144">
        <v>0.56999999999999995</v>
      </c>
      <c r="W36" s="124">
        <v>62.25</v>
      </c>
      <c r="X36" s="144">
        <v>0</v>
      </c>
      <c r="Y36" s="144">
        <v>11.14</v>
      </c>
      <c r="Z36" s="144">
        <v>157.31</v>
      </c>
      <c r="AA36" s="144">
        <v>0</v>
      </c>
      <c r="AB36" s="144">
        <v>237.58</v>
      </c>
      <c r="AC36" s="144">
        <v>90.72</v>
      </c>
      <c r="AD36" s="144">
        <v>1845.02</v>
      </c>
      <c r="AE36" s="144">
        <v>18.91</v>
      </c>
      <c r="AF36" s="144">
        <v>77.5</v>
      </c>
      <c r="AG36" s="144">
        <v>62.690000000000005</v>
      </c>
      <c r="AH36" s="144">
        <v>17.149999999999999</v>
      </c>
      <c r="AI36" s="144">
        <v>68.58</v>
      </c>
      <c r="AJ36" s="144">
        <v>151.41</v>
      </c>
      <c r="AK36" s="144">
        <v>25.91</v>
      </c>
      <c r="AL36" s="144">
        <v>33.950000000000003</v>
      </c>
      <c r="AM36" s="144">
        <v>3.28</v>
      </c>
      <c r="AN36" s="144">
        <v>29.95</v>
      </c>
      <c r="AO36" s="144">
        <v>54.06</v>
      </c>
      <c r="AP36" s="144">
        <v>299.18</v>
      </c>
    </row>
    <row r="37" spans="1:42" s="145" customFormat="1" ht="18" customHeight="1" x14ac:dyDescent="0.15">
      <c r="A37" s="124" t="s">
        <v>595</v>
      </c>
      <c r="B37" s="125" t="s">
        <v>591</v>
      </c>
      <c r="C37" s="144">
        <v>2831.71</v>
      </c>
      <c r="D37" s="144">
        <v>111.23</v>
      </c>
      <c r="E37" s="144">
        <v>1864.82</v>
      </c>
      <c r="F37" s="144">
        <v>655.29</v>
      </c>
      <c r="G37" s="144">
        <v>1383.18</v>
      </c>
      <c r="H37" s="144">
        <v>22.66</v>
      </c>
      <c r="I37" s="144">
        <v>33.32</v>
      </c>
      <c r="J37" s="144">
        <v>330.27</v>
      </c>
      <c r="K37" s="144">
        <v>83.05</v>
      </c>
      <c r="L37" s="144">
        <v>100.53</v>
      </c>
      <c r="M37" s="144">
        <v>1240.58</v>
      </c>
      <c r="N37" s="144">
        <v>0</v>
      </c>
      <c r="O37" s="144">
        <v>3398.07</v>
      </c>
      <c r="P37" s="144">
        <v>140.34</v>
      </c>
      <c r="Q37" s="144">
        <v>0</v>
      </c>
      <c r="R37" s="144">
        <v>138.94</v>
      </c>
      <c r="S37" s="144">
        <v>132.28</v>
      </c>
      <c r="T37" s="144">
        <v>22.95</v>
      </c>
      <c r="U37" s="144">
        <v>429.68</v>
      </c>
      <c r="V37" s="144">
        <v>8.1199999999999992</v>
      </c>
      <c r="W37" s="124">
        <v>130.55000000000001</v>
      </c>
      <c r="X37" s="144">
        <v>0</v>
      </c>
      <c r="Y37" s="144">
        <v>6.07</v>
      </c>
      <c r="Z37" s="144">
        <v>316.63</v>
      </c>
      <c r="AA37" s="144">
        <v>0</v>
      </c>
      <c r="AB37" s="144">
        <v>235.04</v>
      </c>
      <c r="AC37" s="144">
        <v>110.59</v>
      </c>
      <c r="AD37" s="144">
        <v>2937.78</v>
      </c>
      <c r="AE37" s="144">
        <v>37.81</v>
      </c>
      <c r="AF37" s="144">
        <v>193.75</v>
      </c>
      <c r="AG37" s="144">
        <v>48.820000000000007</v>
      </c>
      <c r="AH37" s="144">
        <v>0</v>
      </c>
      <c r="AI37" s="144">
        <v>204.1</v>
      </c>
      <c r="AJ37" s="144">
        <v>0.01</v>
      </c>
      <c r="AK37" s="144">
        <v>119.12</v>
      </c>
      <c r="AL37" s="144">
        <v>0</v>
      </c>
      <c r="AM37" s="144">
        <v>25.36</v>
      </c>
      <c r="AN37" s="144">
        <v>98.2</v>
      </c>
      <c r="AO37" s="144">
        <v>31.72</v>
      </c>
      <c r="AP37" s="144">
        <v>814.7</v>
      </c>
    </row>
    <row r="38" spans="1:42" s="145" customFormat="1" ht="18" customHeight="1" x14ac:dyDescent="0.15">
      <c r="A38" s="124" t="s">
        <v>596</v>
      </c>
      <c r="B38" s="125" t="s">
        <v>592</v>
      </c>
      <c r="C38" s="144">
        <v>1816.57</v>
      </c>
      <c r="D38" s="144">
        <v>140.78</v>
      </c>
      <c r="E38" s="144">
        <v>1285.9100000000001</v>
      </c>
      <c r="F38" s="144">
        <v>445.05</v>
      </c>
      <c r="G38" s="144">
        <v>705.31</v>
      </c>
      <c r="H38" s="144">
        <v>15.99</v>
      </c>
      <c r="I38" s="144">
        <v>23.95</v>
      </c>
      <c r="J38" s="144">
        <v>175.62</v>
      </c>
      <c r="K38" s="144">
        <v>46.35</v>
      </c>
      <c r="L38" s="144">
        <v>64.09</v>
      </c>
      <c r="M38" s="144">
        <v>576.39</v>
      </c>
      <c r="N38" s="144">
        <v>17.41</v>
      </c>
      <c r="O38" s="144">
        <v>1762.49</v>
      </c>
      <c r="P38" s="144">
        <v>253.17</v>
      </c>
      <c r="Q38" s="144">
        <v>0</v>
      </c>
      <c r="R38" s="144">
        <v>63.07</v>
      </c>
      <c r="S38" s="144">
        <v>73.69</v>
      </c>
      <c r="T38" s="144">
        <v>13.23</v>
      </c>
      <c r="U38" s="144">
        <v>263.95999999999998</v>
      </c>
      <c r="V38" s="144">
        <v>1.77</v>
      </c>
      <c r="W38" s="124">
        <v>67.010000000000005</v>
      </c>
      <c r="X38" s="144">
        <v>0</v>
      </c>
      <c r="Y38" s="144">
        <v>7.73</v>
      </c>
      <c r="Z38" s="144">
        <v>144.63999999999999</v>
      </c>
      <c r="AA38" s="144">
        <v>0</v>
      </c>
      <c r="AB38" s="144">
        <v>143.35</v>
      </c>
      <c r="AC38" s="144">
        <v>17.420000000000002</v>
      </c>
      <c r="AD38" s="144">
        <v>2351.41</v>
      </c>
      <c r="AE38" s="144">
        <v>23.69</v>
      </c>
      <c r="AF38" s="144">
        <v>79.05</v>
      </c>
      <c r="AG38" s="144">
        <v>225.01</v>
      </c>
      <c r="AH38" s="144">
        <v>2.5099999999999998</v>
      </c>
      <c r="AI38" s="144">
        <v>148.44999999999999</v>
      </c>
      <c r="AJ38" s="144">
        <v>246.09</v>
      </c>
      <c r="AK38" s="144">
        <v>35.17</v>
      </c>
      <c r="AL38" s="144">
        <v>9.44</v>
      </c>
      <c r="AM38" s="144">
        <v>3.11</v>
      </c>
      <c r="AN38" s="144">
        <v>28.75</v>
      </c>
      <c r="AO38" s="144">
        <v>15.14</v>
      </c>
      <c r="AP38" s="144">
        <v>179.63</v>
      </c>
    </row>
    <row r="39" spans="1:42" s="145" customFormat="1" ht="18" customHeight="1" x14ac:dyDescent="0.15">
      <c r="A39" s="124" t="s">
        <v>597</v>
      </c>
      <c r="B39" s="125" t="s">
        <v>593</v>
      </c>
      <c r="C39" s="144">
        <v>2957</v>
      </c>
      <c r="D39" s="144">
        <v>224.85</v>
      </c>
      <c r="E39" s="144">
        <v>1852.08</v>
      </c>
      <c r="F39" s="144">
        <v>363.62</v>
      </c>
      <c r="G39" s="144">
        <v>1385.38</v>
      </c>
      <c r="H39" s="144">
        <v>30.7</v>
      </c>
      <c r="I39" s="144">
        <v>43.92</v>
      </c>
      <c r="J39" s="144">
        <v>224.83</v>
      </c>
      <c r="K39" s="144">
        <v>46.34</v>
      </c>
      <c r="L39" s="144">
        <v>113.55</v>
      </c>
      <c r="M39" s="144">
        <v>972.15</v>
      </c>
      <c r="N39" s="144">
        <v>34.020000000000003</v>
      </c>
      <c r="O39" s="144">
        <v>3099.24</v>
      </c>
      <c r="P39" s="144">
        <v>259.20999999999998</v>
      </c>
      <c r="Q39" s="144">
        <v>0</v>
      </c>
      <c r="R39" s="144">
        <v>130.78</v>
      </c>
      <c r="S39" s="144">
        <v>76.53</v>
      </c>
      <c r="T39" s="144">
        <v>8.2899999999999991</v>
      </c>
      <c r="U39" s="144">
        <v>435.22</v>
      </c>
      <c r="V39" s="144">
        <v>7.72</v>
      </c>
      <c r="W39" s="124">
        <v>124.82</v>
      </c>
      <c r="X39" s="144">
        <v>0</v>
      </c>
      <c r="Y39" s="144">
        <v>8.8000000000000007</v>
      </c>
      <c r="Z39" s="144">
        <v>405.68</v>
      </c>
      <c r="AA39" s="144">
        <v>0</v>
      </c>
      <c r="AB39" s="144">
        <v>39.880000000000003</v>
      </c>
      <c r="AC39" s="144">
        <v>81.650000000000006</v>
      </c>
      <c r="AD39" s="144">
        <v>2957.88</v>
      </c>
      <c r="AE39" s="144">
        <v>41.97</v>
      </c>
      <c r="AF39" s="144">
        <v>75.95</v>
      </c>
      <c r="AG39" s="144">
        <v>91.4</v>
      </c>
      <c r="AH39" s="144">
        <v>17.149999999999999</v>
      </c>
      <c r="AI39" s="144">
        <v>415.71999999999997</v>
      </c>
      <c r="AJ39" s="144">
        <v>751.66</v>
      </c>
      <c r="AK39" s="144">
        <v>93.12</v>
      </c>
      <c r="AL39" s="144">
        <v>50.96</v>
      </c>
      <c r="AM39" s="144">
        <v>21.36</v>
      </c>
      <c r="AN39" s="144">
        <v>65.849999999999994</v>
      </c>
      <c r="AO39" s="144">
        <v>7.21</v>
      </c>
      <c r="AP39" s="144">
        <v>419.6</v>
      </c>
    </row>
    <row r="40" spans="1:42" s="145" customFormat="1" ht="18" customHeight="1" x14ac:dyDescent="0.15">
      <c r="A40" s="124" t="s">
        <v>598</v>
      </c>
      <c r="B40" s="125" t="s">
        <v>594</v>
      </c>
      <c r="C40" s="144">
        <v>2105.1799999999998</v>
      </c>
      <c r="D40" s="144">
        <v>248.5</v>
      </c>
      <c r="E40" s="144">
        <v>1276.8</v>
      </c>
      <c r="F40" s="144">
        <v>540.02</v>
      </c>
      <c r="G40" s="144">
        <v>1190.76</v>
      </c>
      <c r="H40" s="144">
        <v>28.35</v>
      </c>
      <c r="I40" s="144">
        <v>14.2</v>
      </c>
      <c r="J40" s="144">
        <v>110.13</v>
      </c>
      <c r="K40" s="144">
        <v>65.8</v>
      </c>
      <c r="L40" s="144">
        <v>75.81</v>
      </c>
      <c r="M40" s="144">
        <v>823.38</v>
      </c>
      <c r="N40" s="144">
        <v>0</v>
      </c>
      <c r="O40" s="144">
        <v>2016.54</v>
      </c>
      <c r="P40" s="144">
        <v>287.82</v>
      </c>
      <c r="Q40" s="144">
        <v>0</v>
      </c>
      <c r="R40" s="144">
        <v>244.82</v>
      </c>
      <c r="S40" s="144">
        <v>75.930000000000007</v>
      </c>
      <c r="T40" s="144">
        <v>23.59</v>
      </c>
      <c r="U40" s="144">
        <v>288.87</v>
      </c>
      <c r="V40" s="144">
        <v>0.67</v>
      </c>
      <c r="W40" s="124">
        <v>87.83</v>
      </c>
      <c r="X40" s="144">
        <v>0</v>
      </c>
      <c r="Y40" s="144">
        <v>13.11</v>
      </c>
      <c r="Z40" s="144">
        <v>260.58999999999997</v>
      </c>
      <c r="AA40" s="144">
        <v>0</v>
      </c>
      <c r="AB40" s="144">
        <v>163.69999999999999</v>
      </c>
      <c r="AC40" s="144">
        <v>22.68</v>
      </c>
      <c r="AD40" s="144">
        <v>2337.4699999999998</v>
      </c>
      <c r="AE40" s="144">
        <v>34.65</v>
      </c>
      <c r="AF40" s="144">
        <v>108.5</v>
      </c>
      <c r="AG40" s="144">
        <v>152.19</v>
      </c>
      <c r="AH40" s="144">
        <v>34.57</v>
      </c>
      <c r="AI40" s="144">
        <v>45.76</v>
      </c>
      <c r="AJ40" s="144">
        <v>123.1</v>
      </c>
      <c r="AK40" s="144">
        <v>26.45</v>
      </c>
      <c r="AL40" s="144">
        <v>144.12</v>
      </c>
      <c r="AM40" s="144">
        <v>7.23</v>
      </c>
      <c r="AN40" s="144">
        <v>26.94</v>
      </c>
      <c r="AO40" s="144">
        <v>14.78</v>
      </c>
      <c r="AP40" s="144">
        <v>120.77</v>
      </c>
    </row>
    <row r="41" spans="1:42" s="145" customFormat="1" ht="18" customHeight="1" x14ac:dyDescent="0.15">
      <c r="A41" s="124" t="s">
        <v>636</v>
      </c>
      <c r="B41" s="125" t="s">
        <v>637</v>
      </c>
      <c r="C41" s="144">
        <v>1195.8699999999999</v>
      </c>
      <c r="D41" s="144">
        <v>73.36</v>
      </c>
      <c r="E41" s="144">
        <v>612</v>
      </c>
      <c r="F41" s="144">
        <v>322.52999999999997</v>
      </c>
      <c r="G41" s="144">
        <v>480.94</v>
      </c>
      <c r="H41" s="144">
        <v>11.33</v>
      </c>
      <c r="I41" s="144">
        <v>14.18</v>
      </c>
      <c r="J41" s="144">
        <v>118.14</v>
      </c>
      <c r="K41" s="144">
        <v>25.07</v>
      </c>
      <c r="L41" s="144">
        <v>48.3</v>
      </c>
      <c r="M41" s="144">
        <v>368.7</v>
      </c>
      <c r="N41" s="144">
        <v>0</v>
      </c>
      <c r="O41" s="144">
        <v>1130.77</v>
      </c>
      <c r="P41" s="144">
        <v>106.24</v>
      </c>
      <c r="Q41" s="144">
        <v>0</v>
      </c>
      <c r="R41" s="144">
        <v>57.92</v>
      </c>
      <c r="S41" s="144">
        <v>41.22</v>
      </c>
      <c r="T41" s="144">
        <v>4.0999999999999996</v>
      </c>
      <c r="U41" s="144">
        <v>159.31</v>
      </c>
      <c r="V41" s="144">
        <v>0.12</v>
      </c>
      <c r="W41" s="124">
        <v>42.03</v>
      </c>
      <c r="X41" s="144">
        <v>0</v>
      </c>
      <c r="Y41" s="144">
        <v>3.83</v>
      </c>
      <c r="Z41" s="144">
        <v>128.29</v>
      </c>
      <c r="AA41" s="144">
        <v>0</v>
      </c>
      <c r="AB41" s="144">
        <v>7.48</v>
      </c>
      <c r="AC41" s="144">
        <v>0</v>
      </c>
      <c r="AD41" s="144">
        <v>1202.3900000000001</v>
      </c>
      <c r="AE41" s="144">
        <v>17.64</v>
      </c>
      <c r="AF41" s="144">
        <v>31</v>
      </c>
      <c r="AG41" s="144">
        <v>0</v>
      </c>
      <c r="AH41" s="144">
        <v>0</v>
      </c>
      <c r="AI41" s="144">
        <v>120.44</v>
      </c>
      <c r="AJ41" s="144">
        <v>209.44</v>
      </c>
      <c r="AK41" s="144">
        <v>20.440000000000001</v>
      </c>
      <c r="AL41" s="144">
        <v>21.9</v>
      </c>
      <c r="AM41" s="144">
        <v>14.53</v>
      </c>
      <c r="AN41" s="144">
        <v>23.97</v>
      </c>
      <c r="AO41" s="144">
        <v>0</v>
      </c>
      <c r="AP41" s="144">
        <v>0</v>
      </c>
    </row>
    <row r="42" spans="1:42" s="145" customFormat="1" ht="18" customHeight="1" x14ac:dyDescent="0.15">
      <c r="A42" s="124" t="s">
        <v>638</v>
      </c>
      <c r="B42" s="125" t="s">
        <v>639</v>
      </c>
      <c r="C42" s="144">
        <v>1878.74</v>
      </c>
      <c r="D42" s="144">
        <v>455.59</v>
      </c>
      <c r="E42" s="144">
        <v>1096.8</v>
      </c>
      <c r="F42" s="144">
        <v>720</v>
      </c>
      <c r="G42" s="144">
        <v>1099.17</v>
      </c>
      <c r="H42" s="144">
        <v>14.67</v>
      </c>
      <c r="I42" s="144">
        <v>22</v>
      </c>
      <c r="J42" s="144">
        <v>201.87</v>
      </c>
      <c r="K42" s="144">
        <v>65.75</v>
      </c>
      <c r="L42" s="144">
        <v>51.03</v>
      </c>
      <c r="M42" s="144">
        <v>810.92</v>
      </c>
      <c r="N42" s="144">
        <v>0</v>
      </c>
      <c r="O42" s="144">
        <v>2092.7199999999998</v>
      </c>
      <c r="P42" s="144">
        <v>170</v>
      </c>
      <c r="Q42" s="144">
        <v>0</v>
      </c>
      <c r="R42" s="144">
        <v>132.05000000000001</v>
      </c>
      <c r="S42" s="144">
        <v>83.26</v>
      </c>
      <c r="T42" s="144">
        <v>5.84</v>
      </c>
      <c r="U42" s="144">
        <v>249.13</v>
      </c>
      <c r="V42" s="144">
        <v>0</v>
      </c>
      <c r="W42" s="124">
        <v>88.78</v>
      </c>
      <c r="X42" s="144">
        <v>0</v>
      </c>
      <c r="Y42" s="144">
        <v>24.21</v>
      </c>
      <c r="Z42" s="144">
        <v>309.62</v>
      </c>
      <c r="AA42" s="144">
        <v>0</v>
      </c>
      <c r="AB42" s="144">
        <v>86.33</v>
      </c>
      <c r="AC42" s="144">
        <v>31.75</v>
      </c>
      <c r="AD42" s="144">
        <v>2792.74</v>
      </c>
      <c r="AE42" s="144">
        <v>37.79</v>
      </c>
      <c r="AF42" s="144">
        <v>113.15</v>
      </c>
      <c r="AG42" s="144">
        <v>97.2</v>
      </c>
      <c r="AH42" s="144">
        <v>20</v>
      </c>
      <c r="AI42" s="144">
        <v>91.44</v>
      </c>
      <c r="AJ42" s="144">
        <v>103.8</v>
      </c>
      <c r="AK42" s="144">
        <v>54.28</v>
      </c>
      <c r="AL42" s="144">
        <v>0</v>
      </c>
      <c r="AM42" s="144">
        <v>0</v>
      </c>
      <c r="AN42" s="144">
        <v>77.69</v>
      </c>
      <c r="AO42" s="144">
        <v>0</v>
      </c>
      <c r="AP42" s="144">
        <v>381.82</v>
      </c>
    </row>
    <row r="43" spans="1:42" s="145" customFormat="1" ht="18" customHeight="1" x14ac:dyDescent="0.15">
      <c r="A43" s="124" t="s">
        <v>640</v>
      </c>
      <c r="B43" s="125" t="s">
        <v>641</v>
      </c>
      <c r="C43" s="144">
        <v>1430.09</v>
      </c>
      <c r="D43" s="144">
        <v>183.45</v>
      </c>
      <c r="E43" s="144">
        <v>820.25</v>
      </c>
      <c r="F43" s="144">
        <v>381.6</v>
      </c>
      <c r="G43" s="144">
        <v>792.31</v>
      </c>
      <c r="H43" s="144">
        <v>32.6</v>
      </c>
      <c r="I43" s="144">
        <v>36.85</v>
      </c>
      <c r="J43" s="144">
        <v>110.08</v>
      </c>
      <c r="K43" s="144">
        <v>62.31</v>
      </c>
      <c r="L43" s="144">
        <v>46.4</v>
      </c>
      <c r="M43" s="144">
        <v>294.42</v>
      </c>
      <c r="N43" s="144">
        <v>15.65</v>
      </c>
      <c r="O43" s="144">
        <v>1578.12</v>
      </c>
      <c r="P43" s="144">
        <v>221.67</v>
      </c>
      <c r="Q43" s="144">
        <v>0</v>
      </c>
      <c r="R43" s="144">
        <v>88.43</v>
      </c>
      <c r="S43" s="144">
        <v>45.32</v>
      </c>
      <c r="T43" s="144">
        <v>5.12</v>
      </c>
      <c r="U43" s="144">
        <v>183.61</v>
      </c>
      <c r="V43" s="144">
        <v>0</v>
      </c>
      <c r="W43" s="124">
        <v>64.5</v>
      </c>
      <c r="X43" s="144">
        <v>0</v>
      </c>
      <c r="Y43" s="144">
        <v>10.98</v>
      </c>
      <c r="Z43" s="144">
        <v>141.55000000000001</v>
      </c>
      <c r="AA43" s="144">
        <v>0</v>
      </c>
      <c r="AB43" s="144">
        <v>130.24</v>
      </c>
      <c r="AC43" s="144">
        <v>45.36</v>
      </c>
      <c r="AD43" s="144">
        <v>2337.52</v>
      </c>
      <c r="AE43" s="144">
        <v>17.63</v>
      </c>
      <c r="AF43" s="144">
        <v>108.5</v>
      </c>
      <c r="AG43" s="144">
        <v>259.01</v>
      </c>
      <c r="AH43" s="144">
        <v>0</v>
      </c>
      <c r="AI43" s="144">
        <v>187.51</v>
      </c>
      <c r="AJ43" s="144">
        <v>175.3</v>
      </c>
      <c r="AK43" s="144">
        <v>27.26</v>
      </c>
      <c r="AL43" s="144">
        <v>213.46</v>
      </c>
      <c r="AM43" s="144">
        <v>12.32</v>
      </c>
      <c r="AN43" s="144">
        <v>29.96</v>
      </c>
      <c r="AO43" s="144">
        <v>0</v>
      </c>
      <c r="AP43" s="144">
        <v>113.98</v>
      </c>
    </row>
    <row r="44" spans="1:42" s="145" customFormat="1" ht="18" customHeight="1" x14ac:dyDescent="0.15">
      <c r="A44" s="124" t="s">
        <v>642</v>
      </c>
      <c r="B44" s="125" t="s">
        <v>643</v>
      </c>
      <c r="C44" s="144">
        <v>1209.7</v>
      </c>
      <c r="D44" s="144">
        <v>136.63</v>
      </c>
      <c r="E44" s="144">
        <v>567.39</v>
      </c>
      <c r="F44" s="144">
        <v>360</v>
      </c>
      <c r="G44" s="144">
        <v>664.12</v>
      </c>
      <c r="H44" s="144">
        <v>7.42</v>
      </c>
      <c r="I44" s="144">
        <v>11.95</v>
      </c>
      <c r="J44" s="144">
        <v>77.400000000000006</v>
      </c>
      <c r="K44" s="144">
        <v>16.93</v>
      </c>
      <c r="L44" s="144">
        <v>38.700000000000003</v>
      </c>
      <c r="M44" s="144">
        <v>380.65</v>
      </c>
      <c r="N44" s="144">
        <v>0</v>
      </c>
      <c r="O44" s="144">
        <v>1095.1099999999999</v>
      </c>
      <c r="P44" s="144">
        <v>153.61000000000001</v>
      </c>
      <c r="Q44" s="144">
        <v>0</v>
      </c>
      <c r="R44" s="144">
        <v>74.53</v>
      </c>
      <c r="S44" s="144">
        <v>12.08</v>
      </c>
      <c r="T44" s="144">
        <v>7.14</v>
      </c>
      <c r="U44" s="144">
        <v>129.88</v>
      </c>
      <c r="V44" s="144">
        <v>0.89</v>
      </c>
      <c r="W44" s="124">
        <v>59.13</v>
      </c>
      <c r="X44" s="144">
        <v>0</v>
      </c>
      <c r="Y44" s="144">
        <v>6.36</v>
      </c>
      <c r="Z44" s="144">
        <v>139.94999999999999</v>
      </c>
      <c r="AA44" s="144">
        <v>0</v>
      </c>
      <c r="AB44" s="144">
        <v>149.03</v>
      </c>
      <c r="AC44" s="144">
        <v>29.89</v>
      </c>
      <c r="AD44" s="144">
        <v>2168.7600000000002</v>
      </c>
      <c r="AE44" s="144">
        <v>12.57</v>
      </c>
      <c r="AF44" s="144">
        <v>86.8</v>
      </c>
      <c r="AG44" s="144">
        <v>233.1</v>
      </c>
      <c r="AH44" s="144">
        <v>11.03</v>
      </c>
      <c r="AI44" s="144">
        <v>37.64</v>
      </c>
      <c r="AJ44" s="144">
        <v>105.95</v>
      </c>
      <c r="AK44" s="144">
        <v>11.46</v>
      </c>
      <c r="AL44" s="144">
        <v>23.81</v>
      </c>
      <c r="AM44" s="144">
        <v>10.25</v>
      </c>
      <c r="AN44" s="144">
        <v>24.3</v>
      </c>
      <c r="AO44" s="144">
        <v>21.99</v>
      </c>
      <c r="AP44" s="144">
        <v>63.6</v>
      </c>
    </row>
    <row r="45" spans="1:42" ht="18" hidden="1" customHeight="1" x14ac:dyDescent="0.15">
      <c r="A45" s="119"/>
      <c r="B45" s="2"/>
      <c r="C45" s="140">
        <v>24118.82</v>
      </c>
      <c r="D45" s="140">
        <v>2625.49</v>
      </c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19"/>
      <c r="Y45" s="140"/>
      <c r="Z45" s="140"/>
      <c r="AA45" s="119"/>
      <c r="AB45" s="140"/>
      <c r="AC45" s="140"/>
      <c r="AD45" s="140"/>
      <c r="AE45" s="140"/>
      <c r="AF45" s="140"/>
      <c r="AG45" s="140"/>
      <c r="AH45" s="141"/>
      <c r="AI45" s="140"/>
      <c r="AJ45" s="140"/>
      <c r="AK45" s="140"/>
      <c r="AL45" s="140"/>
      <c r="AM45" s="140"/>
      <c r="AN45" s="140"/>
      <c r="AO45" s="140"/>
      <c r="AP45" s="140"/>
    </row>
    <row r="46" spans="1:42" ht="18" hidden="1" customHeight="1" x14ac:dyDescent="0.15">
      <c r="A46" s="119"/>
      <c r="B46" s="2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19"/>
      <c r="Y46" s="140"/>
      <c r="Z46" s="140"/>
      <c r="AA46" s="119"/>
      <c r="AB46" s="140"/>
      <c r="AC46" s="140"/>
      <c r="AD46" s="140"/>
      <c r="AE46" s="140"/>
      <c r="AF46" s="140"/>
      <c r="AG46" s="140"/>
      <c r="AH46" s="141"/>
      <c r="AI46" s="140"/>
      <c r="AJ46" s="140"/>
      <c r="AK46" s="140"/>
      <c r="AL46" s="140"/>
      <c r="AM46" s="140"/>
      <c r="AN46" s="140"/>
      <c r="AO46" s="140"/>
      <c r="AP46" s="140"/>
    </row>
    <row r="47" spans="1:42" ht="18" hidden="1" customHeight="1" x14ac:dyDescent="0.15">
      <c r="A47" s="119"/>
      <c r="B47" s="2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19"/>
      <c r="Y47" s="140"/>
      <c r="Z47" s="140"/>
      <c r="AA47" s="119"/>
      <c r="AB47" s="140"/>
      <c r="AC47" s="140"/>
      <c r="AD47" s="140"/>
      <c r="AE47" s="140"/>
      <c r="AF47" s="140"/>
      <c r="AG47" s="140"/>
      <c r="AH47" s="141"/>
      <c r="AI47" s="140"/>
      <c r="AJ47" s="140"/>
      <c r="AK47" s="140"/>
      <c r="AL47" s="140"/>
      <c r="AM47" s="140"/>
      <c r="AN47" s="140"/>
      <c r="AO47" s="140"/>
      <c r="AP47" s="140"/>
    </row>
    <row r="48" spans="1:42" ht="18" hidden="1" customHeight="1" x14ac:dyDescent="0.15">
      <c r="A48" s="119"/>
      <c r="B48" s="2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19"/>
      <c r="Y48" s="140"/>
      <c r="Z48" s="140"/>
      <c r="AA48" s="119"/>
      <c r="AB48" s="140"/>
      <c r="AC48" s="140"/>
      <c r="AD48" s="140"/>
      <c r="AE48" s="140"/>
      <c r="AF48" s="140"/>
      <c r="AG48" s="140"/>
      <c r="AH48" s="141"/>
      <c r="AI48" s="140"/>
      <c r="AJ48" s="140"/>
      <c r="AK48" s="140"/>
      <c r="AL48" s="140"/>
      <c r="AM48" s="140"/>
      <c r="AN48" s="140"/>
      <c r="AO48" s="140"/>
      <c r="AP48" s="140"/>
    </row>
    <row r="49" spans="1:42" ht="18" hidden="1" customHeight="1" x14ac:dyDescent="0.15">
      <c r="A49" s="119"/>
      <c r="B49" s="2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19"/>
      <c r="Y49" s="140"/>
      <c r="Z49" s="140"/>
      <c r="AA49" s="119"/>
      <c r="AB49" s="140"/>
      <c r="AC49" s="140"/>
      <c r="AD49" s="140"/>
      <c r="AE49" s="140"/>
      <c r="AF49" s="140"/>
      <c r="AG49" s="140"/>
      <c r="AH49" s="141"/>
      <c r="AI49" s="140"/>
      <c r="AJ49" s="140"/>
      <c r="AK49" s="140"/>
      <c r="AL49" s="140"/>
      <c r="AM49" s="140"/>
      <c r="AN49" s="140"/>
      <c r="AO49" s="140"/>
      <c r="AP49" s="140"/>
    </row>
    <row r="50" spans="1:42" ht="18" hidden="1" customHeight="1" x14ac:dyDescent="0.15">
      <c r="A50" s="119"/>
      <c r="B50" s="2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19"/>
      <c r="Y50" s="140"/>
      <c r="Z50" s="140"/>
      <c r="AA50" s="119"/>
      <c r="AB50" s="140"/>
      <c r="AC50" s="140"/>
      <c r="AD50" s="140"/>
      <c r="AE50" s="140"/>
      <c r="AF50" s="140"/>
      <c r="AG50" s="140"/>
      <c r="AH50" s="141"/>
      <c r="AI50" s="140"/>
      <c r="AJ50" s="140"/>
      <c r="AK50" s="140"/>
      <c r="AL50" s="140"/>
      <c r="AM50" s="140"/>
      <c r="AN50" s="140"/>
      <c r="AO50" s="140"/>
      <c r="AP50" s="140"/>
    </row>
    <row r="51" spans="1:42" ht="18" hidden="1" customHeight="1" x14ac:dyDescent="0.15">
      <c r="A51" s="119"/>
      <c r="B51" s="2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47"/>
      <c r="T51" s="47"/>
      <c r="U51" s="50"/>
      <c r="V51" s="50"/>
      <c r="W51" s="50"/>
      <c r="X51" s="119"/>
      <c r="Y51" s="50"/>
      <c r="Z51" s="50"/>
      <c r="AA51" s="119"/>
      <c r="AB51" s="50"/>
      <c r="AC51" s="50"/>
      <c r="AD51" s="50"/>
      <c r="AE51" s="50"/>
      <c r="AF51" s="50"/>
      <c r="AG51" s="50"/>
      <c r="AH51" s="146"/>
      <c r="AI51" s="50"/>
      <c r="AJ51" s="50"/>
      <c r="AK51" s="140"/>
      <c r="AL51" s="50"/>
      <c r="AM51" s="140"/>
      <c r="AN51" s="140"/>
      <c r="AO51" s="140"/>
      <c r="AP51" s="140"/>
    </row>
    <row r="52" spans="1:42" ht="18" hidden="1" customHeight="1" x14ac:dyDescent="0.15">
      <c r="A52" s="119"/>
      <c r="B52" s="2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19"/>
      <c r="Y52" s="140"/>
      <c r="Z52" s="140"/>
      <c r="AA52" s="119"/>
      <c r="AB52" s="140"/>
      <c r="AC52" s="140"/>
      <c r="AD52" s="140"/>
      <c r="AE52" s="140"/>
      <c r="AF52" s="140"/>
      <c r="AG52" s="140"/>
      <c r="AH52" s="141"/>
      <c r="AI52" s="140"/>
      <c r="AJ52" s="140"/>
      <c r="AK52" s="140"/>
      <c r="AL52" s="140"/>
      <c r="AM52" s="140"/>
      <c r="AN52" s="140"/>
      <c r="AO52" s="140"/>
      <c r="AP52" s="140"/>
    </row>
    <row r="53" spans="1:42" ht="18" hidden="1" customHeight="1" x14ac:dyDescent="0.15">
      <c r="A53" s="119"/>
      <c r="B53" s="2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19"/>
      <c r="Y53" s="140"/>
      <c r="Z53" s="140"/>
      <c r="AA53" s="119"/>
      <c r="AB53" s="140"/>
      <c r="AC53" s="140"/>
      <c r="AD53" s="140"/>
      <c r="AE53" s="140"/>
      <c r="AF53" s="140"/>
      <c r="AG53" s="140"/>
      <c r="AH53" s="141"/>
      <c r="AI53" s="140"/>
      <c r="AJ53" s="140"/>
      <c r="AK53" s="140"/>
      <c r="AL53" s="140"/>
      <c r="AM53" s="140"/>
      <c r="AN53" s="140"/>
      <c r="AO53" s="140"/>
      <c r="AP53" s="140"/>
    </row>
    <row r="54" spans="1:42" ht="18" hidden="1" customHeight="1" x14ac:dyDescent="0.15">
      <c r="A54" s="119"/>
      <c r="B54" s="12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19"/>
      <c r="Y54" s="140"/>
      <c r="Z54" s="140"/>
      <c r="AA54" s="119"/>
      <c r="AB54" s="140"/>
      <c r="AC54" s="140"/>
      <c r="AD54" s="140"/>
      <c r="AE54" s="140"/>
      <c r="AF54" s="140"/>
      <c r="AG54" s="140"/>
      <c r="AH54" s="141"/>
      <c r="AI54" s="140"/>
      <c r="AJ54" s="140"/>
      <c r="AK54" s="140"/>
      <c r="AL54" s="140"/>
      <c r="AM54" s="140"/>
      <c r="AN54" s="140"/>
      <c r="AO54" s="140"/>
      <c r="AP54" s="140"/>
    </row>
    <row r="55" spans="1:42" ht="18" hidden="1" customHeight="1" x14ac:dyDescent="0.15">
      <c r="A55" s="119"/>
      <c r="B55" s="12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19"/>
      <c r="Y55" s="140"/>
      <c r="Z55" s="140"/>
      <c r="AA55" s="119"/>
      <c r="AB55" s="140"/>
      <c r="AC55" s="140"/>
      <c r="AD55" s="140"/>
      <c r="AE55" s="140"/>
      <c r="AF55" s="140"/>
      <c r="AG55" s="140"/>
      <c r="AH55" s="141"/>
      <c r="AI55" s="140"/>
      <c r="AJ55" s="140"/>
      <c r="AK55" s="140"/>
      <c r="AL55" s="140"/>
      <c r="AM55" s="140"/>
      <c r="AN55" s="140"/>
      <c r="AO55" s="140"/>
      <c r="AP55" s="140"/>
    </row>
    <row r="56" spans="1:42" ht="18" hidden="1" customHeight="1" x14ac:dyDescent="0.15">
      <c r="A56" s="119"/>
      <c r="B56" s="12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19"/>
      <c r="Y56" s="140"/>
      <c r="Z56" s="140"/>
      <c r="AA56" s="119"/>
      <c r="AB56" s="140"/>
      <c r="AC56" s="140"/>
      <c r="AD56" s="140"/>
      <c r="AE56" s="140"/>
      <c r="AF56" s="140"/>
      <c r="AG56" s="140"/>
      <c r="AH56" s="141"/>
      <c r="AI56" s="140"/>
      <c r="AJ56" s="140"/>
      <c r="AK56" s="140"/>
      <c r="AL56" s="140"/>
      <c r="AM56" s="140"/>
      <c r="AN56" s="140"/>
      <c r="AO56" s="140"/>
      <c r="AP56" s="140"/>
    </row>
    <row r="57" spans="1:42" ht="18" hidden="1" customHeight="1" x14ac:dyDescent="0.15">
      <c r="A57" s="119"/>
      <c r="B57" s="2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19"/>
      <c r="Y57" s="140"/>
      <c r="Z57" s="140"/>
      <c r="AA57" s="119"/>
      <c r="AB57" s="140"/>
      <c r="AC57" s="140"/>
      <c r="AD57" s="140"/>
      <c r="AE57" s="140"/>
      <c r="AF57" s="140"/>
      <c r="AG57" s="140"/>
      <c r="AH57" s="141"/>
      <c r="AI57" s="140"/>
      <c r="AJ57" s="140"/>
      <c r="AK57" s="140"/>
      <c r="AL57" s="140"/>
      <c r="AM57" s="140"/>
      <c r="AN57" s="140"/>
      <c r="AO57" s="140"/>
      <c r="AP57" s="140"/>
    </row>
    <row r="58" spans="1:42" ht="18" hidden="1" customHeight="1" x14ac:dyDescent="0.15">
      <c r="A58" s="119"/>
      <c r="B58" s="12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7"/>
      <c r="AJ58" s="147"/>
      <c r="AK58" s="147"/>
      <c r="AL58" s="147"/>
    </row>
    <row r="59" spans="1:42" ht="18" hidden="1" customHeight="1" x14ac:dyDescent="0.15">
      <c r="A59" s="127"/>
      <c r="B59" s="128"/>
      <c r="C59" s="148"/>
      <c r="D59" s="148"/>
      <c r="E59" s="148"/>
      <c r="F59" s="148"/>
      <c r="G59" s="148"/>
      <c r="H59" s="148"/>
      <c r="I59" s="149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</row>
    <row r="60" spans="1:42" s="132" customFormat="1" ht="18" customHeight="1" x14ac:dyDescent="0.15">
      <c r="A60" s="150"/>
      <c r="B60" s="150"/>
      <c r="C60" s="150"/>
      <c r="D60" s="150"/>
      <c r="E60" s="150"/>
      <c r="F60" s="150"/>
      <c r="G60" s="150"/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50"/>
      <c r="S60" s="151"/>
      <c r="T60" s="151"/>
      <c r="U60" s="150"/>
      <c r="V60" s="150"/>
      <c r="W60" s="150"/>
      <c r="X60" s="150"/>
      <c r="Y60" s="150"/>
      <c r="Z60" s="150"/>
      <c r="AA60" s="150"/>
      <c r="AB60" s="150"/>
      <c r="AC60" s="150"/>
      <c r="AD60" s="150"/>
      <c r="AE60" s="150"/>
      <c r="AF60" s="150"/>
      <c r="AG60" s="150"/>
      <c r="AH60" s="150"/>
      <c r="AI60" s="150"/>
      <c r="AJ60" s="150"/>
      <c r="AK60" s="150"/>
      <c r="AL60" s="150"/>
    </row>
    <row r="61" spans="1:42" s="139" customFormat="1" ht="18" customHeight="1" x14ac:dyDescent="0.15">
      <c r="A61" s="152" t="s">
        <v>1</v>
      </c>
      <c r="B61" s="153" t="s">
        <v>2</v>
      </c>
      <c r="C61" s="154" t="s">
        <v>3</v>
      </c>
      <c r="D61" s="154" t="s">
        <v>4</v>
      </c>
      <c r="E61" s="154" t="s">
        <v>5</v>
      </c>
      <c r="F61" s="154" t="s">
        <v>6</v>
      </c>
      <c r="G61" s="154" t="s">
        <v>7</v>
      </c>
      <c r="H61" s="154" t="s">
        <v>8</v>
      </c>
      <c r="I61" s="154" t="s">
        <v>9</v>
      </c>
      <c r="J61" s="154" t="s">
        <v>10</v>
      </c>
      <c r="K61" s="154" t="s">
        <v>11</v>
      </c>
      <c r="L61" s="154" t="s">
        <v>12</v>
      </c>
      <c r="M61" s="154" t="s">
        <v>13</v>
      </c>
      <c r="N61" s="154" t="s">
        <v>14</v>
      </c>
      <c r="O61" s="154" t="s">
        <v>15</v>
      </c>
      <c r="P61" s="154" t="s">
        <v>16</v>
      </c>
      <c r="Q61" s="154" t="s">
        <v>17</v>
      </c>
      <c r="R61" s="154" t="s">
        <v>18</v>
      </c>
      <c r="S61" s="154" t="s">
        <v>19</v>
      </c>
      <c r="T61" s="154" t="s">
        <v>20</v>
      </c>
      <c r="U61" s="154" t="s">
        <v>21</v>
      </c>
      <c r="V61" s="154" t="s">
        <v>22</v>
      </c>
      <c r="W61" s="154" t="s">
        <v>23</v>
      </c>
      <c r="X61" s="154" t="s">
        <v>24</v>
      </c>
      <c r="Y61" s="154" t="s">
        <v>25</v>
      </c>
      <c r="Z61" s="154" t="s">
        <v>26</v>
      </c>
      <c r="AA61" s="154" t="s">
        <v>27</v>
      </c>
      <c r="AB61" s="154" t="s">
        <v>28</v>
      </c>
      <c r="AC61" s="154" t="s">
        <v>29</v>
      </c>
      <c r="AD61" s="154" t="s">
        <v>30</v>
      </c>
      <c r="AE61" s="154" t="s">
        <v>31</v>
      </c>
      <c r="AF61" s="154" t="s">
        <v>32</v>
      </c>
      <c r="AG61" s="154" t="s">
        <v>33</v>
      </c>
      <c r="AH61" s="154" t="s">
        <v>34</v>
      </c>
      <c r="AI61" s="155" t="s">
        <v>35</v>
      </c>
      <c r="AJ61" s="138" t="s">
        <v>233</v>
      </c>
      <c r="AK61" s="138" t="s">
        <v>234</v>
      </c>
      <c r="AL61" s="138" t="s">
        <v>235</v>
      </c>
      <c r="AM61" s="138" t="s">
        <v>236</v>
      </c>
      <c r="AN61" s="138" t="s">
        <v>237</v>
      </c>
      <c r="AO61" s="138" t="s">
        <v>238</v>
      </c>
      <c r="AP61" s="138" t="s">
        <v>239</v>
      </c>
    </row>
    <row r="62" spans="1:42" s="158" customFormat="1" ht="18" customHeight="1" x14ac:dyDescent="0.15">
      <c r="A62" s="156" t="s">
        <v>586</v>
      </c>
      <c r="B62" s="156" t="s">
        <v>332</v>
      </c>
      <c r="C62" s="157">
        <f>C33/C4</f>
        <v>9.8832380952380942E-3</v>
      </c>
      <c r="D62" s="157">
        <f t="shared" ref="D62:AP68" si="0">D33/D4</f>
        <v>1.1833114754098361E-2</v>
      </c>
      <c r="E62" s="157">
        <f t="shared" si="0"/>
        <v>1.5214700854700855E-2</v>
      </c>
      <c r="F62" s="157">
        <f t="shared" si="0"/>
        <v>7.1999999999999998E-3</v>
      </c>
      <c r="G62" s="157">
        <f t="shared" si="0"/>
        <v>4.5801886792452831E-3</v>
      </c>
      <c r="H62" s="157">
        <f t="shared" si="0"/>
        <v>1.4175999999999999E-2</v>
      </c>
      <c r="I62" s="157">
        <f t="shared" si="0"/>
        <v>1.4173333333333335E-2</v>
      </c>
      <c r="J62" s="157">
        <f t="shared" si="0"/>
        <v>1.8350555555555554E-2</v>
      </c>
      <c r="K62" s="157">
        <f t="shared" si="0"/>
        <v>1.6455000000000001E-2</v>
      </c>
      <c r="L62" s="157">
        <f t="shared" si="0"/>
        <v>6.1928934010152285E-3</v>
      </c>
      <c r="M62" s="157">
        <f t="shared" si="0"/>
        <v>9.653517587939699E-3</v>
      </c>
      <c r="N62" s="157" t="e">
        <f t="shared" si="0"/>
        <v>#DIV/0!</v>
      </c>
      <c r="O62" s="157">
        <f t="shared" si="0"/>
        <v>1.0004051049814739E-2</v>
      </c>
      <c r="P62" s="157">
        <f t="shared" si="0"/>
        <v>1.0804928255736514E-2</v>
      </c>
      <c r="Q62" s="157" t="e">
        <f t="shared" si="0"/>
        <v>#DIV/0!</v>
      </c>
      <c r="R62" s="157">
        <f t="shared" si="0"/>
        <v>1.9308531746031747E-2</v>
      </c>
      <c r="S62" s="157">
        <f t="shared" si="0"/>
        <v>8.2483333333333339E-2</v>
      </c>
      <c r="T62" s="157">
        <f t="shared" si="0"/>
        <v>0.1026</v>
      </c>
      <c r="U62" s="157">
        <f t="shared" si="0"/>
        <v>8.8496000000000005E-2</v>
      </c>
      <c r="V62" s="157">
        <f t="shared" si="0"/>
        <v>5.6000000000000008E-2</v>
      </c>
      <c r="W62" s="157">
        <f t="shared" si="0"/>
        <v>2.8569819819819819E-2</v>
      </c>
      <c r="X62" s="157" t="e">
        <f t="shared" si="0"/>
        <v>#DIV/0!</v>
      </c>
      <c r="Y62" s="157">
        <f t="shared" si="0"/>
        <v>5.50625E-2</v>
      </c>
      <c r="Z62" s="157">
        <f t="shared" si="0"/>
        <v>4.1395238095238096E-2</v>
      </c>
      <c r="AA62" s="157" t="e">
        <f t="shared" si="0"/>
        <v>#DIV/0!</v>
      </c>
      <c r="AB62" s="157">
        <f t="shared" si="0"/>
        <v>0.93354761904761896</v>
      </c>
      <c r="AC62" s="157">
        <f t="shared" si="0"/>
        <v>4.5361111111111116E-2</v>
      </c>
      <c r="AD62" s="157">
        <f t="shared" si="0"/>
        <v>156.46238095238095</v>
      </c>
      <c r="AE62" s="157">
        <f t="shared" si="0"/>
        <v>6.2990909090909096E-3</v>
      </c>
      <c r="AF62" s="157">
        <f t="shared" si="0"/>
        <v>1.55</v>
      </c>
      <c r="AG62" s="157">
        <f t="shared" si="0"/>
        <v>7.4303703703703705E-2</v>
      </c>
      <c r="AH62" s="157">
        <f t="shared" si="0"/>
        <v>5.7150000000000006E-2</v>
      </c>
      <c r="AI62" s="157">
        <f t="shared" si="0"/>
        <v>3.8100000000000002E-2</v>
      </c>
      <c r="AJ62" s="157">
        <f t="shared" si="0"/>
        <v>0.21014146341463416</v>
      </c>
      <c r="AK62" s="157">
        <f t="shared" si="0"/>
        <v>0.13591935483870968</v>
      </c>
      <c r="AL62" s="157">
        <f t="shared" si="0"/>
        <v>0.38074166666666664</v>
      </c>
      <c r="AM62" s="157">
        <f t="shared" si="0"/>
        <v>8.2063829787234047E-2</v>
      </c>
      <c r="AN62" s="157">
        <f t="shared" si="0"/>
        <v>0.29942857142857143</v>
      </c>
      <c r="AO62" s="157" t="e">
        <f t="shared" si="0"/>
        <v>#DIV/0!</v>
      </c>
      <c r="AP62" s="157">
        <f t="shared" si="0"/>
        <v>0.22795000000000001</v>
      </c>
    </row>
    <row r="63" spans="1:42" s="158" customFormat="1" ht="18" customHeight="1" x14ac:dyDescent="0.15">
      <c r="A63" s="156" t="s">
        <v>587</v>
      </c>
      <c r="B63" s="156" t="s">
        <v>333</v>
      </c>
      <c r="C63" s="157">
        <f t="shared" ref="C63:R86" si="1">C34/C5</f>
        <v>9.8832633578646561E-3</v>
      </c>
      <c r="D63" s="157">
        <f t="shared" si="1"/>
        <v>1.1832453192510802E-2</v>
      </c>
      <c r="E63" s="157">
        <f t="shared" si="1"/>
        <v>1.5202888888888889E-2</v>
      </c>
      <c r="F63" s="157">
        <f t="shared" si="1"/>
        <v>7.2003351955307257E-3</v>
      </c>
      <c r="G63" s="157">
        <f t="shared" si="1"/>
        <v>4.5797333333333339E-3</v>
      </c>
      <c r="H63" s="157" t="e">
        <f t="shared" si="1"/>
        <v>#DIV/0!</v>
      </c>
      <c r="I63" s="157">
        <f t="shared" si="1"/>
        <v>1.4240000000000001E-2</v>
      </c>
      <c r="J63" s="157">
        <f t="shared" si="1"/>
        <v>1.8350999999999999E-2</v>
      </c>
      <c r="K63" s="157">
        <f t="shared" si="1"/>
        <v>1.5925000000000002E-2</v>
      </c>
      <c r="L63" s="157" t="e">
        <f t="shared" si="1"/>
        <v>#DIV/0!</v>
      </c>
      <c r="M63" s="157">
        <f t="shared" si="1"/>
        <v>9.6544376505465993E-3</v>
      </c>
      <c r="N63" s="157" t="e">
        <f t="shared" si="1"/>
        <v>#DIV/0!</v>
      </c>
      <c r="O63" s="157">
        <f t="shared" si="1"/>
        <v>1.0004174653887114E-2</v>
      </c>
      <c r="P63" s="157">
        <f t="shared" si="1"/>
        <v>1.0803983943043249E-2</v>
      </c>
      <c r="Q63" s="157" t="e">
        <f t="shared" si="1"/>
        <v>#DIV/0!</v>
      </c>
      <c r="R63" s="157">
        <f t="shared" si="1"/>
        <v>1.9647727272727272E-2</v>
      </c>
      <c r="S63" s="157">
        <f t="shared" si="0"/>
        <v>8.2525732383214576E-2</v>
      </c>
      <c r="T63" s="157">
        <f t="shared" si="0"/>
        <v>0.10246696035242292</v>
      </c>
      <c r="U63" s="157">
        <f t="shared" si="0"/>
        <v>8.8515780494739835E-2</v>
      </c>
      <c r="V63" s="157" t="e">
        <f t="shared" si="0"/>
        <v>#DIV/0!</v>
      </c>
      <c r="W63" s="157">
        <f t="shared" si="0"/>
        <v>2.8008955223880597E-2</v>
      </c>
      <c r="X63" s="157" t="e">
        <f t="shared" si="0"/>
        <v>#DIV/0!</v>
      </c>
      <c r="Y63" s="157">
        <f t="shared" si="0"/>
        <v>5.4916666666666662E-2</v>
      </c>
      <c r="Z63" s="157">
        <f t="shared" si="0"/>
        <v>4.1401666666666663E-2</v>
      </c>
      <c r="AA63" s="157" t="e">
        <f t="shared" si="0"/>
        <v>#DIV/0!</v>
      </c>
      <c r="AB63" s="157">
        <f t="shared" si="0"/>
        <v>0.93570707070707071</v>
      </c>
      <c r="AC63" s="157">
        <f t="shared" si="0"/>
        <v>4.5359999999999998E-2</v>
      </c>
      <c r="AD63" s="157">
        <f t="shared" si="0"/>
        <v>154.16896551724136</v>
      </c>
      <c r="AE63" s="157">
        <f t="shared" si="0"/>
        <v>6.3049999999999998E-3</v>
      </c>
      <c r="AF63" s="157" t="e">
        <f t="shared" si="0"/>
        <v>#DIV/0!</v>
      </c>
      <c r="AG63" s="157">
        <f t="shared" si="0"/>
        <v>0.19865714285714287</v>
      </c>
      <c r="AH63" s="157" t="e">
        <f t="shared" si="0"/>
        <v>#DIV/0!</v>
      </c>
      <c r="AI63" s="157">
        <f t="shared" si="0"/>
        <v>0.11091133004926108</v>
      </c>
      <c r="AJ63" s="157">
        <f t="shared" si="0"/>
        <v>0.20741966893865629</v>
      </c>
      <c r="AK63" s="157">
        <f t="shared" si="0"/>
        <v>0.13585714285714284</v>
      </c>
      <c r="AL63" s="157">
        <f t="shared" si="0"/>
        <v>0.37754512635379062</v>
      </c>
      <c r="AM63" s="157">
        <f t="shared" si="0"/>
        <v>8.2119999999999999E-2</v>
      </c>
      <c r="AN63" s="157">
        <f t="shared" si="0"/>
        <v>0.30599999999999999</v>
      </c>
      <c r="AO63" s="157" t="e">
        <f t="shared" si="0"/>
        <v>#DIV/0!</v>
      </c>
      <c r="AP63" s="157">
        <f t="shared" si="0"/>
        <v>0.22794565217391305</v>
      </c>
    </row>
    <row r="64" spans="1:42" s="158" customFormat="1" ht="18" customHeight="1" x14ac:dyDescent="0.15">
      <c r="A64" s="156" t="s">
        <v>588</v>
      </c>
      <c r="B64" s="156" t="s">
        <v>334</v>
      </c>
      <c r="C64" s="157">
        <f t="shared" si="1"/>
        <v>9.8833333333333342E-3</v>
      </c>
      <c r="D64" s="157">
        <f t="shared" si="0"/>
        <v>1.1832596685082871E-2</v>
      </c>
      <c r="E64" s="157">
        <f t="shared" si="0"/>
        <v>1.5199246231155778E-2</v>
      </c>
      <c r="F64" s="157">
        <f t="shared" si="0"/>
        <v>7.2004319654427641E-3</v>
      </c>
      <c r="G64" s="157">
        <f t="shared" si="0"/>
        <v>4.58082489146165E-3</v>
      </c>
      <c r="H64" s="157">
        <f t="shared" si="0"/>
        <v>1.4182926829268293E-2</v>
      </c>
      <c r="I64" s="157">
        <f t="shared" si="0"/>
        <v>1.4172727272727273E-2</v>
      </c>
      <c r="J64" s="157">
        <f t="shared" si="0"/>
        <v>1.8348888888888887E-2</v>
      </c>
      <c r="K64" s="157">
        <f t="shared" si="0"/>
        <v>1.6152380952380953E-2</v>
      </c>
      <c r="L64" s="157">
        <f t="shared" si="0"/>
        <v>6.2022727272727273E-3</v>
      </c>
      <c r="M64" s="157">
        <f t="shared" si="0"/>
        <v>9.6499252615844557E-3</v>
      </c>
      <c r="N64" s="157" t="e">
        <f t="shared" si="0"/>
        <v>#DIV/0!</v>
      </c>
      <c r="O64" s="157">
        <f t="shared" si="0"/>
        <v>1.0003916666666666E-2</v>
      </c>
      <c r="P64" s="157">
        <f t="shared" si="0"/>
        <v>1.0876175002901242E-2</v>
      </c>
      <c r="Q64" s="157" t="e">
        <f t="shared" si="0"/>
        <v>#DIV/0!</v>
      </c>
      <c r="R64" s="157">
        <f t="shared" si="0"/>
        <v>1.9306108897742365E-2</v>
      </c>
      <c r="S64" s="157">
        <f t="shared" si="0"/>
        <v>0.09</v>
      </c>
      <c r="T64" s="157">
        <f t="shared" si="0"/>
        <v>0.10250000000000001</v>
      </c>
      <c r="U64" s="157">
        <f t="shared" si="0"/>
        <v>8.8474860335195527E-2</v>
      </c>
      <c r="V64" s="157">
        <f t="shared" si="0"/>
        <v>5.6000000000000008E-2</v>
      </c>
      <c r="W64" s="157">
        <f t="shared" si="0"/>
        <v>0.03</v>
      </c>
      <c r="X64" s="157" t="e">
        <f t="shared" si="0"/>
        <v>#DIV/0!</v>
      </c>
      <c r="Y64" s="157">
        <f t="shared" si="0"/>
        <v>5.5149999999999998E-2</v>
      </c>
      <c r="Z64" s="157">
        <f t="shared" si="0"/>
        <v>4.1402597402597399E-2</v>
      </c>
      <c r="AA64" s="157" t="e">
        <f t="shared" si="0"/>
        <v>#DIV/0!</v>
      </c>
      <c r="AB64" s="157">
        <f t="shared" si="0"/>
        <v>0.90791366906474824</v>
      </c>
      <c r="AC64" s="157">
        <f t="shared" si="0"/>
        <v>4.5400000000000003E-2</v>
      </c>
      <c r="AD64" s="157">
        <f t="shared" si="0"/>
        <v>155.58416666666668</v>
      </c>
      <c r="AE64" s="157">
        <f t="shared" si="0"/>
        <v>6.3E-3</v>
      </c>
      <c r="AF64" s="157">
        <f t="shared" si="0"/>
        <v>1.5499999999999998</v>
      </c>
      <c r="AG64" s="157">
        <f t="shared" si="0"/>
        <v>6.3420891875381802E-2</v>
      </c>
      <c r="AH64" s="157">
        <f t="shared" si="0"/>
        <v>5.7130434782608701E-2</v>
      </c>
      <c r="AI64" s="157">
        <f t="shared" si="0"/>
        <v>3.8100000000000002E-2</v>
      </c>
      <c r="AJ64" s="157">
        <f t="shared" si="0"/>
        <v>0.20471999999999999</v>
      </c>
      <c r="AK64" s="157">
        <f t="shared" si="0"/>
        <v>0.13527272727272727</v>
      </c>
      <c r="AL64" s="157">
        <f t="shared" si="0"/>
        <v>0.37756756756756754</v>
      </c>
      <c r="AM64" s="157">
        <f t="shared" si="0"/>
        <v>8.1833333333333341E-2</v>
      </c>
      <c r="AN64" s="157">
        <f t="shared" si="0"/>
        <v>0.2994</v>
      </c>
      <c r="AO64" s="157">
        <f t="shared" si="0"/>
        <v>0.36046153846153844</v>
      </c>
      <c r="AP64" s="157">
        <f t="shared" si="0"/>
        <v>0.22793333333333332</v>
      </c>
    </row>
    <row r="65" spans="1:42" s="158" customFormat="1" ht="18" customHeight="1" x14ac:dyDescent="0.15">
      <c r="A65" s="156" t="s">
        <v>589</v>
      </c>
      <c r="B65" s="156" t="s">
        <v>335</v>
      </c>
      <c r="C65" s="157">
        <f t="shared" si="1"/>
        <v>9.8833042466550322E-3</v>
      </c>
      <c r="D65" s="157">
        <f t="shared" si="0"/>
        <v>1.1832474226804125E-2</v>
      </c>
      <c r="E65" s="157">
        <f t="shared" si="0"/>
        <v>1.5228697183098591E-2</v>
      </c>
      <c r="F65" s="157">
        <f t="shared" si="0"/>
        <v>7.1999999999999998E-3</v>
      </c>
      <c r="G65" s="157">
        <f t="shared" si="0"/>
        <v>4.5798285714285713E-3</v>
      </c>
      <c r="H65" s="157">
        <f t="shared" si="0"/>
        <v>1.4188888888888888E-2</v>
      </c>
      <c r="I65" s="157">
        <f t="shared" si="0"/>
        <v>1.4160000000000001E-2</v>
      </c>
      <c r="J65" s="157">
        <f t="shared" si="0"/>
        <v>1.8354545454545457E-2</v>
      </c>
      <c r="K65" s="157">
        <f t="shared" si="0"/>
        <v>1.6466666666666668E-2</v>
      </c>
      <c r="L65" s="157">
        <f t="shared" si="0"/>
        <v>6.1947368421052633E-3</v>
      </c>
      <c r="M65" s="157">
        <f t="shared" si="0"/>
        <v>9.6531669865643002E-3</v>
      </c>
      <c r="N65" s="157" t="e">
        <f t="shared" si="0"/>
        <v>#DIV/0!</v>
      </c>
      <c r="O65" s="157">
        <f t="shared" si="0"/>
        <v>1.0023670621074669E-2</v>
      </c>
      <c r="P65" s="157">
        <f t="shared" si="0"/>
        <v>1.0886546807191567E-2</v>
      </c>
      <c r="Q65" s="157" t="e">
        <f t="shared" si="0"/>
        <v>#DIV/0!</v>
      </c>
      <c r="R65" s="157">
        <f t="shared" si="0"/>
        <v>1.9308306709265175E-2</v>
      </c>
      <c r="S65" s="157">
        <f t="shared" si="0"/>
        <v>8.2384615384615376E-2</v>
      </c>
      <c r="T65" s="157">
        <f t="shared" si="0"/>
        <v>0.10247826086956521</v>
      </c>
      <c r="U65" s="157">
        <f t="shared" si="0"/>
        <v>8.8490090090090096E-2</v>
      </c>
      <c r="V65" s="157">
        <f t="shared" si="0"/>
        <v>5.6999999999999995E-2</v>
      </c>
      <c r="W65" s="157">
        <f t="shared" si="0"/>
        <v>2.9642857142857144E-2</v>
      </c>
      <c r="X65" s="157" t="e">
        <f t="shared" si="0"/>
        <v>#DIV/0!</v>
      </c>
      <c r="Y65" s="157">
        <f t="shared" si="0"/>
        <v>5.48768472906404E-2</v>
      </c>
      <c r="Z65" s="157">
        <f t="shared" si="0"/>
        <v>4.1397368421052634E-2</v>
      </c>
      <c r="AA65" s="157" t="e">
        <f t="shared" si="0"/>
        <v>#DIV/0!</v>
      </c>
      <c r="AB65" s="157">
        <f t="shared" si="0"/>
        <v>1.1761386138613863</v>
      </c>
      <c r="AC65" s="157">
        <f t="shared" si="0"/>
        <v>4.5359999999999998E-2</v>
      </c>
      <c r="AD65" s="157">
        <f t="shared" si="0"/>
        <v>153.75166666666667</v>
      </c>
      <c r="AE65" s="157">
        <f t="shared" si="0"/>
        <v>6.3033333333333335E-3</v>
      </c>
      <c r="AF65" s="157">
        <f t="shared" si="0"/>
        <v>1.55</v>
      </c>
      <c r="AG65" s="157">
        <f t="shared" si="0"/>
        <v>6.9655555555555568E-2</v>
      </c>
      <c r="AH65" s="157">
        <f t="shared" si="0"/>
        <v>5.7166666666666664E-2</v>
      </c>
      <c r="AI65" s="157">
        <f t="shared" si="0"/>
        <v>3.8100000000000002E-2</v>
      </c>
      <c r="AJ65" s="157">
        <f t="shared" si="0"/>
        <v>0.20460810810810812</v>
      </c>
      <c r="AK65" s="157">
        <f t="shared" si="0"/>
        <v>0.13636842105263158</v>
      </c>
      <c r="AL65" s="157">
        <f t="shared" si="0"/>
        <v>0.37722222222222224</v>
      </c>
      <c r="AM65" s="157">
        <f t="shared" si="0"/>
        <v>8.199999999999999E-2</v>
      </c>
      <c r="AN65" s="157">
        <f t="shared" si="0"/>
        <v>0.29949999999999999</v>
      </c>
      <c r="AO65" s="157">
        <f t="shared" si="0"/>
        <v>0.3604</v>
      </c>
      <c r="AP65" s="157">
        <f t="shared" si="0"/>
        <v>0.23013846153846154</v>
      </c>
    </row>
    <row r="66" spans="1:42" s="158" customFormat="1" ht="18" customHeight="1" x14ac:dyDescent="0.15">
      <c r="A66" s="156" t="s">
        <v>595</v>
      </c>
      <c r="B66" s="156" t="s">
        <v>591</v>
      </c>
      <c r="C66" s="157">
        <f t="shared" si="1"/>
        <v>9.8993532599195942E-3</v>
      </c>
      <c r="D66" s="157">
        <f t="shared" si="0"/>
        <v>1.1832978723404256E-2</v>
      </c>
      <c r="E66" s="157">
        <f t="shared" si="0"/>
        <v>1.5230231456526355E-2</v>
      </c>
      <c r="F66" s="157">
        <f t="shared" si="0"/>
        <v>7.2009890109890106E-3</v>
      </c>
      <c r="G66" s="157">
        <f t="shared" si="0"/>
        <v>4.5800662251655631E-3</v>
      </c>
      <c r="H66" s="157">
        <f t="shared" si="0"/>
        <v>1.4197994987468671E-2</v>
      </c>
      <c r="I66" s="157">
        <f t="shared" si="0"/>
        <v>1.4190800681431005E-2</v>
      </c>
      <c r="J66" s="157">
        <f t="shared" si="0"/>
        <v>1.8348333333333331E-2</v>
      </c>
      <c r="K66" s="157">
        <f t="shared" si="0"/>
        <v>1.5971153846153847E-2</v>
      </c>
      <c r="L66" s="157">
        <f t="shared" si="0"/>
        <v>6.1902709359605915E-3</v>
      </c>
      <c r="M66" s="157">
        <f t="shared" si="0"/>
        <v>9.6844652615144418E-3</v>
      </c>
      <c r="N66" s="157" t="e">
        <f t="shared" si="0"/>
        <v>#DIV/0!</v>
      </c>
      <c r="O66" s="157">
        <f t="shared" si="0"/>
        <v>1.0321954509003427E-2</v>
      </c>
      <c r="P66" s="157">
        <f t="shared" si="0"/>
        <v>1.2134533009838017E-2</v>
      </c>
      <c r="Q66" s="157" t="e">
        <f t="shared" si="0"/>
        <v>#DIV/0!</v>
      </c>
      <c r="R66" s="157">
        <f t="shared" si="0"/>
        <v>1.9307948860478041E-2</v>
      </c>
      <c r="S66" s="157">
        <f t="shared" si="0"/>
        <v>8.2520274485339995E-2</v>
      </c>
      <c r="T66" s="157">
        <f t="shared" si="0"/>
        <v>0.10245535714285714</v>
      </c>
      <c r="U66" s="157">
        <f t="shared" si="0"/>
        <v>8.8648648648648645E-2</v>
      </c>
      <c r="V66" s="157">
        <f t="shared" si="0"/>
        <v>5.561643835616438E-2</v>
      </c>
      <c r="W66" s="157">
        <f t="shared" si="0"/>
        <v>2.8153978865645895E-2</v>
      </c>
      <c r="X66" s="157" t="e">
        <f t="shared" si="0"/>
        <v>#DIV/0!</v>
      </c>
      <c r="Y66" s="157">
        <f t="shared" si="0"/>
        <v>5.5181818181818186E-2</v>
      </c>
      <c r="Z66" s="157">
        <f t="shared" si="0"/>
        <v>4.1405780044461882E-2</v>
      </c>
      <c r="AA66" s="157" t="e">
        <f t="shared" si="0"/>
        <v>#DIV/0!</v>
      </c>
      <c r="AB66" s="157">
        <f t="shared" si="0"/>
        <v>1.1693532338308457</v>
      </c>
      <c r="AC66" s="157">
        <f t="shared" si="0"/>
        <v>4.5360951599671864E-2</v>
      </c>
      <c r="AD66" s="157">
        <f t="shared" si="0"/>
        <v>154.62</v>
      </c>
      <c r="AE66" s="157">
        <f t="shared" si="0"/>
        <v>6.3016666666666672E-3</v>
      </c>
      <c r="AF66" s="157">
        <f t="shared" si="0"/>
        <v>1.55</v>
      </c>
      <c r="AG66" s="157">
        <f t="shared" si="0"/>
        <v>7.8362760834670961E-2</v>
      </c>
      <c r="AH66" s="157" t="e">
        <f t="shared" si="0"/>
        <v>#DIV/0!</v>
      </c>
      <c r="AI66" s="157">
        <f t="shared" si="0"/>
        <v>3.8099682658204216E-2</v>
      </c>
      <c r="AJ66" s="157" t="e">
        <f t="shared" si="0"/>
        <v>#DIV/0!</v>
      </c>
      <c r="AK66" s="157">
        <f t="shared" si="0"/>
        <v>0.13613714285714287</v>
      </c>
      <c r="AL66" s="157" t="e">
        <f t="shared" si="0"/>
        <v>#DIV/0!</v>
      </c>
      <c r="AM66" s="157">
        <f t="shared" si="0"/>
        <v>8.207119741100323E-2</v>
      </c>
      <c r="AN66" s="157">
        <f t="shared" si="0"/>
        <v>0.29939024390243901</v>
      </c>
      <c r="AO66" s="157">
        <f t="shared" si="0"/>
        <v>0.36045454545454542</v>
      </c>
      <c r="AP66" s="157">
        <f t="shared" si="0"/>
        <v>0.22795187465025182</v>
      </c>
    </row>
    <row r="67" spans="1:42" s="158" customFormat="1" ht="18" customHeight="1" x14ac:dyDescent="0.15">
      <c r="A67" s="156" t="s">
        <v>596</v>
      </c>
      <c r="B67" s="156" t="s">
        <v>592</v>
      </c>
      <c r="C67" s="157">
        <f t="shared" si="1"/>
        <v>9.8834058759521212E-3</v>
      </c>
      <c r="D67" s="157">
        <f t="shared" si="0"/>
        <v>1.1834229993275051E-2</v>
      </c>
      <c r="E67" s="157">
        <f t="shared" si="0"/>
        <v>1.5199881796690308E-2</v>
      </c>
      <c r="F67" s="157">
        <f t="shared" si="0"/>
        <v>7.2014563106796116E-3</v>
      </c>
      <c r="G67" s="157">
        <f t="shared" si="0"/>
        <v>4.5799350649350645E-3</v>
      </c>
      <c r="H67" s="157">
        <f t="shared" si="0"/>
        <v>1.4150442477876106E-2</v>
      </c>
      <c r="I67" s="157">
        <f t="shared" si="0"/>
        <v>1.4171597633136095E-2</v>
      </c>
      <c r="J67" s="157">
        <f t="shared" si="0"/>
        <v>1.8349179814021524E-2</v>
      </c>
      <c r="K67" s="157">
        <f t="shared" si="0"/>
        <v>1.5982758620689656E-2</v>
      </c>
      <c r="L67" s="157">
        <f t="shared" si="0"/>
        <v>6.186293436293437E-3</v>
      </c>
      <c r="M67" s="157">
        <f t="shared" si="0"/>
        <v>9.6533185951866544E-3</v>
      </c>
      <c r="N67" s="157">
        <f t="shared" si="0"/>
        <v>1.7410000000000002E-2</v>
      </c>
      <c r="O67" s="157">
        <f t="shared" si="0"/>
        <v>1.0004200368951327E-2</v>
      </c>
      <c r="P67" s="157">
        <f t="shared" si="0"/>
        <v>1.0803533327643593E-2</v>
      </c>
      <c r="Q67" s="157" t="e">
        <f t="shared" si="0"/>
        <v>#DIV/0!</v>
      </c>
      <c r="R67" s="157">
        <f t="shared" si="0"/>
        <v>1.9311083894672381E-2</v>
      </c>
      <c r="S67" s="157">
        <f t="shared" si="0"/>
        <v>8.2519596864501679E-2</v>
      </c>
      <c r="T67" s="157">
        <f t="shared" si="0"/>
        <v>0.10255813953488373</v>
      </c>
      <c r="U67" s="157">
        <f t="shared" si="0"/>
        <v>8.8488099228964126E-2</v>
      </c>
      <c r="V67" s="157">
        <f t="shared" si="0"/>
        <v>5.5312500000000001E-2</v>
      </c>
      <c r="W67" s="157">
        <f t="shared" si="0"/>
        <v>2.8310097169412761E-2</v>
      </c>
      <c r="X67" s="157" t="e">
        <f t="shared" si="0"/>
        <v>#DIV/0!</v>
      </c>
      <c r="Y67" s="157">
        <f t="shared" si="0"/>
        <v>5.5214285714285716E-2</v>
      </c>
      <c r="Z67" s="157">
        <f t="shared" si="0"/>
        <v>4.1396680022896391E-2</v>
      </c>
      <c r="AA67" s="157" t="e">
        <f t="shared" si="0"/>
        <v>#DIV/0!</v>
      </c>
      <c r="AB67" s="157">
        <f t="shared" si="0"/>
        <v>1.0095070422535211</v>
      </c>
      <c r="AC67" s="157">
        <f t="shared" si="0"/>
        <v>4.536458333333334E-2</v>
      </c>
      <c r="AD67" s="157">
        <f t="shared" si="0"/>
        <v>156.76066666666665</v>
      </c>
      <c r="AE67" s="157">
        <f t="shared" si="0"/>
        <v>6.3005319148936173E-3</v>
      </c>
      <c r="AF67" s="157">
        <f t="shared" si="0"/>
        <v>1.55</v>
      </c>
      <c r="AG67" s="157">
        <f t="shared" si="0"/>
        <v>0.19772407732864675</v>
      </c>
      <c r="AH67" s="157">
        <f t="shared" si="0"/>
        <v>5.7045454545454538E-2</v>
      </c>
      <c r="AI67" s="157">
        <f t="shared" si="0"/>
        <v>0.10996296296296296</v>
      </c>
      <c r="AJ67" s="157">
        <f t="shared" si="0"/>
        <v>0.20979539641943734</v>
      </c>
      <c r="AK67" s="157">
        <f t="shared" si="0"/>
        <v>0.13526923076923078</v>
      </c>
      <c r="AL67" s="157">
        <f t="shared" si="0"/>
        <v>0.37759999999999999</v>
      </c>
      <c r="AM67" s="157">
        <f t="shared" si="0"/>
        <v>8.1842105263157897E-2</v>
      </c>
      <c r="AN67" s="157">
        <f t="shared" si="0"/>
        <v>0.29947916666666669</v>
      </c>
      <c r="AO67" s="157">
        <f t="shared" si="0"/>
        <v>0.36047619047619051</v>
      </c>
      <c r="AP67" s="157">
        <f t="shared" si="0"/>
        <v>0.22795685279187816</v>
      </c>
    </row>
    <row r="68" spans="1:42" s="158" customFormat="1" ht="18" customHeight="1" x14ac:dyDescent="0.15">
      <c r="A68" s="156" t="s">
        <v>597</v>
      </c>
      <c r="B68" s="156" t="s">
        <v>593</v>
      </c>
      <c r="C68" s="157">
        <f t="shared" si="1"/>
        <v>9.8832856493489135E-3</v>
      </c>
      <c r="D68" s="157">
        <f t="shared" si="0"/>
        <v>1.1834210526315789E-2</v>
      </c>
      <c r="E68" s="157">
        <f t="shared" si="0"/>
        <v>1.520179261776366E-2</v>
      </c>
      <c r="F68" s="157">
        <f t="shared" si="0"/>
        <v>7.2003960396039603E-3</v>
      </c>
      <c r="G68" s="157">
        <f t="shared" si="0"/>
        <v>4.5797685950413223E-3</v>
      </c>
      <c r="H68" s="157">
        <f t="shared" si="0"/>
        <v>1.41735918744229E-2</v>
      </c>
      <c r="I68" s="157">
        <f t="shared" si="0"/>
        <v>1.4167741935483872E-2</v>
      </c>
      <c r="J68" s="157">
        <f t="shared" si="0"/>
        <v>1.8348975761038114E-2</v>
      </c>
      <c r="K68" s="157">
        <f t="shared" si="0"/>
        <v>1.5979310344827587E-2</v>
      </c>
      <c r="L68" s="157">
        <f t="shared" si="0"/>
        <v>6.1893600784912245E-3</v>
      </c>
      <c r="M68" s="157">
        <f t="shared" si="0"/>
        <v>9.6542101552181299E-3</v>
      </c>
      <c r="N68" s="157">
        <f t="shared" si="0"/>
        <v>1.7383750638732754E-2</v>
      </c>
      <c r="O68" s="157">
        <f t="shared" si="0"/>
        <v>1.0191515948701085E-2</v>
      </c>
      <c r="P68" s="157">
        <f t="shared" si="0"/>
        <v>1.0803567707247946E-2</v>
      </c>
      <c r="Q68" s="157" t="e">
        <f t="shared" si="0"/>
        <v>#DIV/0!</v>
      </c>
      <c r="R68" s="157">
        <f t="shared" si="0"/>
        <v>1.9309021113243761E-2</v>
      </c>
      <c r="S68" s="157">
        <f t="shared" si="0"/>
        <v>8.2556634304207122E-2</v>
      </c>
      <c r="T68" s="157">
        <f t="shared" si="0"/>
        <v>0.10234567901234567</v>
      </c>
      <c r="U68" s="157">
        <f t="shared" si="0"/>
        <v>8.8495323302155357E-2</v>
      </c>
      <c r="V68" s="157">
        <f t="shared" si="0"/>
        <v>5.5539568345323739E-2</v>
      </c>
      <c r="W68" s="157">
        <f t="shared" si="0"/>
        <v>2.9027906976744185E-2</v>
      </c>
      <c r="X68" s="157" t="e">
        <f t="shared" si="0"/>
        <v>#DIV/0!</v>
      </c>
      <c r="Y68" s="157">
        <f t="shared" si="0"/>
        <v>5.5000000000000007E-2</v>
      </c>
      <c r="Z68" s="157">
        <f t="shared" si="0"/>
        <v>4.1395918367346941E-2</v>
      </c>
      <c r="AA68" s="157" t="e">
        <f t="shared" si="0"/>
        <v>#DIV/0!</v>
      </c>
      <c r="AB68" s="157">
        <f t="shared" si="0"/>
        <v>1.3293333333333335</v>
      </c>
      <c r="AC68" s="157">
        <f t="shared" si="0"/>
        <v>4.5361111111111116E-2</v>
      </c>
      <c r="AD68" s="157">
        <f t="shared" si="0"/>
        <v>155.67789473684212</v>
      </c>
      <c r="AE68" s="157">
        <f t="shared" si="0"/>
        <v>6.3018018018018013E-3</v>
      </c>
      <c r="AF68" s="157">
        <f t="shared" si="0"/>
        <v>1.55</v>
      </c>
      <c r="AG68" s="157">
        <f t="shared" si="0"/>
        <v>0.21011494252873564</v>
      </c>
      <c r="AH68" s="157">
        <f t="shared" si="0"/>
        <v>5.7166666666666664E-2</v>
      </c>
      <c r="AI68" s="157">
        <f t="shared" si="0"/>
        <v>0.1168080921607193</v>
      </c>
      <c r="AJ68" s="157">
        <f t="shared" si="0"/>
        <v>0.20879444444444445</v>
      </c>
      <c r="AK68" s="157">
        <f t="shared" si="0"/>
        <v>0.13633967789165446</v>
      </c>
      <c r="AL68" s="157">
        <f t="shared" si="0"/>
        <v>0.37748148148148147</v>
      </c>
      <c r="AM68" s="157">
        <f t="shared" si="0"/>
        <v>8.2153846153846147E-2</v>
      </c>
      <c r="AN68" s="157">
        <f t="shared" ref="D68:AP75" si="2">AN39/AN10</f>
        <v>0.29931818181818182</v>
      </c>
      <c r="AO68" s="157">
        <f t="shared" si="2"/>
        <v>0.36049999999999999</v>
      </c>
      <c r="AP68" s="157">
        <f t="shared" si="2"/>
        <v>0.22941498086386006</v>
      </c>
    </row>
    <row r="69" spans="1:42" s="158" customFormat="1" ht="18" customHeight="1" x14ac:dyDescent="0.15">
      <c r="A69" s="156" t="s">
        <v>598</v>
      </c>
      <c r="B69" s="156" t="s">
        <v>594</v>
      </c>
      <c r="C69" s="157">
        <f t="shared" si="1"/>
        <v>9.883474178403755E-3</v>
      </c>
      <c r="D69" s="157">
        <f t="shared" si="2"/>
        <v>1.1833333333333333E-2</v>
      </c>
      <c r="E69" s="157">
        <f t="shared" si="2"/>
        <v>1.52E-2</v>
      </c>
      <c r="F69" s="157">
        <f t="shared" si="2"/>
        <v>7.2002666666666666E-3</v>
      </c>
      <c r="G69" s="157">
        <f t="shared" si="2"/>
        <v>4.579846153846154E-3</v>
      </c>
      <c r="H69" s="157">
        <f t="shared" si="2"/>
        <v>1.4175E-2</v>
      </c>
      <c r="I69" s="157">
        <f t="shared" si="2"/>
        <v>1.4199999999999999E-2</v>
      </c>
      <c r="J69" s="157">
        <f t="shared" si="2"/>
        <v>1.8355E-2</v>
      </c>
      <c r="K69" s="157">
        <f t="shared" si="2"/>
        <v>1.6449999999999999E-2</v>
      </c>
      <c r="L69" s="157">
        <f t="shared" si="2"/>
        <v>6.1885714285714287E-3</v>
      </c>
      <c r="M69" s="157">
        <f t="shared" si="2"/>
        <v>9.6527549824150065E-3</v>
      </c>
      <c r="N69" s="157" t="e">
        <f t="shared" si="2"/>
        <v>#DIV/0!</v>
      </c>
      <c r="O69" s="157">
        <f t="shared" si="2"/>
        <v>1.0003919136797717E-2</v>
      </c>
      <c r="P69" s="157">
        <f t="shared" si="2"/>
        <v>1.0888249981084966E-2</v>
      </c>
      <c r="Q69" s="157" t="e">
        <f t="shared" si="2"/>
        <v>#DIV/0!</v>
      </c>
      <c r="R69" s="157">
        <f t="shared" si="2"/>
        <v>1.9307570977917979E-2</v>
      </c>
      <c r="S69" s="157">
        <f t="shared" si="2"/>
        <v>8.2532608695652182E-2</v>
      </c>
      <c r="T69" s="157">
        <f t="shared" si="2"/>
        <v>0.10256521739130435</v>
      </c>
      <c r="U69" s="157">
        <f t="shared" si="2"/>
        <v>8.7536363636363634E-2</v>
      </c>
      <c r="V69" s="157">
        <f t="shared" si="2"/>
        <v>5.5833333333333339E-2</v>
      </c>
      <c r="W69" s="157">
        <f t="shared" si="2"/>
        <v>3.1435218324982105E-2</v>
      </c>
      <c r="X69" s="157" t="e">
        <f t="shared" si="2"/>
        <v>#DIV/0!</v>
      </c>
      <c r="Y69" s="157">
        <f t="shared" si="2"/>
        <v>5.5084033613445375E-2</v>
      </c>
      <c r="Z69" s="157">
        <f t="shared" si="2"/>
        <v>4.139634630659253E-2</v>
      </c>
      <c r="AA69" s="157" t="e">
        <f t="shared" si="2"/>
        <v>#DIV/0!</v>
      </c>
      <c r="AB69" s="157">
        <f t="shared" si="2"/>
        <v>1.1447552447552447</v>
      </c>
      <c r="AC69" s="157">
        <f t="shared" si="2"/>
        <v>4.5359999999999998E-2</v>
      </c>
      <c r="AD69" s="157">
        <f t="shared" si="2"/>
        <v>155.83133333333333</v>
      </c>
      <c r="AE69" s="157">
        <f t="shared" si="2"/>
        <v>6.3E-3</v>
      </c>
      <c r="AF69" s="157">
        <f t="shared" si="2"/>
        <v>1.55</v>
      </c>
      <c r="AG69" s="157">
        <f t="shared" si="2"/>
        <v>6.437817258883248E-2</v>
      </c>
      <c r="AH69" s="157">
        <f t="shared" si="2"/>
        <v>5.7140495867768593E-2</v>
      </c>
      <c r="AI69" s="157">
        <f t="shared" si="2"/>
        <v>3.8101582014987506E-2</v>
      </c>
      <c r="AJ69" s="157">
        <f t="shared" si="2"/>
        <v>0.20935374149659863</v>
      </c>
      <c r="AK69" s="157">
        <f t="shared" si="2"/>
        <v>0.136340206185567</v>
      </c>
      <c r="AL69" s="157">
        <f t="shared" si="2"/>
        <v>0.37926315789473686</v>
      </c>
      <c r="AM69" s="157">
        <f t="shared" si="2"/>
        <v>8.2159090909090918E-2</v>
      </c>
      <c r="AN69" s="157">
        <f t="shared" si="2"/>
        <v>0.29933333333333334</v>
      </c>
      <c r="AO69" s="157">
        <f t="shared" si="2"/>
        <v>0.36048780487804877</v>
      </c>
      <c r="AP69" s="157">
        <f t="shared" si="2"/>
        <v>0.2291650853889943</v>
      </c>
    </row>
    <row r="70" spans="1:42" s="158" customFormat="1" ht="18" customHeight="1" x14ac:dyDescent="0.15">
      <c r="A70" s="156" t="s">
        <v>636</v>
      </c>
      <c r="B70" s="156" t="s">
        <v>637</v>
      </c>
      <c r="C70" s="157">
        <f t="shared" si="1"/>
        <v>9.8832231404958667E-3</v>
      </c>
      <c r="D70" s="157">
        <f t="shared" si="2"/>
        <v>1.1832258064516129E-2</v>
      </c>
      <c r="E70" s="157">
        <f t="shared" si="2"/>
        <v>1.5299999999999999E-2</v>
      </c>
      <c r="F70" s="157">
        <f t="shared" si="2"/>
        <v>7.1993303571428564E-3</v>
      </c>
      <c r="G70" s="157">
        <f t="shared" si="2"/>
        <v>4.5803809523809521E-3</v>
      </c>
      <c r="H70" s="157">
        <f t="shared" si="2"/>
        <v>1.41625E-2</v>
      </c>
      <c r="I70" s="157">
        <f t="shared" si="2"/>
        <v>1.418E-2</v>
      </c>
      <c r="J70" s="157">
        <f t="shared" si="2"/>
        <v>1.8344720496894409E-2</v>
      </c>
      <c r="K70" s="157">
        <f t="shared" si="2"/>
        <v>1.6279220779220779E-2</v>
      </c>
      <c r="L70" s="157">
        <f t="shared" si="2"/>
        <v>6.1923076923076923E-3</v>
      </c>
      <c r="M70" s="157">
        <f t="shared" si="2"/>
        <v>9.6518324607329838E-3</v>
      </c>
      <c r="N70" s="157" t="e">
        <f t="shared" si="2"/>
        <v>#DIV/0!</v>
      </c>
      <c r="O70" s="157">
        <f t="shared" si="2"/>
        <v>1.0017895902547065E-2</v>
      </c>
      <c r="P70" s="157">
        <f t="shared" si="2"/>
        <v>1.0803335367093755E-2</v>
      </c>
      <c r="Q70" s="157" t="e">
        <f t="shared" si="2"/>
        <v>#DIV/0!</v>
      </c>
      <c r="R70" s="157">
        <f t="shared" si="2"/>
        <v>1.9306666666666666E-2</v>
      </c>
      <c r="S70" s="157">
        <f t="shared" si="2"/>
        <v>8.2439999999999999E-2</v>
      </c>
      <c r="T70" s="157">
        <f t="shared" si="2"/>
        <v>0.10249999999999999</v>
      </c>
      <c r="U70" s="157">
        <f t="shared" si="2"/>
        <v>8.850555555555556E-2</v>
      </c>
      <c r="V70" s="157">
        <f t="shared" si="2"/>
        <v>0.06</v>
      </c>
      <c r="W70" s="157">
        <f t="shared" si="2"/>
        <v>2.802E-2</v>
      </c>
      <c r="X70" s="157" t="e">
        <f t="shared" si="2"/>
        <v>#DIV/0!</v>
      </c>
      <c r="Y70" s="157">
        <f t="shared" si="2"/>
        <v>5.4714285714285715E-2</v>
      </c>
      <c r="Z70" s="157">
        <f t="shared" si="2"/>
        <v>4.1383870967741931E-2</v>
      </c>
      <c r="AA70" s="157" t="e">
        <f t="shared" si="2"/>
        <v>#DIV/0!</v>
      </c>
      <c r="AB70" s="157">
        <f t="shared" si="2"/>
        <v>1.0685714285714287</v>
      </c>
      <c r="AC70" s="157" t="e">
        <f t="shared" si="2"/>
        <v>#DIV/0!</v>
      </c>
      <c r="AD70" s="157">
        <f t="shared" si="2"/>
        <v>150.29875000000001</v>
      </c>
      <c r="AE70" s="157">
        <f t="shared" si="2"/>
        <v>6.3E-3</v>
      </c>
      <c r="AF70" s="157">
        <f t="shared" si="2"/>
        <v>1.55</v>
      </c>
      <c r="AG70" s="157" t="e">
        <f t="shared" si="2"/>
        <v>#DIV/0!</v>
      </c>
      <c r="AH70" s="157" t="e">
        <f t="shared" si="2"/>
        <v>#DIV/0!</v>
      </c>
      <c r="AI70" s="157">
        <f t="shared" si="2"/>
        <v>5.018333333333333E-2</v>
      </c>
      <c r="AJ70" s="157">
        <f t="shared" si="2"/>
        <v>0.20943999999999999</v>
      </c>
      <c r="AK70" s="157">
        <f t="shared" si="2"/>
        <v>0.13626666666666667</v>
      </c>
      <c r="AL70" s="157">
        <f t="shared" si="2"/>
        <v>0.3775862068965517</v>
      </c>
      <c r="AM70" s="157">
        <f t="shared" si="2"/>
        <v>8.2090395480225981E-2</v>
      </c>
      <c r="AN70" s="157">
        <f t="shared" si="2"/>
        <v>0.29962499999999997</v>
      </c>
      <c r="AO70" s="157" t="e">
        <f t="shared" si="2"/>
        <v>#DIV/0!</v>
      </c>
      <c r="AP70" s="157" t="e">
        <f t="shared" si="2"/>
        <v>#DIV/0!</v>
      </c>
    </row>
    <row r="71" spans="1:42" s="158" customFormat="1" ht="18" customHeight="1" x14ac:dyDescent="0.15">
      <c r="A71" s="156" t="s">
        <v>638</v>
      </c>
      <c r="B71" s="156" t="s">
        <v>639</v>
      </c>
      <c r="C71" s="157">
        <f t="shared" si="1"/>
        <v>9.8881052631578942E-3</v>
      </c>
      <c r="D71" s="157">
        <f t="shared" si="2"/>
        <v>1.1833506493506493E-2</v>
      </c>
      <c r="E71" s="157">
        <f t="shared" si="2"/>
        <v>1.5233333333333333E-2</v>
      </c>
      <c r="F71" s="157">
        <f t="shared" si="2"/>
        <v>7.1999999999999998E-3</v>
      </c>
      <c r="G71" s="157">
        <f t="shared" si="2"/>
        <v>4.5798750000000006E-3</v>
      </c>
      <c r="H71" s="157">
        <f t="shared" si="2"/>
        <v>1.4670000000000001E-2</v>
      </c>
      <c r="I71" s="157">
        <f t="shared" si="2"/>
        <v>1.4666666666666666E-2</v>
      </c>
      <c r="J71" s="157">
        <f t="shared" si="2"/>
        <v>1.8351818181818181E-2</v>
      </c>
      <c r="K71" s="157">
        <f t="shared" si="2"/>
        <v>1.6437500000000001E-2</v>
      </c>
      <c r="L71" s="157">
        <f t="shared" si="2"/>
        <v>6.1854545454545452E-3</v>
      </c>
      <c r="M71" s="157">
        <f t="shared" si="2"/>
        <v>9.6538095238095228E-3</v>
      </c>
      <c r="N71" s="157" t="e">
        <f t="shared" si="2"/>
        <v>#DIV/0!</v>
      </c>
      <c r="O71" s="157">
        <f t="shared" si="2"/>
        <v>1.0013014354066985E-2</v>
      </c>
      <c r="P71" s="157">
        <f t="shared" si="2"/>
        <v>1.0804626922588026E-2</v>
      </c>
      <c r="Q71" s="157" t="e">
        <f t="shared" si="2"/>
        <v>#DIV/0!</v>
      </c>
      <c r="R71" s="157">
        <f t="shared" si="2"/>
        <v>1.9305555555555558E-2</v>
      </c>
      <c r="S71" s="157">
        <f t="shared" si="2"/>
        <v>8.2435643564356439E-2</v>
      </c>
      <c r="T71" s="157">
        <f t="shared" si="2"/>
        <v>0.10245614035087719</v>
      </c>
      <c r="U71" s="157">
        <f t="shared" si="2"/>
        <v>8.8500888099467143E-2</v>
      </c>
      <c r="V71" s="157" t="e">
        <f t="shared" si="2"/>
        <v>#DIV/0!</v>
      </c>
      <c r="W71" s="157">
        <f t="shared" si="2"/>
        <v>2.8731391585760518E-2</v>
      </c>
      <c r="X71" s="157" t="e">
        <f t="shared" si="2"/>
        <v>#DIV/0!</v>
      </c>
      <c r="Y71" s="157">
        <f t="shared" si="2"/>
        <v>5.4897959183673468E-2</v>
      </c>
      <c r="Z71" s="157">
        <f t="shared" si="2"/>
        <v>4.1393048128342248E-2</v>
      </c>
      <c r="AA71" s="157" t="e">
        <f t="shared" si="2"/>
        <v>#DIV/0!</v>
      </c>
      <c r="AB71" s="157">
        <f t="shared" si="2"/>
        <v>1.0277380952380952</v>
      </c>
      <c r="AC71" s="157">
        <f t="shared" si="2"/>
        <v>4.535714285714286E-2</v>
      </c>
      <c r="AD71" s="157">
        <f t="shared" si="2"/>
        <v>155.15222222222221</v>
      </c>
      <c r="AE71" s="157">
        <f t="shared" si="2"/>
        <v>6.2983333333333329E-3</v>
      </c>
      <c r="AF71" s="157">
        <f t="shared" si="2"/>
        <v>1.55</v>
      </c>
      <c r="AG71" s="157">
        <f t="shared" si="2"/>
        <v>6.4799999999999996E-2</v>
      </c>
      <c r="AH71" s="157">
        <f t="shared" si="2"/>
        <v>5.7142857142857141E-2</v>
      </c>
      <c r="AI71" s="157">
        <f t="shared" si="2"/>
        <v>3.8100000000000002E-2</v>
      </c>
      <c r="AJ71" s="157">
        <f t="shared" si="2"/>
        <v>0.20760000000000001</v>
      </c>
      <c r="AK71" s="157">
        <f t="shared" si="2"/>
        <v>0.13638190954773868</v>
      </c>
      <c r="AL71" s="157" t="e">
        <f t="shared" si="2"/>
        <v>#DIV/0!</v>
      </c>
      <c r="AM71" s="157" t="e">
        <f t="shared" si="2"/>
        <v>#DIV/0!</v>
      </c>
      <c r="AN71" s="157">
        <f t="shared" si="2"/>
        <v>0.31200803212851402</v>
      </c>
      <c r="AO71" s="157" t="e">
        <f t="shared" si="2"/>
        <v>#DIV/0!</v>
      </c>
      <c r="AP71" s="157">
        <f t="shared" si="2"/>
        <v>0.22795223880597015</v>
      </c>
    </row>
    <row r="72" spans="1:42" s="158" customFormat="1" ht="18" customHeight="1" x14ac:dyDescent="0.15">
      <c r="A72" s="156" t="s">
        <v>640</v>
      </c>
      <c r="B72" s="156" t="s">
        <v>641</v>
      </c>
      <c r="C72" s="157">
        <f t="shared" si="1"/>
        <v>9.8831375259156879E-3</v>
      </c>
      <c r="D72" s="157">
        <f t="shared" si="2"/>
        <v>1.1835483870967741E-2</v>
      </c>
      <c r="E72" s="157">
        <f t="shared" si="2"/>
        <v>1.5274674115456239E-2</v>
      </c>
      <c r="F72" s="157">
        <f t="shared" si="2"/>
        <v>7.2000000000000007E-3</v>
      </c>
      <c r="G72" s="157">
        <f t="shared" si="2"/>
        <v>4.5798265895953755E-3</v>
      </c>
      <c r="H72" s="157">
        <f t="shared" si="2"/>
        <v>1.4173913043478261E-2</v>
      </c>
      <c r="I72" s="157">
        <f t="shared" si="2"/>
        <v>1.4173076923076924E-2</v>
      </c>
      <c r="J72" s="157">
        <f t="shared" si="2"/>
        <v>1.8346666666666667E-2</v>
      </c>
      <c r="K72" s="157">
        <f t="shared" si="2"/>
        <v>1.6397368421052633E-2</v>
      </c>
      <c r="L72" s="157">
        <f t="shared" si="2"/>
        <v>6.1866666666666667E-3</v>
      </c>
      <c r="M72" s="157">
        <f t="shared" si="2"/>
        <v>9.653114754098361E-3</v>
      </c>
      <c r="N72" s="157">
        <f t="shared" si="2"/>
        <v>1.7388888888888888E-2</v>
      </c>
      <c r="O72" s="157">
        <f t="shared" si="2"/>
        <v>1.0003930269413628E-2</v>
      </c>
      <c r="P72" s="157">
        <f t="shared" si="2"/>
        <v>1.0804211141979821E-2</v>
      </c>
      <c r="Q72" s="157" t="e">
        <f t="shared" si="2"/>
        <v>#DIV/0!</v>
      </c>
      <c r="R72" s="157">
        <f t="shared" si="2"/>
        <v>1.9307860262008734E-2</v>
      </c>
      <c r="S72" s="157">
        <f t="shared" si="2"/>
        <v>8.2400000000000001E-2</v>
      </c>
      <c r="T72" s="157">
        <f t="shared" si="2"/>
        <v>0.1024</v>
      </c>
      <c r="U72" s="157">
        <f t="shared" si="2"/>
        <v>8.8486746987951809E-2</v>
      </c>
      <c r="V72" s="157" t="e">
        <f t="shared" si="2"/>
        <v>#DIV/0!</v>
      </c>
      <c r="W72" s="157">
        <f t="shared" si="2"/>
        <v>0.03</v>
      </c>
      <c r="X72" s="157" t="e">
        <f t="shared" si="2"/>
        <v>#DIV/0!</v>
      </c>
      <c r="Y72" s="157">
        <f t="shared" si="2"/>
        <v>5.4900000000000004E-2</v>
      </c>
      <c r="Z72" s="157">
        <f t="shared" si="2"/>
        <v>4.1632352941176475E-2</v>
      </c>
      <c r="AA72" s="157" t="e">
        <f t="shared" si="2"/>
        <v>#DIV/0!</v>
      </c>
      <c r="AB72" s="157">
        <f t="shared" si="2"/>
        <v>0.88598639455782324</v>
      </c>
      <c r="AC72" s="157">
        <f t="shared" si="2"/>
        <v>4.5359999999999998E-2</v>
      </c>
      <c r="AD72" s="157">
        <f t="shared" si="2"/>
        <v>155.83466666666666</v>
      </c>
      <c r="AE72" s="157">
        <f t="shared" si="2"/>
        <v>6.2964285714285709E-3</v>
      </c>
      <c r="AF72" s="157">
        <f t="shared" si="2"/>
        <v>1.55</v>
      </c>
      <c r="AG72" s="157">
        <f t="shared" si="2"/>
        <v>0.53960416666666666</v>
      </c>
      <c r="AH72" s="157" t="e">
        <f t="shared" si="2"/>
        <v>#DIV/0!</v>
      </c>
      <c r="AI72" s="157">
        <f t="shared" si="2"/>
        <v>5.8596875E-2</v>
      </c>
      <c r="AJ72" s="157">
        <f t="shared" si="2"/>
        <v>0.2045507584597433</v>
      </c>
      <c r="AK72" s="157">
        <f t="shared" si="2"/>
        <v>0.1363</v>
      </c>
      <c r="AL72" s="157">
        <f t="shared" si="2"/>
        <v>0.38117857142857142</v>
      </c>
      <c r="AM72" s="157">
        <f t="shared" si="2"/>
        <v>8.2133333333333336E-2</v>
      </c>
      <c r="AN72" s="157">
        <f t="shared" si="2"/>
        <v>0.29960000000000003</v>
      </c>
      <c r="AO72" s="157" t="e">
        <f t="shared" si="2"/>
        <v>#DIV/0!</v>
      </c>
      <c r="AP72" s="157">
        <f t="shared" si="2"/>
        <v>0.22796</v>
      </c>
    </row>
    <row r="73" spans="1:42" s="158" customFormat="1" ht="18" customHeight="1" x14ac:dyDescent="0.15">
      <c r="A73" s="156" t="s">
        <v>642</v>
      </c>
      <c r="B73" s="156" t="s">
        <v>643</v>
      </c>
      <c r="C73" s="157">
        <f t="shared" si="1"/>
        <v>9.8831699346405236E-3</v>
      </c>
      <c r="D73" s="157">
        <f t="shared" si="2"/>
        <v>1.1835585585585584E-2</v>
      </c>
      <c r="E73" s="157">
        <f t="shared" si="2"/>
        <v>1.5211528150134048E-2</v>
      </c>
      <c r="F73" s="157">
        <f t="shared" si="2"/>
        <v>7.1999999999999998E-3</v>
      </c>
      <c r="G73" s="157">
        <f t="shared" si="2"/>
        <v>4.5801379310344828E-3</v>
      </c>
      <c r="H73" s="157">
        <f t="shared" si="2"/>
        <v>1.4959677419354838E-2</v>
      </c>
      <c r="I73" s="157">
        <f t="shared" si="2"/>
        <v>1.5012562814070351E-2</v>
      </c>
      <c r="J73" s="157">
        <f t="shared" si="2"/>
        <v>1.8349928876244669E-2</v>
      </c>
      <c r="K73" s="157">
        <f t="shared" si="2"/>
        <v>1.6405038759689922E-2</v>
      </c>
      <c r="L73" s="157">
        <f t="shared" si="2"/>
        <v>6.1920000000000005E-3</v>
      </c>
      <c r="M73" s="157">
        <f t="shared" si="2"/>
        <v>9.6513691683569967E-3</v>
      </c>
      <c r="N73" s="157" t="e">
        <f t="shared" si="2"/>
        <v>#DIV/0!</v>
      </c>
      <c r="O73" s="157">
        <f t="shared" si="2"/>
        <v>1.0003288422014157E-2</v>
      </c>
      <c r="P73" s="157">
        <f t="shared" si="2"/>
        <v>1.0804670464936345E-2</v>
      </c>
      <c r="Q73" s="157" t="e">
        <f t="shared" si="2"/>
        <v>#DIV/0!</v>
      </c>
      <c r="R73" s="157">
        <f t="shared" si="2"/>
        <v>1.9308290155440416E-2</v>
      </c>
      <c r="S73" s="157">
        <f t="shared" si="2"/>
        <v>8.2176870748299324E-2</v>
      </c>
      <c r="T73" s="157">
        <f t="shared" si="2"/>
        <v>0.10199999999999999</v>
      </c>
      <c r="U73" s="157">
        <f t="shared" si="2"/>
        <v>8.8474114441416896E-2</v>
      </c>
      <c r="V73" s="157">
        <f t="shared" si="2"/>
        <v>5.5625000000000001E-2</v>
      </c>
      <c r="W73" s="157">
        <f t="shared" si="2"/>
        <v>3.097433211105291E-2</v>
      </c>
      <c r="X73" s="157" t="e">
        <f t="shared" si="2"/>
        <v>#DIV/0!</v>
      </c>
      <c r="Y73" s="157">
        <f t="shared" si="2"/>
        <v>5.4827586206896553E-2</v>
      </c>
      <c r="Z73" s="157">
        <f t="shared" si="2"/>
        <v>4.1405325443786979E-2</v>
      </c>
      <c r="AA73" s="157" t="e">
        <f t="shared" si="2"/>
        <v>#DIV/0!</v>
      </c>
      <c r="AB73" s="157">
        <f t="shared" si="2"/>
        <v>1.0277931034482759</v>
      </c>
      <c r="AC73" s="157">
        <f t="shared" si="2"/>
        <v>4.5356600910470411E-2</v>
      </c>
      <c r="AD73" s="157">
        <f t="shared" si="2"/>
        <v>154.91142857142859</v>
      </c>
      <c r="AE73" s="157">
        <f t="shared" si="2"/>
        <v>6.2849999999999998E-3</v>
      </c>
      <c r="AF73" s="157">
        <f t="shared" si="2"/>
        <v>1.55</v>
      </c>
      <c r="AG73" s="157">
        <f t="shared" si="2"/>
        <v>0.20924596050269301</v>
      </c>
      <c r="AH73" s="157">
        <f t="shared" si="2"/>
        <v>5.715025906735751E-2</v>
      </c>
      <c r="AI73" s="157">
        <f t="shared" si="2"/>
        <v>4.7167919799498748E-2</v>
      </c>
      <c r="AJ73" s="157">
        <f t="shared" si="2"/>
        <v>0.2077450980392157</v>
      </c>
      <c r="AK73" s="157">
        <f t="shared" si="2"/>
        <v>0.13642857142857143</v>
      </c>
      <c r="AL73" s="157">
        <f t="shared" si="2"/>
        <v>0.3779365079365079</v>
      </c>
      <c r="AM73" s="157">
        <f t="shared" si="2"/>
        <v>8.4016393442622947E-2</v>
      </c>
      <c r="AN73" s="157">
        <f t="shared" si="2"/>
        <v>0.32400000000000001</v>
      </c>
      <c r="AO73" s="157">
        <f t="shared" si="2"/>
        <v>0.36049180327868852</v>
      </c>
      <c r="AP73" s="157">
        <f t="shared" si="2"/>
        <v>0.22795698924731184</v>
      </c>
    </row>
    <row r="74" spans="1:42" s="158" customFormat="1" ht="18" hidden="1" customHeight="1" x14ac:dyDescent="0.15">
      <c r="A74" s="156"/>
      <c r="B74" s="156"/>
      <c r="C74" s="157">
        <f t="shared" si="1"/>
        <v>9.8855482771990893E-3</v>
      </c>
      <c r="D74" s="157">
        <f t="shared" si="2"/>
        <v>1.1833461035741649E-2</v>
      </c>
      <c r="E74" s="157" t="e">
        <f t="shared" si="2"/>
        <v>#DIV/0!</v>
      </c>
      <c r="F74" s="157" t="e">
        <f t="shared" si="2"/>
        <v>#DIV/0!</v>
      </c>
      <c r="G74" s="157" t="e">
        <f t="shared" si="2"/>
        <v>#DIV/0!</v>
      </c>
      <c r="H74" s="157" t="e">
        <f t="shared" si="2"/>
        <v>#DIV/0!</v>
      </c>
      <c r="I74" s="157" t="e">
        <f t="shared" si="2"/>
        <v>#DIV/0!</v>
      </c>
      <c r="J74" s="157" t="e">
        <f t="shared" si="2"/>
        <v>#DIV/0!</v>
      </c>
      <c r="K74" s="157" t="e">
        <f t="shared" si="2"/>
        <v>#DIV/0!</v>
      </c>
      <c r="L74" s="157" t="e">
        <f t="shared" si="2"/>
        <v>#DIV/0!</v>
      </c>
      <c r="M74" s="157" t="e">
        <f t="shared" si="2"/>
        <v>#DIV/0!</v>
      </c>
      <c r="N74" s="157" t="e">
        <f t="shared" si="2"/>
        <v>#DIV/0!</v>
      </c>
      <c r="O74" s="157" t="e">
        <f t="shared" si="2"/>
        <v>#DIV/0!</v>
      </c>
      <c r="P74" s="157" t="e">
        <f t="shared" si="2"/>
        <v>#DIV/0!</v>
      </c>
      <c r="Q74" s="157" t="e">
        <f t="shared" si="2"/>
        <v>#DIV/0!</v>
      </c>
      <c r="R74" s="157" t="e">
        <f t="shared" si="2"/>
        <v>#DIV/0!</v>
      </c>
      <c r="S74" s="157" t="e">
        <f t="shared" si="2"/>
        <v>#DIV/0!</v>
      </c>
      <c r="T74" s="157" t="e">
        <f t="shared" si="2"/>
        <v>#DIV/0!</v>
      </c>
      <c r="U74" s="157" t="e">
        <f t="shared" si="2"/>
        <v>#DIV/0!</v>
      </c>
      <c r="V74" s="157" t="e">
        <f t="shared" si="2"/>
        <v>#DIV/0!</v>
      </c>
      <c r="W74" s="157" t="e">
        <f t="shared" si="2"/>
        <v>#DIV/0!</v>
      </c>
      <c r="X74" s="157" t="e">
        <f t="shared" si="2"/>
        <v>#DIV/0!</v>
      </c>
      <c r="Y74" s="157" t="e">
        <f t="shared" si="2"/>
        <v>#DIV/0!</v>
      </c>
      <c r="Z74" s="157" t="e">
        <f t="shared" si="2"/>
        <v>#DIV/0!</v>
      </c>
      <c r="AA74" s="157" t="e">
        <f t="shared" si="2"/>
        <v>#DIV/0!</v>
      </c>
      <c r="AB74" s="157" t="e">
        <f t="shared" si="2"/>
        <v>#DIV/0!</v>
      </c>
      <c r="AC74" s="157" t="e">
        <f t="shared" si="2"/>
        <v>#DIV/0!</v>
      </c>
      <c r="AD74" s="157" t="e">
        <f t="shared" si="2"/>
        <v>#DIV/0!</v>
      </c>
      <c r="AE74" s="157" t="e">
        <f t="shared" si="2"/>
        <v>#DIV/0!</v>
      </c>
      <c r="AF74" s="157" t="e">
        <f t="shared" si="2"/>
        <v>#DIV/0!</v>
      </c>
      <c r="AG74" s="157" t="e">
        <f t="shared" si="2"/>
        <v>#DIV/0!</v>
      </c>
      <c r="AH74" s="157" t="e">
        <f t="shared" si="2"/>
        <v>#DIV/0!</v>
      </c>
      <c r="AI74" s="157" t="e">
        <f t="shared" si="2"/>
        <v>#DIV/0!</v>
      </c>
      <c r="AJ74" s="157" t="e">
        <f t="shared" si="2"/>
        <v>#DIV/0!</v>
      </c>
      <c r="AK74" s="157" t="e">
        <f t="shared" si="2"/>
        <v>#DIV/0!</v>
      </c>
      <c r="AL74" s="157" t="e">
        <f t="shared" si="2"/>
        <v>#DIV/0!</v>
      </c>
      <c r="AM74" s="157" t="e">
        <f t="shared" si="2"/>
        <v>#DIV/0!</v>
      </c>
      <c r="AN74" s="157" t="e">
        <f t="shared" si="2"/>
        <v>#DIV/0!</v>
      </c>
      <c r="AO74" s="157" t="e">
        <f t="shared" si="2"/>
        <v>#DIV/0!</v>
      </c>
      <c r="AP74" s="157" t="e">
        <f t="shared" si="2"/>
        <v>#DIV/0!</v>
      </c>
    </row>
    <row r="75" spans="1:42" s="158" customFormat="1" ht="18" hidden="1" customHeight="1" x14ac:dyDescent="0.15">
      <c r="A75" s="156"/>
      <c r="B75" s="156"/>
      <c r="C75" s="157" t="e">
        <f t="shared" si="1"/>
        <v>#DIV/0!</v>
      </c>
      <c r="D75" s="157" t="e">
        <f t="shared" si="2"/>
        <v>#DIV/0!</v>
      </c>
      <c r="E75" s="157" t="e">
        <f t="shared" si="2"/>
        <v>#DIV/0!</v>
      </c>
      <c r="F75" s="157" t="e">
        <f t="shared" si="2"/>
        <v>#DIV/0!</v>
      </c>
      <c r="G75" s="157" t="e">
        <f t="shared" si="2"/>
        <v>#DIV/0!</v>
      </c>
      <c r="H75" s="157" t="e">
        <f t="shared" si="2"/>
        <v>#DIV/0!</v>
      </c>
      <c r="I75" s="157" t="e">
        <f t="shared" si="2"/>
        <v>#DIV/0!</v>
      </c>
      <c r="J75" s="157" t="e">
        <f t="shared" si="2"/>
        <v>#DIV/0!</v>
      </c>
      <c r="K75" s="157" t="e">
        <f t="shared" si="2"/>
        <v>#DIV/0!</v>
      </c>
      <c r="L75" s="157" t="e">
        <f t="shared" si="2"/>
        <v>#DIV/0!</v>
      </c>
      <c r="M75" s="157" t="e">
        <f t="shared" si="2"/>
        <v>#DIV/0!</v>
      </c>
      <c r="N75" s="157" t="e">
        <f t="shared" si="2"/>
        <v>#DIV/0!</v>
      </c>
      <c r="O75" s="157" t="e">
        <f t="shared" si="2"/>
        <v>#DIV/0!</v>
      </c>
      <c r="P75" s="157" t="e">
        <f t="shared" si="2"/>
        <v>#DIV/0!</v>
      </c>
      <c r="Q75" s="157" t="e">
        <f t="shared" si="2"/>
        <v>#DIV/0!</v>
      </c>
      <c r="R75" s="157" t="e">
        <f t="shared" si="2"/>
        <v>#DIV/0!</v>
      </c>
      <c r="S75" s="157" t="e">
        <f t="shared" si="2"/>
        <v>#DIV/0!</v>
      </c>
      <c r="T75" s="157" t="e">
        <f t="shared" si="2"/>
        <v>#DIV/0!</v>
      </c>
      <c r="U75" s="157" t="e">
        <f t="shared" si="2"/>
        <v>#DIV/0!</v>
      </c>
      <c r="V75" s="157" t="e">
        <f t="shared" ref="D75:AP81" si="3">V46/V17</f>
        <v>#DIV/0!</v>
      </c>
      <c r="W75" s="157" t="e">
        <f t="shared" si="3"/>
        <v>#DIV/0!</v>
      </c>
      <c r="X75" s="157" t="e">
        <f t="shared" si="3"/>
        <v>#DIV/0!</v>
      </c>
      <c r="Y75" s="157" t="e">
        <f t="shared" si="3"/>
        <v>#DIV/0!</v>
      </c>
      <c r="Z75" s="157" t="e">
        <f t="shared" si="3"/>
        <v>#DIV/0!</v>
      </c>
      <c r="AA75" s="157" t="e">
        <f t="shared" si="3"/>
        <v>#DIV/0!</v>
      </c>
      <c r="AB75" s="157" t="e">
        <f t="shared" si="3"/>
        <v>#DIV/0!</v>
      </c>
      <c r="AC75" s="157" t="e">
        <f t="shared" si="3"/>
        <v>#DIV/0!</v>
      </c>
      <c r="AD75" s="157" t="e">
        <f t="shared" si="3"/>
        <v>#DIV/0!</v>
      </c>
      <c r="AE75" s="157" t="e">
        <f t="shared" si="3"/>
        <v>#DIV/0!</v>
      </c>
      <c r="AF75" s="157" t="e">
        <f t="shared" si="3"/>
        <v>#DIV/0!</v>
      </c>
      <c r="AG75" s="157" t="e">
        <f t="shared" si="3"/>
        <v>#DIV/0!</v>
      </c>
      <c r="AH75" s="157" t="e">
        <f t="shared" si="3"/>
        <v>#DIV/0!</v>
      </c>
      <c r="AI75" s="157" t="e">
        <f t="shared" si="3"/>
        <v>#DIV/0!</v>
      </c>
      <c r="AJ75" s="157" t="e">
        <f t="shared" si="3"/>
        <v>#DIV/0!</v>
      </c>
      <c r="AK75" s="157" t="e">
        <f t="shared" si="3"/>
        <v>#DIV/0!</v>
      </c>
      <c r="AL75" s="157" t="e">
        <f t="shared" si="3"/>
        <v>#DIV/0!</v>
      </c>
      <c r="AM75" s="157" t="e">
        <f t="shared" si="3"/>
        <v>#DIV/0!</v>
      </c>
      <c r="AN75" s="157" t="e">
        <f t="shared" si="3"/>
        <v>#DIV/0!</v>
      </c>
      <c r="AO75" s="157" t="e">
        <f t="shared" si="3"/>
        <v>#DIV/0!</v>
      </c>
      <c r="AP75" s="157" t="e">
        <f t="shared" si="3"/>
        <v>#DIV/0!</v>
      </c>
    </row>
    <row r="76" spans="1:42" s="158" customFormat="1" ht="18" hidden="1" customHeight="1" x14ac:dyDescent="0.15">
      <c r="A76" s="156"/>
      <c r="B76" s="156"/>
      <c r="C76" s="157" t="e">
        <f t="shared" si="1"/>
        <v>#DIV/0!</v>
      </c>
      <c r="D76" s="157" t="e">
        <f t="shared" si="3"/>
        <v>#DIV/0!</v>
      </c>
      <c r="E76" s="157" t="e">
        <f t="shared" si="3"/>
        <v>#DIV/0!</v>
      </c>
      <c r="F76" s="157" t="e">
        <f t="shared" si="3"/>
        <v>#DIV/0!</v>
      </c>
      <c r="G76" s="157" t="e">
        <f t="shared" si="3"/>
        <v>#DIV/0!</v>
      </c>
      <c r="H76" s="157" t="e">
        <f t="shared" si="3"/>
        <v>#DIV/0!</v>
      </c>
      <c r="I76" s="157" t="e">
        <f t="shared" si="3"/>
        <v>#DIV/0!</v>
      </c>
      <c r="J76" s="157" t="e">
        <f t="shared" si="3"/>
        <v>#DIV/0!</v>
      </c>
      <c r="K76" s="157" t="e">
        <f t="shared" si="3"/>
        <v>#DIV/0!</v>
      </c>
      <c r="L76" s="157" t="e">
        <f t="shared" si="3"/>
        <v>#DIV/0!</v>
      </c>
      <c r="M76" s="157" t="e">
        <f t="shared" si="3"/>
        <v>#DIV/0!</v>
      </c>
      <c r="N76" s="157" t="e">
        <f t="shared" si="3"/>
        <v>#DIV/0!</v>
      </c>
      <c r="O76" s="157" t="e">
        <f t="shared" si="3"/>
        <v>#DIV/0!</v>
      </c>
      <c r="P76" s="157" t="e">
        <f t="shared" si="3"/>
        <v>#DIV/0!</v>
      </c>
      <c r="Q76" s="157" t="e">
        <f t="shared" si="3"/>
        <v>#DIV/0!</v>
      </c>
      <c r="R76" s="157" t="e">
        <f t="shared" si="3"/>
        <v>#DIV/0!</v>
      </c>
      <c r="S76" s="157" t="e">
        <f t="shared" si="3"/>
        <v>#DIV/0!</v>
      </c>
      <c r="T76" s="157" t="e">
        <f t="shared" si="3"/>
        <v>#DIV/0!</v>
      </c>
      <c r="U76" s="157" t="e">
        <f t="shared" si="3"/>
        <v>#DIV/0!</v>
      </c>
      <c r="V76" s="157" t="e">
        <f t="shared" si="3"/>
        <v>#DIV/0!</v>
      </c>
      <c r="W76" s="157" t="e">
        <f t="shared" si="3"/>
        <v>#DIV/0!</v>
      </c>
      <c r="X76" s="157" t="e">
        <f t="shared" si="3"/>
        <v>#DIV/0!</v>
      </c>
      <c r="Y76" s="157" t="e">
        <f t="shared" si="3"/>
        <v>#DIV/0!</v>
      </c>
      <c r="Z76" s="157" t="e">
        <f t="shared" si="3"/>
        <v>#DIV/0!</v>
      </c>
      <c r="AA76" s="157" t="e">
        <f t="shared" si="3"/>
        <v>#DIV/0!</v>
      </c>
      <c r="AB76" s="157" t="e">
        <f t="shared" si="3"/>
        <v>#DIV/0!</v>
      </c>
      <c r="AC76" s="157" t="e">
        <f t="shared" si="3"/>
        <v>#DIV/0!</v>
      </c>
      <c r="AD76" s="157" t="e">
        <f t="shared" si="3"/>
        <v>#DIV/0!</v>
      </c>
      <c r="AE76" s="157" t="e">
        <f t="shared" si="3"/>
        <v>#DIV/0!</v>
      </c>
      <c r="AF76" s="157" t="e">
        <f t="shared" si="3"/>
        <v>#DIV/0!</v>
      </c>
      <c r="AG76" s="157" t="e">
        <f t="shared" si="3"/>
        <v>#DIV/0!</v>
      </c>
      <c r="AH76" s="157" t="e">
        <f t="shared" si="3"/>
        <v>#DIV/0!</v>
      </c>
      <c r="AI76" s="157" t="e">
        <f t="shared" si="3"/>
        <v>#DIV/0!</v>
      </c>
      <c r="AJ76" s="157" t="e">
        <f t="shared" si="3"/>
        <v>#DIV/0!</v>
      </c>
      <c r="AK76" s="157" t="e">
        <f t="shared" si="3"/>
        <v>#DIV/0!</v>
      </c>
      <c r="AL76" s="157" t="e">
        <f t="shared" si="3"/>
        <v>#DIV/0!</v>
      </c>
      <c r="AM76" s="157" t="e">
        <f t="shared" si="3"/>
        <v>#DIV/0!</v>
      </c>
      <c r="AN76" s="157" t="e">
        <f t="shared" si="3"/>
        <v>#DIV/0!</v>
      </c>
      <c r="AO76" s="157" t="e">
        <f t="shared" si="3"/>
        <v>#DIV/0!</v>
      </c>
      <c r="AP76" s="157" t="e">
        <f t="shared" si="3"/>
        <v>#DIV/0!</v>
      </c>
    </row>
    <row r="77" spans="1:42" s="158" customFormat="1" ht="18" hidden="1" customHeight="1" x14ac:dyDescent="0.15">
      <c r="A77" s="159"/>
      <c r="B77" s="2"/>
      <c r="C77" s="157" t="e">
        <f t="shared" si="1"/>
        <v>#DIV/0!</v>
      </c>
      <c r="D77" s="157" t="e">
        <f t="shared" si="3"/>
        <v>#DIV/0!</v>
      </c>
      <c r="E77" s="157" t="e">
        <f t="shared" si="3"/>
        <v>#DIV/0!</v>
      </c>
      <c r="F77" s="157" t="e">
        <f t="shared" si="3"/>
        <v>#DIV/0!</v>
      </c>
      <c r="G77" s="157" t="e">
        <f t="shared" si="3"/>
        <v>#DIV/0!</v>
      </c>
      <c r="H77" s="157" t="e">
        <f t="shared" si="3"/>
        <v>#DIV/0!</v>
      </c>
      <c r="I77" s="157" t="e">
        <f t="shared" si="3"/>
        <v>#DIV/0!</v>
      </c>
      <c r="J77" s="157" t="e">
        <f t="shared" si="3"/>
        <v>#DIV/0!</v>
      </c>
      <c r="K77" s="157" t="e">
        <f t="shared" si="3"/>
        <v>#DIV/0!</v>
      </c>
      <c r="L77" s="157" t="e">
        <f t="shared" si="3"/>
        <v>#DIV/0!</v>
      </c>
      <c r="M77" s="157" t="e">
        <f t="shared" si="3"/>
        <v>#DIV/0!</v>
      </c>
      <c r="N77" s="157" t="e">
        <f t="shared" si="3"/>
        <v>#DIV/0!</v>
      </c>
      <c r="O77" s="157" t="e">
        <f t="shared" si="3"/>
        <v>#DIV/0!</v>
      </c>
      <c r="P77" s="157" t="e">
        <f t="shared" si="3"/>
        <v>#DIV/0!</v>
      </c>
      <c r="Q77" s="157" t="e">
        <f t="shared" si="3"/>
        <v>#DIV/0!</v>
      </c>
      <c r="R77" s="157" t="e">
        <f t="shared" si="3"/>
        <v>#DIV/0!</v>
      </c>
      <c r="S77" s="157" t="e">
        <f t="shared" si="3"/>
        <v>#DIV/0!</v>
      </c>
      <c r="T77" s="157" t="e">
        <f t="shared" si="3"/>
        <v>#DIV/0!</v>
      </c>
      <c r="U77" s="157" t="e">
        <f t="shared" si="3"/>
        <v>#DIV/0!</v>
      </c>
      <c r="V77" s="157" t="e">
        <f t="shared" si="3"/>
        <v>#DIV/0!</v>
      </c>
      <c r="W77" s="157" t="e">
        <f t="shared" si="3"/>
        <v>#DIV/0!</v>
      </c>
      <c r="X77" s="157" t="e">
        <f t="shared" si="3"/>
        <v>#DIV/0!</v>
      </c>
      <c r="Y77" s="157" t="e">
        <f t="shared" si="3"/>
        <v>#DIV/0!</v>
      </c>
      <c r="Z77" s="157" t="e">
        <f t="shared" si="3"/>
        <v>#DIV/0!</v>
      </c>
      <c r="AA77" s="157" t="e">
        <f t="shared" si="3"/>
        <v>#DIV/0!</v>
      </c>
      <c r="AB77" s="157" t="e">
        <f t="shared" si="3"/>
        <v>#DIV/0!</v>
      </c>
      <c r="AC77" s="157" t="e">
        <f t="shared" si="3"/>
        <v>#DIV/0!</v>
      </c>
      <c r="AD77" s="157" t="e">
        <f t="shared" si="3"/>
        <v>#DIV/0!</v>
      </c>
      <c r="AE77" s="157" t="e">
        <f t="shared" si="3"/>
        <v>#DIV/0!</v>
      </c>
      <c r="AF77" s="157" t="e">
        <f t="shared" si="3"/>
        <v>#DIV/0!</v>
      </c>
      <c r="AG77" s="157" t="e">
        <f t="shared" si="3"/>
        <v>#DIV/0!</v>
      </c>
      <c r="AH77" s="157" t="e">
        <f t="shared" si="3"/>
        <v>#DIV/0!</v>
      </c>
      <c r="AI77" s="157" t="e">
        <f t="shared" si="3"/>
        <v>#DIV/0!</v>
      </c>
      <c r="AJ77" s="157" t="e">
        <f t="shared" si="3"/>
        <v>#DIV/0!</v>
      </c>
      <c r="AK77" s="157" t="e">
        <f t="shared" si="3"/>
        <v>#DIV/0!</v>
      </c>
      <c r="AL77" s="157" t="e">
        <f t="shared" si="3"/>
        <v>#DIV/0!</v>
      </c>
      <c r="AM77" s="157" t="e">
        <f t="shared" si="3"/>
        <v>#DIV/0!</v>
      </c>
      <c r="AN77" s="157" t="e">
        <f t="shared" si="3"/>
        <v>#DIV/0!</v>
      </c>
      <c r="AO77" s="157" t="e">
        <f t="shared" si="3"/>
        <v>#DIV/0!</v>
      </c>
      <c r="AP77" s="157" t="e">
        <f t="shared" si="3"/>
        <v>#DIV/0!</v>
      </c>
    </row>
    <row r="78" spans="1:42" s="158" customFormat="1" ht="18" hidden="1" customHeight="1" x14ac:dyDescent="0.15">
      <c r="A78" s="156"/>
      <c r="B78" s="156"/>
      <c r="C78" s="157" t="e">
        <f t="shared" si="1"/>
        <v>#DIV/0!</v>
      </c>
      <c r="D78" s="157" t="e">
        <f t="shared" si="3"/>
        <v>#DIV/0!</v>
      </c>
      <c r="E78" s="157" t="e">
        <f t="shared" si="3"/>
        <v>#DIV/0!</v>
      </c>
      <c r="F78" s="157" t="e">
        <f t="shared" si="3"/>
        <v>#DIV/0!</v>
      </c>
      <c r="G78" s="157" t="e">
        <f t="shared" si="3"/>
        <v>#DIV/0!</v>
      </c>
      <c r="H78" s="157" t="e">
        <f t="shared" si="3"/>
        <v>#DIV/0!</v>
      </c>
      <c r="I78" s="157" t="e">
        <f t="shared" si="3"/>
        <v>#DIV/0!</v>
      </c>
      <c r="J78" s="157" t="e">
        <f t="shared" si="3"/>
        <v>#DIV/0!</v>
      </c>
      <c r="K78" s="157" t="e">
        <f t="shared" si="3"/>
        <v>#DIV/0!</v>
      </c>
      <c r="L78" s="157" t="e">
        <f t="shared" si="3"/>
        <v>#DIV/0!</v>
      </c>
      <c r="M78" s="157" t="e">
        <f t="shared" si="3"/>
        <v>#DIV/0!</v>
      </c>
      <c r="N78" s="157" t="e">
        <f t="shared" si="3"/>
        <v>#DIV/0!</v>
      </c>
      <c r="O78" s="157" t="e">
        <f t="shared" si="3"/>
        <v>#DIV/0!</v>
      </c>
      <c r="P78" s="157" t="e">
        <f t="shared" si="3"/>
        <v>#DIV/0!</v>
      </c>
      <c r="Q78" s="157" t="e">
        <f t="shared" si="3"/>
        <v>#DIV/0!</v>
      </c>
      <c r="R78" s="157" t="e">
        <f t="shared" si="3"/>
        <v>#DIV/0!</v>
      </c>
      <c r="S78" s="157" t="e">
        <f t="shared" si="3"/>
        <v>#DIV/0!</v>
      </c>
      <c r="T78" s="157" t="e">
        <f t="shared" si="3"/>
        <v>#DIV/0!</v>
      </c>
      <c r="U78" s="157" t="e">
        <f t="shared" si="3"/>
        <v>#DIV/0!</v>
      </c>
      <c r="V78" s="157" t="e">
        <f t="shared" si="3"/>
        <v>#DIV/0!</v>
      </c>
      <c r="W78" s="157" t="e">
        <f t="shared" si="3"/>
        <v>#DIV/0!</v>
      </c>
      <c r="X78" s="157" t="e">
        <f t="shared" si="3"/>
        <v>#DIV/0!</v>
      </c>
      <c r="Y78" s="157" t="e">
        <f t="shared" si="3"/>
        <v>#DIV/0!</v>
      </c>
      <c r="Z78" s="157" t="e">
        <f t="shared" si="3"/>
        <v>#DIV/0!</v>
      </c>
      <c r="AA78" s="157" t="e">
        <f t="shared" si="3"/>
        <v>#DIV/0!</v>
      </c>
      <c r="AB78" s="157" t="e">
        <f t="shared" si="3"/>
        <v>#DIV/0!</v>
      </c>
      <c r="AC78" s="157" t="e">
        <f t="shared" si="3"/>
        <v>#DIV/0!</v>
      </c>
      <c r="AD78" s="157" t="e">
        <f t="shared" si="3"/>
        <v>#DIV/0!</v>
      </c>
      <c r="AE78" s="157" t="e">
        <f t="shared" si="3"/>
        <v>#DIV/0!</v>
      </c>
      <c r="AF78" s="157" t="e">
        <f t="shared" si="3"/>
        <v>#DIV/0!</v>
      </c>
      <c r="AG78" s="157" t="e">
        <f t="shared" si="3"/>
        <v>#DIV/0!</v>
      </c>
      <c r="AH78" s="157" t="e">
        <f t="shared" si="3"/>
        <v>#DIV/0!</v>
      </c>
      <c r="AI78" s="157" t="e">
        <f t="shared" si="3"/>
        <v>#DIV/0!</v>
      </c>
      <c r="AJ78" s="157" t="e">
        <f t="shared" si="3"/>
        <v>#DIV/0!</v>
      </c>
      <c r="AK78" s="157" t="e">
        <f t="shared" si="3"/>
        <v>#DIV/0!</v>
      </c>
      <c r="AL78" s="157" t="e">
        <f t="shared" si="3"/>
        <v>#DIV/0!</v>
      </c>
      <c r="AM78" s="157" t="e">
        <f t="shared" si="3"/>
        <v>#DIV/0!</v>
      </c>
      <c r="AN78" s="157" t="e">
        <f t="shared" si="3"/>
        <v>#DIV/0!</v>
      </c>
      <c r="AO78" s="157" t="e">
        <f t="shared" si="3"/>
        <v>#DIV/0!</v>
      </c>
      <c r="AP78" s="157" t="e">
        <f t="shared" si="3"/>
        <v>#DIV/0!</v>
      </c>
    </row>
    <row r="79" spans="1:42" s="158" customFormat="1" ht="18" hidden="1" customHeight="1" x14ac:dyDescent="0.15">
      <c r="A79" s="156"/>
      <c r="B79" s="156"/>
      <c r="C79" s="157" t="e">
        <f t="shared" si="1"/>
        <v>#DIV/0!</v>
      </c>
      <c r="D79" s="157" t="e">
        <f t="shared" si="3"/>
        <v>#DIV/0!</v>
      </c>
      <c r="E79" s="157" t="e">
        <f t="shared" si="3"/>
        <v>#DIV/0!</v>
      </c>
      <c r="F79" s="157" t="e">
        <f t="shared" si="3"/>
        <v>#DIV/0!</v>
      </c>
      <c r="G79" s="157" t="e">
        <f t="shared" si="3"/>
        <v>#DIV/0!</v>
      </c>
      <c r="H79" s="157" t="e">
        <f t="shared" si="3"/>
        <v>#DIV/0!</v>
      </c>
      <c r="I79" s="157" t="e">
        <f t="shared" si="3"/>
        <v>#DIV/0!</v>
      </c>
      <c r="J79" s="157" t="e">
        <f t="shared" si="3"/>
        <v>#DIV/0!</v>
      </c>
      <c r="K79" s="157" t="e">
        <f t="shared" si="3"/>
        <v>#DIV/0!</v>
      </c>
      <c r="L79" s="157" t="e">
        <f t="shared" si="3"/>
        <v>#DIV/0!</v>
      </c>
      <c r="M79" s="157" t="e">
        <f t="shared" si="3"/>
        <v>#DIV/0!</v>
      </c>
      <c r="N79" s="157" t="e">
        <f t="shared" si="3"/>
        <v>#DIV/0!</v>
      </c>
      <c r="O79" s="157" t="e">
        <f t="shared" si="3"/>
        <v>#DIV/0!</v>
      </c>
      <c r="P79" s="157" t="e">
        <f t="shared" si="3"/>
        <v>#DIV/0!</v>
      </c>
      <c r="Q79" s="157" t="e">
        <f t="shared" si="3"/>
        <v>#DIV/0!</v>
      </c>
      <c r="R79" s="157" t="e">
        <f t="shared" si="3"/>
        <v>#DIV/0!</v>
      </c>
      <c r="S79" s="157" t="e">
        <f t="shared" si="3"/>
        <v>#DIV/0!</v>
      </c>
      <c r="T79" s="157" t="e">
        <f t="shared" si="3"/>
        <v>#DIV/0!</v>
      </c>
      <c r="U79" s="157" t="e">
        <f t="shared" si="3"/>
        <v>#DIV/0!</v>
      </c>
      <c r="V79" s="157" t="e">
        <f t="shared" si="3"/>
        <v>#DIV/0!</v>
      </c>
      <c r="W79" s="157" t="e">
        <f t="shared" si="3"/>
        <v>#DIV/0!</v>
      </c>
      <c r="X79" s="157" t="e">
        <f t="shared" si="3"/>
        <v>#DIV/0!</v>
      </c>
      <c r="Y79" s="157" t="e">
        <f t="shared" si="3"/>
        <v>#DIV/0!</v>
      </c>
      <c r="Z79" s="157" t="e">
        <f t="shared" si="3"/>
        <v>#DIV/0!</v>
      </c>
      <c r="AA79" s="157" t="e">
        <f t="shared" si="3"/>
        <v>#DIV/0!</v>
      </c>
      <c r="AB79" s="157" t="e">
        <f t="shared" si="3"/>
        <v>#DIV/0!</v>
      </c>
      <c r="AC79" s="157" t="e">
        <f t="shared" si="3"/>
        <v>#DIV/0!</v>
      </c>
      <c r="AD79" s="157" t="e">
        <f t="shared" si="3"/>
        <v>#DIV/0!</v>
      </c>
      <c r="AE79" s="157" t="e">
        <f t="shared" si="3"/>
        <v>#DIV/0!</v>
      </c>
      <c r="AF79" s="157" t="e">
        <f t="shared" si="3"/>
        <v>#DIV/0!</v>
      </c>
      <c r="AG79" s="157" t="e">
        <f t="shared" si="3"/>
        <v>#DIV/0!</v>
      </c>
      <c r="AH79" s="157" t="e">
        <f t="shared" si="3"/>
        <v>#DIV/0!</v>
      </c>
      <c r="AI79" s="157" t="e">
        <f t="shared" si="3"/>
        <v>#DIV/0!</v>
      </c>
      <c r="AJ79" s="157" t="e">
        <f t="shared" si="3"/>
        <v>#DIV/0!</v>
      </c>
      <c r="AK79" s="157" t="e">
        <f t="shared" si="3"/>
        <v>#DIV/0!</v>
      </c>
      <c r="AL79" s="157" t="e">
        <f t="shared" si="3"/>
        <v>#DIV/0!</v>
      </c>
      <c r="AM79" s="157" t="e">
        <f t="shared" si="3"/>
        <v>#DIV/0!</v>
      </c>
      <c r="AN79" s="157" t="e">
        <f t="shared" si="3"/>
        <v>#DIV/0!</v>
      </c>
      <c r="AO79" s="157" t="e">
        <f t="shared" si="3"/>
        <v>#DIV/0!</v>
      </c>
      <c r="AP79" s="157" t="e">
        <f t="shared" si="3"/>
        <v>#DIV/0!</v>
      </c>
    </row>
    <row r="80" spans="1:42" s="158" customFormat="1" ht="18" hidden="1" customHeight="1" x14ac:dyDescent="0.15">
      <c r="A80" s="156"/>
      <c r="B80" s="156"/>
      <c r="C80" s="157" t="e">
        <f t="shared" si="1"/>
        <v>#DIV/0!</v>
      </c>
      <c r="D80" s="157" t="e">
        <f t="shared" si="3"/>
        <v>#DIV/0!</v>
      </c>
      <c r="E80" s="157" t="e">
        <f t="shared" si="3"/>
        <v>#DIV/0!</v>
      </c>
      <c r="F80" s="157" t="e">
        <f t="shared" si="3"/>
        <v>#DIV/0!</v>
      </c>
      <c r="G80" s="157" t="e">
        <f t="shared" si="3"/>
        <v>#DIV/0!</v>
      </c>
      <c r="H80" s="157" t="e">
        <f t="shared" si="3"/>
        <v>#DIV/0!</v>
      </c>
      <c r="I80" s="157" t="e">
        <f t="shared" si="3"/>
        <v>#DIV/0!</v>
      </c>
      <c r="J80" s="157" t="e">
        <f t="shared" si="3"/>
        <v>#DIV/0!</v>
      </c>
      <c r="K80" s="157" t="e">
        <f t="shared" si="3"/>
        <v>#DIV/0!</v>
      </c>
      <c r="L80" s="157" t="e">
        <f t="shared" si="3"/>
        <v>#DIV/0!</v>
      </c>
      <c r="M80" s="157" t="e">
        <f t="shared" si="3"/>
        <v>#DIV/0!</v>
      </c>
      <c r="N80" s="157" t="e">
        <f t="shared" si="3"/>
        <v>#DIV/0!</v>
      </c>
      <c r="O80" s="157" t="e">
        <f t="shared" si="3"/>
        <v>#DIV/0!</v>
      </c>
      <c r="P80" s="157" t="e">
        <f t="shared" si="3"/>
        <v>#DIV/0!</v>
      </c>
      <c r="Q80" s="157" t="e">
        <f t="shared" si="3"/>
        <v>#DIV/0!</v>
      </c>
      <c r="R80" s="157" t="e">
        <f t="shared" si="3"/>
        <v>#DIV/0!</v>
      </c>
      <c r="S80" s="157" t="e">
        <f t="shared" si="3"/>
        <v>#DIV/0!</v>
      </c>
      <c r="T80" s="157" t="e">
        <f t="shared" si="3"/>
        <v>#DIV/0!</v>
      </c>
      <c r="U80" s="157" t="e">
        <f t="shared" si="3"/>
        <v>#DIV/0!</v>
      </c>
      <c r="V80" s="157" t="e">
        <f t="shared" si="3"/>
        <v>#DIV/0!</v>
      </c>
      <c r="W80" s="157" t="e">
        <f t="shared" si="3"/>
        <v>#DIV/0!</v>
      </c>
      <c r="X80" s="157" t="e">
        <f t="shared" si="3"/>
        <v>#DIV/0!</v>
      </c>
      <c r="Y80" s="157" t="e">
        <f t="shared" si="3"/>
        <v>#DIV/0!</v>
      </c>
      <c r="Z80" s="157" t="e">
        <f t="shared" si="3"/>
        <v>#DIV/0!</v>
      </c>
      <c r="AA80" s="157" t="e">
        <f t="shared" si="3"/>
        <v>#DIV/0!</v>
      </c>
      <c r="AB80" s="157" t="e">
        <f t="shared" si="3"/>
        <v>#DIV/0!</v>
      </c>
      <c r="AC80" s="157" t="e">
        <f t="shared" si="3"/>
        <v>#DIV/0!</v>
      </c>
      <c r="AD80" s="157" t="e">
        <f t="shared" si="3"/>
        <v>#DIV/0!</v>
      </c>
      <c r="AE80" s="157" t="e">
        <f t="shared" si="3"/>
        <v>#DIV/0!</v>
      </c>
      <c r="AF80" s="157" t="e">
        <f t="shared" si="3"/>
        <v>#DIV/0!</v>
      </c>
      <c r="AG80" s="157" t="e">
        <f t="shared" si="3"/>
        <v>#DIV/0!</v>
      </c>
      <c r="AH80" s="157" t="e">
        <f t="shared" si="3"/>
        <v>#DIV/0!</v>
      </c>
      <c r="AI80" s="157" t="e">
        <f t="shared" si="3"/>
        <v>#DIV/0!</v>
      </c>
      <c r="AJ80" s="157" t="e">
        <f t="shared" si="3"/>
        <v>#DIV/0!</v>
      </c>
      <c r="AK80" s="157" t="e">
        <f t="shared" si="3"/>
        <v>#DIV/0!</v>
      </c>
      <c r="AL80" s="157" t="e">
        <f t="shared" si="3"/>
        <v>#DIV/0!</v>
      </c>
      <c r="AM80" s="157" t="e">
        <f t="shared" si="3"/>
        <v>#DIV/0!</v>
      </c>
      <c r="AN80" s="157" t="e">
        <f t="shared" si="3"/>
        <v>#DIV/0!</v>
      </c>
      <c r="AO80" s="157" t="e">
        <f t="shared" si="3"/>
        <v>#DIV/0!</v>
      </c>
      <c r="AP80" s="157" t="e">
        <f t="shared" si="3"/>
        <v>#DIV/0!</v>
      </c>
    </row>
    <row r="81" spans="1:42" s="158" customFormat="1" ht="18" hidden="1" customHeight="1" x14ac:dyDescent="0.15">
      <c r="A81" s="156"/>
      <c r="B81" s="156"/>
      <c r="C81" s="157" t="e">
        <f t="shared" si="1"/>
        <v>#DIV/0!</v>
      </c>
      <c r="D81" s="157" t="e">
        <f t="shared" si="3"/>
        <v>#DIV/0!</v>
      </c>
      <c r="E81" s="157" t="e">
        <f t="shared" si="3"/>
        <v>#DIV/0!</v>
      </c>
      <c r="F81" s="157" t="e">
        <f t="shared" si="3"/>
        <v>#DIV/0!</v>
      </c>
      <c r="G81" s="157" t="e">
        <f t="shared" si="3"/>
        <v>#DIV/0!</v>
      </c>
      <c r="H81" s="157" t="e">
        <f t="shared" si="3"/>
        <v>#DIV/0!</v>
      </c>
      <c r="I81" s="157" t="e">
        <f t="shared" si="3"/>
        <v>#DIV/0!</v>
      </c>
      <c r="J81" s="157" t="e">
        <f t="shared" si="3"/>
        <v>#DIV/0!</v>
      </c>
      <c r="K81" s="157" t="e">
        <f t="shared" si="3"/>
        <v>#DIV/0!</v>
      </c>
      <c r="L81" s="157" t="e">
        <f t="shared" si="3"/>
        <v>#DIV/0!</v>
      </c>
      <c r="M81" s="157" t="e">
        <f t="shared" si="3"/>
        <v>#DIV/0!</v>
      </c>
      <c r="N81" s="157" t="e">
        <f t="shared" si="3"/>
        <v>#DIV/0!</v>
      </c>
      <c r="O81" s="157" t="e">
        <f t="shared" si="3"/>
        <v>#DIV/0!</v>
      </c>
      <c r="P81" s="157" t="e">
        <f t="shared" si="3"/>
        <v>#DIV/0!</v>
      </c>
      <c r="Q81" s="157" t="e">
        <f t="shared" si="3"/>
        <v>#DIV/0!</v>
      </c>
      <c r="R81" s="157" t="e">
        <f t="shared" si="3"/>
        <v>#DIV/0!</v>
      </c>
      <c r="S81" s="157" t="e">
        <f t="shared" si="3"/>
        <v>#DIV/0!</v>
      </c>
      <c r="T81" s="157" t="e">
        <f t="shared" si="3"/>
        <v>#DIV/0!</v>
      </c>
      <c r="U81" s="157" t="e">
        <f t="shared" si="3"/>
        <v>#DIV/0!</v>
      </c>
      <c r="V81" s="157" t="e">
        <f t="shared" si="3"/>
        <v>#DIV/0!</v>
      </c>
      <c r="W81" s="157" t="e">
        <f t="shared" si="3"/>
        <v>#DIV/0!</v>
      </c>
      <c r="X81" s="157" t="e">
        <f t="shared" si="3"/>
        <v>#DIV/0!</v>
      </c>
      <c r="Y81" s="157" t="e">
        <f t="shared" si="3"/>
        <v>#DIV/0!</v>
      </c>
      <c r="Z81" s="157" t="e">
        <f t="shared" si="3"/>
        <v>#DIV/0!</v>
      </c>
      <c r="AA81" s="157" t="e">
        <f t="shared" si="3"/>
        <v>#DIV/0!</v>
      </c>
      <c r="AB81" s="157" t="e">
        <f t="shared" si="3"/>
        <v>#DIV/0!</v>
      </c>
      <c r="AC81" s="157" t="e">
        <f t="shared" si="3"/>
        <v>#DIV/0!</v>
      </c>
      <c r="AD81" s="157" t="e">
        <f t="shared" si="3"/>
        <v>#DIV/0!</v>
      </c>
      <c r="AE81" s="157" t="e">
        <f t="shared" si="3"/>
        <v>#DIV/0!</v>
      </c>
      <c r="AF81" s="157" t="e">
        <f t="shared" si="3"/>
        <v>#DIV/0!</v>
      </c>
      <c r="AG81" s="157" t="e">
        <f t="shared" si="3"/>
        <v>#DIV/0!</v>
      </c>
      <c r="AH81" s="157" t="e">
        <f t="shared" si="3"/>
        <v>#DIV/0!</v>
      </c>
      <c r="AI81" s="157" t="e">
        <f t="shared" si="3"/>
        <v>#DIV/0!</v>
      </c>
      <c r="AJ81" s="157" t="e">
        <f t="shared" si="3"/>
        <v>#DIV/0!</v>
      </c>
      <c r="AK81" s="157" t="e">
        <f t="shared" si="3"/>
        <v>#DIV/0!</v>
      </c>
      <c r="AL81" s="157" t="e">
        <f t="shared" si="3"/>
        <v>#DIV/0!</v>
      </c>
      <c r="AM81" s="157" t="e">
        <f t="shared" si="3"/>
        <v>#DIV/0!</v>
      </c>
      <c r="AN81" s="157" t="e">
        <f t="shared" si="3"/>
        <v>#DIV/0!</v>
      </c>
      <c r="AO81" s="157" t="e">
        <f t="shared" si="3"/>
        <v>#DIV/0!</v>
      </c>
      <c r="AP81" s="157" t="e">
        <f t="shared" si="3"/>
        <v>#DIV/0!</v>
      </c>
    </row>
    <row r="82" spans="1:42" s="158" customFormat="1" ht="18" hidden="1" customHeight="1" x14ac:dyDescent="0.15">
      <c r="A82" s="156"/>
      <c r="B82" s="156"/>
      <c r="C82" s="157" t="e">
        <f t="shared" si="1"/>
        <v>#DIV/0!</v>
      </c>
      <c r="D82" s="157" t="e">
        <f t="shared" ref="D82:AP86" si="4">D53/D24</f>
        <v>#DIV/0!</v>
      </c>
      <c r="E82" s="157" t="e">
        <f t="shared" si="4"/>
        <v>#DIV/0!</v>
      </c>
      <c r="F82" s="157" t="e">
        <f t="shared" si="4"/>
        <v>#DIV/0!</v>
      </c>
      <c r="G82" s="157" t="e">
        <f t="shared" si="4"/>
        <v>#DIV/0!</v>
      </c>
      <c r="H82" s="157" t="e">
        <f t="shared" si="4"/>
        <v>#DIV/0!</v>
      </c>
      <c r="I82" s="157" t="e">
        <f t="shared" si="4"/>
        <v>#DIV/0!</v>
      </c>
      <c r="J82" s="157" t="e">
        <f t="shared" si="4"/>
        <v>#DIV/0!</v>
      </c>
      <c r="K82" s="157" t="e">
        <f t="shared" si="4"/>
        <v>#DIV/0!</v>
      </c>
      <c r="L82" s="157" t="e">
        <f t="shared" si="4"/>
        <v>#DIV/0!</v>
      </c>
      <c r="M82" s="157" t="e">
        <f t="shared" si="4"/>
        <v>#DIV/0!</v>
      </c>
      <c r="N82" s="157" t="e">
        <f t="shared" si="4"/>
        <v>#DIV/0!</v>
      </c>
      <c r="O82" s="157" t="e">
        <f t="shared" si="4"/>
        <v>#DIV/0!</v>
      </c>
      <c r="P82" s="157" t="e">
        <f t="shared" si="4"/>
        <v>#DIV/0!</v>
      </c>
      <c r="Q82" s="157" t="e">
        <f t="shared" si="4"/>
        <v>#DIV/0!</v>
      </c>
      <c r="R82" s="157" t="e">
        <f t="shared" si="4"/>
        <v>#DIV/0!</v>
      </c>
      <c r="S82" s="157" t="e">
        <f t="shared" si="4"/>
        <v>#DIV/0!</v>
      </c>
      <c r="T82" s="157" t="e">
        <f t="shared" si="4"/>
        <v>#DIV/0!</v>
      </c>
      <c r="U82" s="157" t="e">
        <f t="shared" si="4"/>
        <v>#DIV/0!</v>
      </c>
      <c r="V82" s="157" t="e">
        <f t="shared" si="4"/>
        <v>#DIV/0!</v>
      </c>
      <c r="W82" s="157" t="e">
        <f t="shared" si="4"/>
        <v>#DIV/0!</v>
      </c>
      <c r="X82" s="157" t="e">
        <f t="shared" si="4"/>
        <v>#DIV/0!</v>
      </c>
      <c r="Y82" s="157" t="e">
        <f t="shared" si="4"/>
        <v>#DIV/0!</v>
      </c>
      <c r="Z82" s="157" t="e">
        <f t="shared" si="4"/>
        <v>#DIV/0!</v>
      </c>
      <c r="AA82" s="157" t="e">
        <f t="shared" si="4"/>
        <v>#DIV/0!</v>
      </c>
      <c r="AB82" s="157" t="e">
        <f t="shared" si="4"/>
        <v>#DIV/0!</v>
      </c>
      <c r="AC82" s="157" t="e">
        <f t="shared" si="4"/>
        <v>#DIV/0!</v>
      </c>
      <c r="AD82" s="157" t="e">
        <f t="shared" si="4"/>
        <v>#DIV/0!</v>
      </c>
      <c r="AE82" s="157" t="e">
        <f t="shared" si="4"/>
        <v>#DIV/0!</v>
      </c>
      <c r="AF82" s="157" t="e">
        <f t="shared" si="4"/>
        <v>#DIV/0!</v>
      </c>
      <c r="AG82" s="157" t="e">
        <f t="shared" si="4"/>
        <v>#DIV/0!</v>
      </c>
      <c r="AH82" s="157" t="e">
        <f t="shared" si="4"/>
        <v>#DIV/0!</v>
      </c>
      <c r="AI82" s="157" t="e">
        <f t="shared" si="4"/>
        <v>#DIV/0!</v>
      </c>
      <c r="AJ82" s="157" t="e">
        <f t="shared" si="4"/>
        <v>#DIV/0!</v>
      </c>
      <c r="AK82" s="157" t="e">
        <f t="shared" si="4"/>
        <v>#DIV/0!</v>
      </c>
      <c r="AL82" s="157" t="e">
        <f t="shared" si="4"/>
        <v>#DIV/0!</v>
      </c>
      <c r="AM82" s="157" t="e">
        <f t="shared" si="4"/>
        <v>#DIV/0!</v>
      </c>
      <c r="AN82" s="157" t="e">
        <f t="shared" si="4"/>
        <v>#DIV/0!</v>
      </c>
      <c r="AO82" s="157" t="e">
        <f t="shared" si="4"/>
        <v>#DIV/0!</v>
      </c>
      <c r="AP82" s="157" t="e">
        <f t="shared" si="4"/>
        <v>#DIV/0!</v>
      </c>
    </row>
    <row r="83" spans="1:42" s="158" customFormat="1" ht="18" hidden="1" customHeight="1" x14ac:dyDescent="0.15">
      <c r="A83" s="156"/>
      <c r="B83" s="156"/>
      <c r="C83" s="157" t="e">
        <f t="shared" si="1"/>
        <v>#DIV/0!</v>
      </c>
      <c r="D83" s="157" t="e">
        <f t="shared" si="4"/>
        <v>#DIV/0!</v>
      </c>
      <c r="E83" s="157" t="e">
        <f t="shared" si="4"/>
        <v>#DIV/0!</v>
      </c>
      <c r="F83" s="157" t="e">
        <f t="shared" si="4"/>
        <v>#DIV/0!</v>
      </c>
      <c r="G83" s="157" t="e">
        <f t="shared" si="4"/>
        <v>#DIV/0!</v>
      </c>
      <c r="H83" s="157" t="e">
        <f t="shared" si="4"/>
        <v>#DIV/0!</v>
      </c>
      <c r="I83" s="157" t="e">
        <f t="shared" si="4"/>
        <v>#DIV/0!</v>
      </c>
      <c r="J83" s="157" t="e">
        <f t="shared" si="4"/>
        <v>#DIV/0!</v>
      </c>
      <c r="K83" s="157" t="e">
        <f t="shared" si="4"/>
        <v>#DIV/0!</v>
      </c>
      <c r="L83" s="157" t="e">
        <f t="shared" si="4"/>
        <v>#DIV/0!</v>
      </c>
      <c r="M83" s="157" t="e">
        <f t="shared" si="4"/>
        <v>#DIV/0!</v>
      </c>
      <c r="N83" s="157" t="e">
        <f t="shared" si="4"/>
        <v>#DIV/0!</v>
      </c>
      <c r="O83" s="157" t="e">
        <f t="shared" si="4"/>
        <v>#DIV/0!</v>
      </c>
      <c r="P83" s="157" t="e">
        <f t="shared" si="4"/>
        <v>#DIV/0!</v>
      </c>
      <c r="Q83" s="157" t="e">
        <f t="shared" si="4"/>
        <v>#DIV/0!</v>
      </c>
      <c r="R83" s="157" t="e">
        <f t="shared" si="4"/>
        <v>#DIV/0!</v>
      </c>
      <c r="S83" s="157" t="e">
        <f t="shared" si="4"/>
        <v>#DIV/0!</v>
      </c>
      <c r="T83" s="157" t="e">
        <f t="shared" si="4"/>
        <v>#DIV/0!</v>
      </c>
      <c r="U83" s="157" t="e">
        <f t="shared" si="4"/>
        <v>#DIV/0!</v>
      </c>
      <c r="V83" s="157" t="e">
        <f t="shared" si="4"/>
        <v>#DIV/0!</v>
      </c>
      <c r="W83" s="157" t="e">
        <f t="shared" si="4"/>
        <v>#DIV/0!</v>
      </c>
      <c r="X83" s="157" t="e">
        <f t="shared" si="4"/>
        <v>#DIV/0!</v>
      </c>
      <c r="Y83" s="157" t="e">
        <f t="shared" si="4"/>
        <v>#DIV/0!</v>
      </c>
      <c r="Z83" s="157" t="e">
        <f t="shared" si="4"/>
        <v>#DIV/0!</v>
      </c>
      <c r="AA83" s="157" t="e">
        <f t="shared" si="4"/>
        <v>#DIV/0!</v>
      </c>
      <c r="AB83" s="157" t="e">
        <f t="shared" si="4"/>
        <v>#DIV/0!</v>
      </c>
      <c r="AC83" s="157" t="e">
        <f t="shared" si="4"/>
        <v>#DIV/0!</v>
      </c>
      <c r="AD83" s="157" t="e">
        <f t="shared" si="4"/>
        <v>#DIV/0!</v>
      </c>
      <c r="AE83" s="157" t="e">
        <f t="shared" si="4"/>
        <v>#DIV/0!</v>
      </c>
      <c r="AF83" s="157" t="e">
        <f t="shared" si="4"/>
        <v>#DIV/0!</v>
      </c>
      <c r="AG83" s="157" t="e">
        <f t="shared" si="4"/>
        <v>#DIV/0!</v>
      </c>
      <c r="AH83" s="157" t="e">
        <f t="shared" si="4"/>
        <v>#DIV/0!</v>
      </c>
      <c r="AI83" s="157" t="e">
        <f t="shared" si="4"/>
        <v>#DIV/0!</v>
      </c>
      <c r="AJ83" s="157" t="e">
        <f t="shared" si="4"/>
        <v>#DIV/0!</v>
      </c>
      <c r="AK83" s="157" t="e">
        <f t="shared" si="4"/>
        <v>#DIV/0!</v>
      </c>
      <c r="AL83" s="157" t="e">
        <f t="shared" si="4"/>
        <v>#DIV/0!</v>
      </c>
      <c r="AM83" s="157" t="e">
        <f t="shared" si="4"/>
        <v>#DIV/0!</v>
      </c>
      <c r="AN83" s="157" t="e">
        <f t="shared" si="4"/>
        <v>#DIV/0!</v>
      </c>
      <c r="AO83" s="157" t="e">
        <f t="shared" si="4"/>
        <v>#DIV/0!</v>
      </c>
      <c r="AP83" s="157" t="e">
        <f t="shared" si="4"/>
        <v>#DIV/0!</v>
      </c>
    </row>
    <row r="84" spans="1:42" ht="18" hidden="1" customHeight="1" x14ac:dyDescent="0.15">
      <c r="A84" s="156"/>
      <c r="B84" s="156"/>
      <c r="C84" s="157" t="e">
        <f t="shared" si="1"/>
        <v>#DIV/0!</v>
      </c>
      <c r="D84" s="157" t="e">
        <f t="shared" si="4"/>
        <v>#DIV/0!</v>
      </c>
      <c r="E84" s="157" t="e">
        <f t="shared" si="4"/>
        <v>#DIV/0!</v>
      </c>
      <c r="F84" s="157" t="e">
        <f t="shared" si="4"/>
        <v>#DIV/0!</v>
      </c>
      <c r="G84" s="157" t="e">
        <f t="shared" si="4"/>
        <v>#DIV/0!</v>
      </c>
      <c r="H84" s="157" t="e">
        <f t="shared" si="4"/>
        <v>#DIV/0!</v>
      </c>
      <c r="I84" s="157" t="e">
        <f t="shared" si="4"/>
        <v>#DIV/0!</v>
      </c>
      <c r="J84" s="157" t="e">
        <f t="shared" si="4"/>
        <v>#DIV/0!</v>
      </c>
      <c r="K84" s="157" t="e">
        <f t="shared" si="4"/>
        <v>#DIV/0!</v>
      </c>
      <c r="L84" s="157" t="e">
        <f t="shared" si="4"/>
        <v>#DIV/0!</v>
      </c>
      <c r="M84" s="157" t="e">
        <f t="shared" si="4"/>
        <v>#DIV/0!</v>
      </c>
      <c r="N84" s="157" t="e">
        <f t="shared" si="4"/>
        <v>#DIV/0!</v>
      </c>
      <c r="O84" s="157" t="e">
        <f t="shared" si="4"/>
        <v>#DIV/0!</v>
      </c>
      <c r="P84" s="157" t="e">
        <f t="shared" si="4"/>
        <v>#DIV/0!</v>
      </c>
      <c r="Q84" s="157" t="e">
        <f t="shared" si="4"/>
        <v>#DIV/0!</v>
      </c>
      <c r="R84" s="157" t="e">
        <f t="shared" si="4"/>
        <v>#DIV/0!</v>
      </c>
      <c r="S84" s="157" t="e">
        <f t="shared" si="4"/>
        <v>#DIV/0!</v>
      </c>
      <c r="T84" s="157" t="e">
        <f t="shared" si="4"/>
        <v>#DIV/0!</v>
      </c>
      <c r="U84" s="157" t="e">
        <f t="shared" si="4"/>
        <v>#DIV/0!</v>
      </c>
      <c r="V84" s="157" t="e">
        <f t="shared" si="4"/>
        <v>#DIV/0!</v>
      </c>
      <c r="W84" s="157" t="e">
        <f t="shared" si="4"/>
        <v>#DIV/0!</v>
      </c>
      <c r="X84" s="157" t="e">
        <f t="shared" si="4"/>
        <v>#DIV/0!</v>
      </c>
      <c r="Y84" s="157" t="e">
        <f t="shared" si="4"/>
        <v>#DIV/0!</v>
      </c>
      <c r="Z84" s="157" t="e">
        <f t="shared" si="4"/>
        <v>#DIV/0!</v>
      </c>
      <c r="AA84" s="157" t="e">
        <f t="shared" si="4"/>
        <v>#DIV/0!</v>
      </c>
      <c r="AB84" s="157" t="e">
        <f t="shared" si="4"/>
        <v>#DIV/0!</v>
      </c>
      <c r="AC84" s="157" t="e">
        <f t="shared" si="4"/>
        <v>#DIV/0!</v>
      </c>
      <c r="AD84" s="157" t="e">
        <f t="shared" si="4"/>
        <v>#DIV/0!</v>
      </c>
      <c r="AE84" s="157" t="e">
        <f t="shared" si="4"/>
        <v>#DIV/0!</v>
      </c>
      <c r="AF84" s="157" t="e">
        <f t="shared" si="4"/>
        <v>#DIV/0!</v>
      </c>
      <c r="AG84" s="157" t="e">
        <f t="shared" si="4"/>
        <v>#DIV/0!</v>
      </c>
      <c r="AH84" s="157" t="e">
        <f t="shared" si="4"/>
        <v>#DIV/0!</v>
      </c>
      <c r="AI84" s="157" t="e">
        <f t="shared" si="4"/>
        <v>#DIV/0!</v>
      </c>
      <c r="AJ84" s="157" t="e">
        <f t="shared" si="4"/>
        <v>#DIV/0!</v>
      </c>
      <c r="AK84" s="157" t="e">
        <f t="shared" si="4"/>
        <v>#DIV/0!</v>
      </c>
      <c r="AL84" s="157" t="e">
        <f t="shared" si="4"/>
        <v>#DIV/0!</v>
      </c>
      <c r="AM84" s="157" t="e">
        <f t="shared" si="4"/>
        <v>#DIV/0!</v>
      </c>
      <c r="AN84" s="157" t="e">
        <f t="shared" si="4"/>
        <v>#DIV/0!</v>
      </c>
      <c r="AO84" s="157" t="e">
        <f t="shared" si="4"/>
        <v>#DIV/0!</v>
      </c>
      <c r="AP84" s="157" t="e">
        <f t="shared" si="4"/>
        <v>#DIV/0!</v>
      </c>
    </row>
    <row r="85" spans="1:42" ht="18" hidden="1" customHeight="1" x14ac:dyDescent="0.15">
      <c r="A85" s="159"/>
      <c r="B85" s="160"/>
      <c r="C85" s="157" t="e">
        <f t="shared" si="1"/>
        <v>#DIV/0!</v>
      </c>
      <c r="D85" s="157" t="e">
        <f t="shared" si="4"/>
        <v>#DIV/0!</v>
      </c>
      <c r="E85" s="157" t="e">
        <f t="shared" si="4"/>
        <v>#DIV/0!</v>
      </c>
      <c r="F85" s="157" t="e">
        <f t="shared" si="4"/>
        <v>#DIV/0!</v>
      </c>
      <c r="G85" s="157" t="e">
        <f t="shared" si="4"/>
        <v>#DIV/0!</v>
      </c>
      <c r="H85" s="157" t="e">
        <f t="shared" si="4"/>
        <v>#DIV/0!</v>
      </c>
      <c r="I85" s="157" t="e">
        <f t="shared" si="4"/>
        <v>#DIV/0!</v>
      </c>
      <c r="J85" s="157" t="e">
        <f t="shared" si="4"/>
        <v>#DIV/0!</v>
      </c>
      <c r="K85" s="157" t="e">
        <f t="shared" si="4"/>
        <v>#DIV/0!</v>
      </c>
      <c r="L85" s="157" t="e">
        <f t="shared" si="4"/>
        <v>#DIV/0!</v>
      </c>
      <c r="M85" s="157" t="e">
        <f t="shared" si="4"/>
        <v>#DIV/0!</v>
      </c>
      <c r="N85" s="157" t="e">
        <f t="shared" si="4"/>
        <v>#DIV/0!</v>
      </c>
      <c r="O85" s="157" t="e">
        <f t="shared" si="4"/>
        <v>#DIV/0!</v>
      </c>
      <c r="P85" s="157" t="e">
        <f t="shared" si="4"/>
        <v>#DIV/0!</v>
      </c>
      <c r="Q85" s="157" t="e">
        <f t="shared" si="4"/>
        <v>#DIV/0!</v>
      </c>
      <c r="R85" s="157" t="e">
        <f t="shared" si="4"/>
        <v>#DIV/0!</v>
      </c>
      <c r="S85" s="157" t="e">
        <f t="shared" si="4"/>
        <v>#DIV/0!</v>
      </c>
      <c r="T85" s="157" t="e">
        <f t="shared" si="4"/>
        <v>#DIV/0!</v>
      </c>
      <c r="U85" s="157" t="e">
        <f t="shared" si="4"/>
        <v>#DIV/0!</v>
      </c>
      <c r="V85" s="157" t="e">
        <f t="shared" si="4"/>
        <v>#DIV/0!</v>
      </c>
      <c r="W85" s="157" t="e">
        <f t="shared" si="4"/>
        <v>#DIV/0!</v>
      </c>
      <c r="X85" s="157" t="e">
        <f t="shared" si="4"/>
        <v>#DIV/0!</v>
      </c>
      <c r="Y85" s="157" t="e">
        <f t="shared" si="4"/>
        <v>#DIV/0!</v>
      </c>
      <c r="Z85" s="157" t="e">
        <f t="shared" si="4"/>
        <v>#DIV/0!</v>
      </c>
      <c r="AA85" s="157" t="e">
        <f t="shared" si="4"/>
        <v>#DIV/0!</v>
      </c>
      <c r="AB85" s="157" t="e">
        <f t="shared" si="4"/>
        <v>#DIV/0!</v>
      </c>
      <c r="AC85" s="157" t="e">
        <f t="shared" si="4"/>
        <v>#DIV/0!</v>
      </c>
      <c r="AD85" s="157" t="e">
        <f t="shared" si="4"/>
        <v>#DIV/0!</v>
      </c>
      <c r="AE85" s="157" t="e">
        <f t="shared" si="4"/>
        <v>#DIV/0!</v>
      </c>
      <c r="AF85" s="157" t="e">
        <f t="shared" si="4"/>
        <v>#DIV/0!</v>
      </c>
      <c r="AG85" s="157" t="e">
        <f t="shared" si="4"/>
        <v>#DIV/0!</v>
      </c>
      <c r="AH85" s="157" t="e">
        <f t="shared" si="4"/>
        <v>#DIV/0!</v>
      </c>
      <c r="AI85" s="157" t="e">
        <f t="shared" si="4"/>
        <v>#DIV/0!</v>
      </c>
      <c r="AJ85" s="157" t="e">
        <f t="shared" si="4"/>
        <v>#DIV/0!</v>
      </c>
      <c r="AK85" s="157" t="e">
        <f t="shared" si="4"/>
        <v>#DIV/0!</v>
      </c>
      <c r="AL85" s="157" t="e">
        <f t="shared" si="4"/>
        <v>#DIV/0!</v>
      </c>
      <c r="AM85" s="157" t="e">
        <f t="shared" si="4"/>
        <v>#DIV/0!</v>
      </c>
      <c r="AN85" s="157" t="e">
        <f t="shared" si="4"/>
        <v>#DIV/0!</v>
      </c>
      <c r="AO85" s="157" t="e">
        <f t="shared" si="4"/>
        <v>#DIV/0!</v>
      </c>
      <c r="AP85" s="157" t="e">
        <f t="shared" si="4"/>
        <v>#DIV/0!</v>
      </c>
    </row>
    <row r="86" spans="1:42" ht="18" hidden="1" customHeight="1" x14ac:dyDescent="0.15">
      <c r="A86" s="159"/>
      <c r="B86" s="160"/>
      <c r="C86" s="157" t="e">
        <f t="shared" si="1"/>
        <v>#DIV/0!</v>
      </c>
      <c r="D86" s="157" t="e">
        <f t="shared" si="4"/>
        <v>#DIV/0!</v>
      </c>
      <c r="E86" s="157" t="e">
        <f t="shared" si="4"/>
        <v>#DIV/0!</v>
      </c>
      <c r="F86" s="157" t="e">
        <f t="shared" si="4"/>
        <v>#DIV/0!</v>
      </c>
      <c r="G86" s="157" t="e">
        <f t="shared" si="4"/>
        <v>#DIV/0!</v>
      </c>
      <c r="H86" s="157" t="e">
        <f t="shared" si="4"/>
        <v>#DIV/0!</v>
      </c>
      <c r="I86" s="157" t="e">
        <f t="shared" si="4"/>
        <v>#DIV/0!</v>
      </c>
      <c r="J86" s="157" t="e">
        <f t="shared" si="4"/>
        <v>#DIV/0!</v>
      </c>
      <c r="K86" s="157" t="e">
        <f t="shared" si="4"/>
        <v>#DIV/0!</v>
      </c>
      <c r="L86" s="157" t="e">
        <f t="shared" si="4"/>
        <v>#DIV/0!</v>
      </c>
      <c r="M86" s="157" t="e">
        <f t="shared" si="4"/>
        <v>#DIV/0!</v>
      </c>
      <c r="N86" s="157" t="e">
        <f t="shared" si="4"/>
        <v>#DIV/0!</v>
      </c>
      <c r="O86" s="157" t="e">
        <f t="shared" si="4"/>
        <v>#DIV/0!</v>
      </c>
      <c r="P86" s="157" t="e">
        <f t="shared" si="4"/>
        <v>#DIV/0!</v>
      </c>
      <c r="Q86" s="157" t="e">
        <f t="shared" si="4"/>
        <v>#DIV/0!</v>
      </c>
      <c r="R86" s="157" t="e">
        <f t="shared" si="4"/>
        <v>#DIV/0!</v>
      </c>
      <c r="S86" s="157" t="e">
        <f t="shared" si="4"/>
        <v>#DIV/0!</v>
      </c>
      <c r="T86" s="157" t="e">
        <f t="shared" si="4"/>
        <v>#DIV/0!</v>
      </c>
      <c r="U86" s="157" t="e">
        <f t="shared" si="4"/>
        <v>#DIV/0!</v>
      </c>
      <c r="V86" s="157" t="e">
        <f t="shared" si="4"/>
        <v>#DIV/0!</v>
      </c>
      <c r="W86" s="157" t="e">
        <f t="shared" si="4"/>
        <v>#DIV/0!</v>
      </c>
      <c r="X86" s="157" t="e">
        <f t="shared" si="4"/>
        <v>#DIV/0!</v>
      </c>
      <c r="Y86" s="157" t="e">
        <f t="shared" si="4"/>
        <v>#DIV/0!</v>
      </c>
      <c r="Z86" s="157" t="e">
        <f t="shared" si="4"/>
        <v>#DIV/0!</v>
      </c>
      <c r="AA86" s="157" t="e">
        <f t="shared" si="4"/>
        <v>#DIV/0!</v>
      </c>
      <c r="AB86" s="157" t="e">
        <f t="shared" si="4"/>
        <v>#DIV/0!</v>
      </c>
      <c r="AC86" s="157" t="e">
        <f t="shared" si="4"/>
        <v>#DIV/0!</v>
      </c>
      <c r="AD86" s="157" t="e">
        <f t="shared" si="4"/>
        <v>#DIV/0!</v>
      </c>
      <c r="AE86" s="157" t="e">
        <f t="shared" si="4"/>
        <v>#DIV/0!</v>
      </c>
      <c r="AF86" s="157" t="e">
        <f t="shared" si="4"/>
        <v>#DIV/0!</v>
      </c>
      <c r="AG86" s="157" t="e">
        <f t="shared" si="4"/>
        <v>#DIV/0!</v>
      </c>
      <c r="AH86" s="157" t="e">
        <f t="shared" si="4"/>
        <v>#DIV/0!</v>
      </c>
      <c r="AI86" s="157" t="e">
        <f t="shared" si="4"/>
        <v>#DIV/0!</v>
      </c>
      <c r="AJ86" s="157" t="e">
        <f t="shared" si="4"/>
        <v>#DIV/0!</v>
      </c>
      <c r="AK86" s="157" t="e">
        <f t="shared" si="4"/>
        <v>#DIV/0!</v>
      </c>
      <c r="AL86" s="157" t="e">
        <f t="shared" si="4"/>
        <v>#DIV/0!</v>
      </c>
      <c r="AM86" s="157" t="e">
        <f t="shared" si="4"/>
        <v>#DIV/0!</v>
      </c>
      <c r="AN86" s="157" t="e">
        <f t="shared" si="4"/>
        <v>#DIV/0!</v>
      </c>
      <c r="AO86" s="157" t="e">
        <f t="shared" si="4"/>
        <v>#DIV/0!</v>
      </c>
      <c r="AP86" s="157" t="e">
        <f t="shared" si="4"/>
        <v>#DIV/0!</v>
      </c>
    </row>
    <row r="87" spans="1:42" ht="18" customHeight="1" x14ac:dyDescent="0.15">
      <c r="A87" s="159"/>
      <c r="B87" s="160"/>
      <c r="C87" s="157"/>
      <c r="D87" s="157"/>
      <c r="E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  <c r="T87" s="157"/>
      <c r="U87" s="157"/>
      <c r="V87" s="157"/>
      <c r="W87" s="157"/>
      <c r="X87" s="157"/>
      <c r="Y87" s="157"/>
      <c r="Z87" s="157"/>
      <c r="AA87" s="157"/>
      <c r="AB87" s="157"/>
      <c r="AC87" s="157"/>
      <c r="AD87" s="157"/>
      <c r="AE87" s="157"/>
      <c r="AF87" s="157"/>
      <c r="AG87" s="157"/>
      <c r="AH87" s="157"/>
      <c r="AI87" s="157"/>
      <c r="AJ87" s="161"/>
      <c r="AK87" s="161"/>
      <c r="AL87" s="161"/>
    </row>
    <row r="88" spans="1:42" ht="18" customHeight="1" x14ac:dyDescent="0.15">
      <c r="A88" s="159"/>
      <c r="B88" s="160"/>
      <c r="C88" s="157"/>
      <c r="D88" s="157"/>
      <c r="E88" s="157"/>
      <c r="F88" s="157"/>
      <c r="G88" s="157"/>
      <c r="H88" s="157"/>
      <c r="I88" s="157"/>
      <c r="J88" s="157"/>
      <c r="K88" s="157"/>
      <c r="L88" s="157"/>
      <c r="M88" s="157"/>
      <c r="N88" s="157"/>
      <c r="O88" s="157"/>
      <c r="P88" s="157"/>
      <c r="Q88" s="157"/>
      <c r="R88" s="157"/>
      <c r="S88" s="157"/>
      <c r="T88" s="157"/>
      <c r="U88" s="157"/>
      <c r="V88" s="157"/>
      <c r="W88" s="157"/>
      <c r="X88" s="157"/>
      <c r="Y88" s="157"/>
      <c r="Z88" s="157"/>
      <c r="AA88" s="157"/>
      <c r="AB88" s="157"/>
      <c r="AC88" s="157"/>
      <c r="AD88" s="157"/>
      <c r="AE88" s="157"/>
      <c r="AF88" s="157"/>
      <c r="AG88" s="157"/>
      <c r="AH88" s="157"/>
      <c r="AI88" s="157"/>
      <c r="AJ88" s="162"/>
      <c r="AK88" s="162"/>
      <c r="AL88" s="162"/>
    </row>
    <row r="89" spans="1:42" ht="18" customHeight="1" x14ac:dyDescent="0.15">
      <c r="A89" s="159"/>
      <c r="B89" s="160"/>
      <c r="C89" s="157"/>
      <c r="D89" s="157"/>
      <c r="E89" s="157"/>
      <c r="F89" s="157"/>
      <c r="G89" s="157"/>
      <c r="H89" s="157"/>
      <c r="I89" s="157"/>
      <c r="J89" s="157"/>
      <c r="K89" s="157"/>
      <c r="L89" s="157"/>
      <c r="M89" s="157"/>
      <c r="N89" s="157"/>
      <c r="O89" s="157"/>
      <c r="P89" s="157"/>
      <c r="Q89" s="157"/>
      <c r="R89" s="157"/>
      <c r="S89" s="157"/>
      <c r="T89" s="157"/>
      <c r="U89" s="157"/>
      <c r="V89" s="157"/>
      <c r="W89" s="157"/>
      <c r="X89" s="157"/>
      <c r="Y89" s="157"/>
      <c r="Z89" s="157"/>
      <c r="AA89" s="157"/>
      <c r="AB89" s="157"/>
      <c r="AC89" s="157"/>
      <c r="AD89" s="157"/>
      <c r="AE89" s="157"/>
      <c r="AF89" s="157"/>
      <c r="AG89" s="157"/>
      <c r="AH89" s="157"/>
      <c r="AI89" s="157"/>
      <c r="AJ89" s="162"/>
      <c r="AK89" s="162"/>
      <c r="AL89" s="162"/>
    </row>
    <row r="90" spans="1:42" ht="18" customHeight="1" x14ac:dyDescent="0.15">
      <c r="A90" s="159"/>
      <c r="B90" s="160"/>
      <c r="C90" s="157"/>
      <c r="D90" s="157"/>
      <c r="E90" s="157"/>
      <c r="F90" s="157"/>
      <c r="G90" s="157"/>
      <c r="H90" s="157"/>
      <c r="I90" s="157"/>
      <c r="J90" s="157"/>
      <c r="K90" s="157"/>
      <c r="L90" s="157"/>
      <c r="M90" s="157"/>
      <c r="N90" s="157"/>
      <c r="O90" s="157"/>
      <c r="P90" s="157"/>
      <c r="Q90" s="157"/>
      <c r="R90" s="157"/>
      <c r="S90" s="157"/>
      <c r="T90" s="157"/>
      <c r="U90" s="157"/>
      <c r="V90" s="157"/>
      <c r="W90" s="157"/>
      <c r="X90" s="157"/>
      <c r="Y90" s="157"/>
      <c r="Z90" s="157"/>
      <c r="AA90" s="157"/>
      <c r="AB90" s="157"/>
      <c r="AC90" s="157"/>
      <c r="AD90" s="157"/>
      <c r="AE90" s="157"/>
      <c r="AF90" s="157"/>
      <c r="AG90" s="157"/>
      <c r="AH90" s="157"/>
      <c r="AI90" s="157"/>
      <c r="AJ90" s="162"/>
      <c r="AK90" s="162"/>
      <c r="AL90" s="162"/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FEE58-5460-42B9-B4AB-B7C7446500A2}">
  <sheetPr codeName="Sheet2"/>
  <dimension ref="A1:JW102"/>
  <sheetViews>
    <sheetView tabSelected="1" workbookViewId="0">
      <pane xSplit="5" ySplit="6" topLeftCell="IH7" activePane="bottomRight" state="frozen"/>
      <selection pane="topRight" activeCell="F1" sqref="F1"/>
      <selection pane="bottomLeft" activeCell="A7" sqref="A7"/>
      <selection pane="bottomRight" activeCell="IJ11" sqref="IJ11"/>
    </sheetView>
  </sheetViews>
  <sheetFormatPr defaultColWidth="9.375" defaultRowHeight="13.5" x14ac:dyDescent="0.15"/>
  <cols>
    <col min="1" max="1" width="8.5" style="24" customWidth="1"/>
    <col min="2" max="2" width="8" style="24" customWidth="1"/>
    <col min="3" max="3" width="21.25" style="24" customWidth="1"/>
    <col min="4" max="4" width="16.25" style="24" hidden="1" customWidth="1"/>
    <col min="5" max="5" width="11.625" style="24" hidden="1" customWidth="1"/>
    <col min="6" max="6" width="13.625" style="24" customWidth="1"/>
    <col min="7" max="7" width="12.875" style="24" customWidth="1"/>
    <col min="8" max="8" width="15.5" style="64" customWidth="1"/>
    <col min="9" max="9" width="13.375" style="24" customWidth="1"/>
    <col min="10" max="10" width="13.375" style="65" customWidth="1"/>
    <col min="11" max="11" width="14.375" style="60" customWidth="1"/>
    <col min="12" max="12" width="11.875" style="60" customWidth="1"/>
    <col min="13" max="14" width="14.25" style="24" customWidth="1"/>
    <col min="15" max="15" width="8.625" style="64" customWidth="1"/>
    <col min="16" max="16" width="10.625" style="24" customWidth="1"/>
    <col min="17" max="17" width="9.875" style="65" customWidth="1"/>
    <col min="18" max="18" width="14" style="60" customWidth="1"/>
    <col min="19" max="19" width="10.875" style="60" customWidth="1"/>
    <col min="20" max="20" width="12.375" style="24" customWidth="1"/>
    <col min="21" max="21" width="12" style="24" customWidth="1"/>
    <col min="22" max="22" width="13.625" style="64" customWidth="1"/>
    <col min="23" max="23" width="10" style="24" customWidth="1"/>
    <col min="24" max="24" width="9.625" style="60" customWidth="1"/>
    <col min="25" max="25" width="15.625" style="60" customWidth="1"/>
    <col min="26" max="26" width="11.375" style="60" customWidth="1"/>
    <col min="27" max="27" width="12.875" style="24" customWidth="1"/>
    <col min="28" max="28" width="13" style="24" customWidth="1"/>
    <col min="29" max="29" width="8.875" style="64" customWidth="1"/>
    <col min="30" max="30" width="13.125" style="24" customWidth="1"/>
    <col min="31" max="31" width="9.625" style="60" customWidth="1"/>
    <col min="32" max="32" width="12.875" style="60" customWidth="1"/>
    <col min="33" max="33" width="11.5" style="60" customWidth="1"/>
    <col min="34" max="34" width="9.75" style="24" customWidth="1"/>
    <col min="35" max="35" width="13.375" style="24" customWidth="1"/>
    <col min="36" max="36" width="12.125" style="24" customWidth="1"/>
    <col min="37" max="37" width="10.25" style="64" customWidth="1"/>
    <col min="38" max="38" width="11.75" style="24" bestFit="1" customWidth="1"/>
    <col min="39" max="39" width="9.875" style="60" customWidth="1"/>
    <col min="40" max="40" width="13.375" style="60" customWidth="1"/>
    <col min="41" max="41" width="11.5" style="60" customWidth="1"/>
    <col min="42" max="42" width="12" style="24" customWidth="1"/>
    <col min="43" max="43" width="9.125" style="24" customWidth="1"/>
    <col min="44" max="44" width="9" style="64" customWidth="1"/>
    <col min="45" max="45" width="13" style="24" bestFit="1" customWidth="1"/>
    <col min="46" max="47" width="12" style="60" customWidth="1"/>
    <col min="48" max="48" width="11.875" style="60" customWidth="1"/>
    <col min="49" max="49" width="11" style="24" customWidth="1"/>
    <col min="50" max="50" width="11.625" style="24" customWidth="1"/>
    <col min="51" max="51" width="8.875" style="64" customWidth="1"/>
    <col min="52" max="52" width="11.75" style="24" bestFit="1" customWidth="1"/>
    <col min="53" max="53" width="9.625" style="60" customWidth="1"/>
    <col min="54" max="54" width="12.125" style="60" customWidth="1"/>
    <col min="55" max="55" width="11.875" style="60" customWidth="1"/>
    <col min="56" max="56" width="13.375" style="24" customWidth="1"/>
    <col min="57" max="57" width="11.5" style="24" customWidth="1"/>
    <col min="58" max="58" width="9.25" style="24" customWidth="1"/>
    <col min="59" max="59" width="11.75" style="24" bestFit="1" customWidth="1"/>
    <col min="60" max="60" width="10.625" style="60" customWidth="1"/>
    <col min="61" max="61" width="12" style="60" customWidth="1"/>
    <col min="62" max="62" width="11.625" style="60" customWidth="1"/>
    <col min="63" max="63" width="14" style="24" customWidth="1"/>
    <col min="64" max="64" width="11.125" style="24" customWidth="1"/>
    <col min="65" max="65" width="9.75" style="64" customWidth="1"/>
    <col min="66" max="66" width="11.75" style="24" bestFit="1" customWidth="1"/>
    <col min="67" max="67" width="10.125" style="60" customWidth="1"/>
    <col min="68" max="68" width="11.625" style="60" customWidth="1"/>
    <col min="69" max="69" width="11.375" style="60" customWidth="1"/>
    <col min="70" max="70" width="12.375" style="24" customWidth="1"/>
    <col min="71" max="71" width="10.875" style="24" customWidth="1"/>
    <col min="72" max="72" width="10.875" style="64" customWidth="1"/>
    <col min="73" max="73" width="10.625" style="24" bestFit="1" customWidth="1"/>
    <col min="74" max="74" width="9.625" style="60" customWidth="1"/>
    <col min="75" max="75" width="11.875" style="60" customWidth="1"/>
    <col min="76" max="76" width="11.75" style="60" customWidth="1"/>
    <col min="77" max="77" width="14.125" style="24" customWidth="1"/>
    <col min="78" max="78" width="13.125" style="24" customWidth="1"/>
    <col min="79" max="79" width="8.75" style="64" customWidth="1"/>
    <col min="80" max="80" width="11.625" style="24" bestFit="1" customWidth="1"/>
    <col min="81" max="81" width="9.625" style="60" customWidth="1"/>
    <col min="82" max="82" width="13.625" style="60" customWidth="1"/>
    <col min="83" max="83" width="11.5" style="60" customWidth="1"/>
    <col min="84" max="84" width="11.75" style="24" customWidth="1"/>
    <col min="85" max="85" width="9.875" style="24" customWidth="1"/>
    <col min="86" max="86" width="9" style="64" customWidth="1"/>
    <col min="87" max="87" width="9.75" style="24" bestFit="1" customWidth="1"/>
    <col min="88" max="88" width="12.625" style="60" customWidth="1"/>
    <col min="89" max="89" width="12.375" style="60" customWidth="1"/>
    <col min="90" max="90" width="11.625" style="60" customWidth="1"/>
    <col min="91" max="92" width="14.125" style="24" customWidth="1"/>
    <col min="93" max="93" width="9.125" style="64" customWidth="1"/>
    <col min="94" max="94" width="11.625" style="24" bestFit="1" customWidth="1"/>
    <col min="95" max="95" width="9.625" style="60" customWidth="1"/>
    <col min="96" max="96" width="14.25" style="60" customWidth="1"/>
    <col min="97" max="97" width="11.875" style="60" customWidth="1"/>
    <col min="98" max="98" width="11" style="24" customWidth="1"/>
    <col min="99" max="99" width="11.75" style="24" customWidth="1"/>
    <col min="100" max="100" width="11.25" style="64" customWidth="1"/>
    <col min="101" max="101" width="10.5" style="24" bestFit="1" customWidth="1"/>
    <col min="102" max="102" width="9.625" style="60" customWidth="1"/>
    <col min="103" max="103" width="14.125" style="60" customWidth="1"/>
    <col min="104" max="104" width="11.125" style="60" customWidth="1"/>
    <col min="105" max="105" width="11.25" style="24" customWidth="1"/>
    <col min="106" max="106" width="12" style="24" customWidth="1"/>
    <col min="107" max="107" width="8.75" style="64" customWidth="1"/>
    <col min="108" max="108" width="9.75" style="24" bestFit="1" customWidth="1"/>
    <col min="109" max="109" width="9.625" style="60" customWidth="1"/>
    <col min="110" max="111" width="11.25" style="60" customWidth="1"/>
    <col min="112" max="112" width="12" style="24" customWidth="1"/>
    <col min="113" max="113" width="10.625" style="24" customWidth="1"/>
    <col min="114" max="114" width="10.625" style="64" customWidth="1"/>
    <col min="115" max="115" width="11" style="24" customWidth="1"/>
    <col min="116" max="116" width="10.625" style="60" customWidth="1"/>
    <col min="117" max="117" width="12.375" style="60" customWidth="1"/>
    <col min="118" max="118" width="12" style="60" customWidth="1"/>
    <col min="119" max="119" width="11.625" style="24" customWidth="1"/>
    <col min="120" max="120" width="10.5" style="24" customWidth="1"/>
    <col min="121" max="121" width="8.625" style="64" customWidth="1"/>
    <col min="122" max="122" width="11.25" style="24" customWidth="1"/>
    <col min="123" max="123" width="9.875" style="60" customWidth="1"/>
    <col min="124" max="124" width="11.125" style="60" customWidth="1"/>
    <col min="125" max="125" width="11.625" style="60" customWidth="1"/>
    <col min="126" max="126" width="12.625" style="24" customWidth="1"/>
    <col min="127" max="127" width="11.5" style="24" customWidth="1"/>
    <col min="128" max="128" width="9.5" style="64" bestFit="1" customWidth="1"/>
    <col min="129" max="129" width="13.125" style="24" customWidth="1"/>
    <col min="130" max="130" width="9.5" style="60" customWidth="1"/>
    <col min="131" max="131" width="11.625" style="60" customWidth="1"/>
    <col min="132" max="132" width="11.5" style="60" customWidth="1"/>
    <col min="133" max="133" width="9.625" style="24" customWidth="1"/>
    <col min="134" max="134" width="9.25" style="24" customWidth="1"/>
    <col min="135" max="135" width="8.75" style="64" customWidth="1"/>
    <col min="136" max="136" width="9" style="24" customWidth="1"/>
    <col min="137" max="137" width="8.625" style="60" customWidth="1"/>
    <col min="138" max="138" width="11.125" style="60" customWidth="1"/>
    <col min="139" max="139" width="11.25" style="60" customWidth="1"/>
    <col min="140" max="140" width="11.5" style="24" customWidth="1"/>
    <col min="141" max="141" width="9" style="24" customWidth="1"/>
    <col min="142" max="142" width="9" style="64" customWidth="1"/>
    <col min="143" max="143" width="9.875" style="24" customWidth="1"/>
    <col min="144" max="144" width="9.25" style="60" customWidth="1"/>
    <col min="145" max="145" width="11.125" style="60" customWidth="1"/>
    <col min="146" max="146" width="11.375" style="60" customWidth="1"/>
    <col min="147" max="147" width="10.875" style="24" customWidth="1"/>
    <col min="148" max="148" width="8.375" style="24" customWidth="1"/>
    <col min="149" max="149" width="9.125" style="64" customWidth="1"/>
    <col min="150" max="151" width="9" style="24" customWidth="1"/>
    <col min="152" max="152" width="10.75" style="24" customWidth="1"/>
    <col min="153" max="153" width="10.625" style="24" customWidth="1"/>
    <col min="154" max="154" width="10.25" style="24" customWidth="1"/>
    <col min="155" max="155" width="8.125" style="24" customWidth="1"/>
    <col min="156" max="156" width="9" style="64" customWidth="1"/>
    <col min="157" max="157" width="9" style="24" customWidth="1"/>
    <col min="158" max="158" width="9" style="60" customWidth="1"/>
    <col min="159" max="159" width="11.375" style="60" customWidth="1"/>
    <col min="160" max="160" width="11.125" style="60" customWidth="1"/>
    <col min="161" max="161" width="14.5" style="24" customWidth="1"/>
    <col min="162" max="162" width="10.875" style="24" customWidth="1"/>
    <col min="163" max="163" width="8.5" style="64" customWidth="1"/>
    <col min="164" max="164" width="10.375" style="24" customWidth="1"/>
    <col min="165" max="165" width="9" style="60" customWidth="1"/>
    <col min="166" max="166" width="12" style="60" customWidth="1"/>
    <col min="167" max="174" width="10.875" style="60" customWidth="1"/>
    <col min="175" max="175" width="10.5" style="24" customWidth="1"/>
    <col min="176" max="176" width="11.875" style="24" customWidth="1"/>
    <col min="177" max="177" width="10.875" style="24" customWidth="1"/>
    <col min="178" max="178" width="9" style="64" customWidth="1"/>
    <col min="179" max="179" width="9" style="60" customWidth="1"/>
    <col min="180" max="180" width="12.125" style="24" customWidth="1"/>
    <col min="181" max="181" width="9.625" style="24" customWidth="1"/>
    <col min="182" max="182" width="9" style="64" customWidth="1"/>
    <col min="183" max="183" width="9" style="60" customWidth="1"/>
    <col min="184" max="184" width="12.625" style="24" customWidth="1"/>
    <col min="185" max="185" width="11" style="24" customWidth="1"/>
    <col min="186" max="186" width="11.875" style="64" bestFit="1" customWidth="1"/>
    <col min="187" max="187" width="11.875" style="24" customWidth="1"/>
    <col min="188" max="188" width="9" style="24" customWidth="1"/>
    <col min="189" max="189" width="9" style="64" customWidth="1"/>
    <col min="190" max="190" width="12.25" style="24" customWidth="1"/>
    <col min="191" max="191" width="10.875" style="24" customWidth="1"/>
    <col min="192" max="192" width="9" style="64" customWidth="1"/>
    <col min="193" max="193" width="10.875" style="24" customWidth="1"/>
    <col min="194" max="194" width="10.5" style="24" customWidth="1"/>
    <col min="195" max="195" width="9" style="64" customWidth="1"/>
    <col min="196" max="196" width="9" style="24" customWidth="1"/>
    <col min="197" max="197" width="12.625" style="24" customWidth="1"/>
    <col min="198" max="198" width="9" style="24" customWidth="1"/>
    <col min="199" max="199" width="9" style="64" customWidth="1"/>
    <col min="200" max="200" width="12" style="24" customWidth="1"/>
    <col min="201" max="201" width="9" style="24" customWidth="1"/>
    <col min="202" max="223" width="9" style="64" customWidth="1"/>
    <col min="224" max="224" width="9" style="24" customWidth="1"/>
    <col min="225" max="225" width="10.5" style="24" bestFit="1" customWidth="1"/>
    <col min="226" max="236" width="9" style="24" customWidth="1"/>
    <col min="237" max="237" width="10.5" style="24" bestFit="1" customWidth="1"/>
    <col min="238" max="238" width="9" style="24" customWidth="1"/>
    <col min="239" max="239" width="12.375" style="64" customWidth="1"/>
    <col min="240" max="240" width="12.5" style="64" customWidth="1"/>
    <col min="241" max="241" width="11.875" style="24" customWidth="1"/>
    <col min="242" max="242" width="11.625" style="24" customWidth="1"/>
    <col min="243" max="243" width="12.125" style="60" customWidth="1"/>
    <col min="244" max="245" width="10.625" style="60" bestFit="1" customWidth="1"/>
    <col min="246" max="246" width="10.75" style="60" bestFit="1" customWidth="1"/>
    <col min="247" max="254" width="10.625" style="60" bestFit="1" customWidth="1"/>
    <col min="255" max="255" width="10.5" style="60" customWidth="1"/>
    <col min="256" max="256" width="10.625" style="60" bestFit="1" customWidth="1"/>
    <col min="257" max="257" width="11.5" style="30" customWidth="1"/>
    <col min="258" max="258" width="9.625" style="30" bestFit="1" customWidth="1"/>
    <col min="259" max="269" width="10.625" style="30" bestFit="1" customWidth="1"/>
    <col min="270" max="270" width="12.875" style="30" bestFit="1" customWidth="1"/>
    <col min="271" max="275" width="10.625" style="30" bestFit="1" customWidth="1"/>
    <col min="276" max="277" width="9.5" style="30" bestFit="1" customWidth="1"/>
    <col min="278" max="278" width="8.5" style="30" customWidth="1"/>
    <col min="279" max="279" width="8" style="30" customWidth="1"/>
    <col min="280" max="280" width="21.25" style="30" customWidth="1"/>
    <col min="281" max="281" width="16.25" style="30" customWidth="1"/>
    <col min="282" max="282" width="11.625" style="30" customWidth="1"/>
    <col min="283" max="283" width="13.625" style="30" customWidth="1"/>
    <col min="284" max="284" width="12.875" style="30" customWidth="1"/>
    <col min="285" max="285" width="15.5" style="30" customWidth="1"/>
    <col min="286" max="287" width="13.375" style="30" customWidth="1"/>
    <col min="288" max="288" width="14.375" style="30" customWidth="1"/>
    <col min="289" max="289" width="11.875" style="30" customWidth="1"/>
    <col min="290" max="291" width="14.25" style="30" customWidth="1"/>
    <col min="292" max="292" width="8.625" style="30" customWidth="1"/>
    <col min="293" max="293" width="10.625" style="30" customWidth="1"/>
    <col min="294" max="294" width="9.875" style="30" customWidth="1"/>
    <col min="295" max="295" width="14" style="30" customWidth="1"/>
    <col min="296" max="296" width="10.875" style="30" customWidth="1"/>
    <col min="297" max="297" width="12.375" style="30" customWidth="1"/>
    <col min="298" max="298" width="12" style="30" customWidth="1"/>
    <col min="299" max="299" width="13.625" style="30" customWidth="1"/>
    <col min="300" max="300" width="10" style="30" customWidth="1"/>
    <col min="301" max="301" width="9.625" style="30" customWidth="1"/>
    <col min="302" max="302" width="11.75" style="30" customWidth="1"/>
    <col min="303" max="303" width="11.375" style="30" customWidth="1"/>
    <col min="304" max="304" width="12.875" style="30" customWidth="1"/>
    <col min="305" max="305" width="13" style="30" customWidth="1"/>
    <col min="306" max="306" width="8.875" style="30" customWidth="1"/>
    <col min="307" max="307" width="13.125" style="30" customWidth="1"/>
    <col min="308" max="308" width="9.625" style="30" customWidth="1"/>
    <col min="309" max="309" width="12.875" style="30" customWidth="1"/>
    <col min="310" max="310" width="11.5" style="30" customWidth="1"/>
    <col min="311" max="311" width="9.75" style="30" customWidth="1"/>
    <col min="312" max="312" width="13.375" style="30" customWidth="1"/>
    <col min="313" max="313" width="12.125" style="30" customWidth="1"/>
    <col min="314" max="314" width="10.25" style="30" customWidth="1"/>
    <col min="315" max="315" width="11.625" style="30" bestFit="1" customWidth="1"/>
    <col min="316" max="316" width="9.875" style="30" customWidth="1"/>
    <col min="317" max="317" width="13.375" style="30" customWidth="1"/>
    <col min="318" max="318" width="11.5" style="30" customWidth="1"/>
    <col min="319" max="319" width="12" style="30" customWidth="1"/>
    <col min="320" max="320" width="9.125" style="30" customWidth="1"/>
    <col min="321" max="321" width="9" style="30" customWidth="1"/>
    <col min="322" max="322" width="12.875" style="30" bestFit="1" customWidth="1"/>
    <col min="323" max="324" width="12" style="30" customWidth="1"/>
    <col min="325" max="325" width="11.875" style="30" customWidth="1"/>
    <col min="326" max="326" width="11" style="30" customWidth="1"/>
    <col min="327" max="327" width="11.625" style="30" customWidth="1"/>
    <col min="328" max="328" width="8.875" style="30" customWidth="1"/>
    <col min="329" max="329" width="11.625" style="30" bestFit="1" customWidth="1"/>
    <col min="330" max="330" width="9.625" style="30" customWidth="1"/>
    <col min="331" max="331" width="12.125" style="30" customWidth="1"/>
    <col min="332" max="332" width="11.875" style="30" customWidth="1"/>
    <col min="333" max="333" width="13.375" style="30" customWidth="1"/>
    <col min="334" max="334" width="11.5" style="30" customWidth="1"/>
    <col min="335" max="335" width="9.25" style="30" customWidth="1"/>
    <col min="336" max="336" width="11.625" style="30" bestFit="1" customWidth="1"/>
    <col min="337" max="337" width="10.625" style="30" customWidth="1"/>
    <col min="338" max="338" width="12" style="30" customWidth="1"/>
    <col min="339" max="339" width="11.625" style="30" customWidth="1"/>
    <col min="340" max="340" width="14" style="30" customWidth="1"/>
    <col min="341" max="341" width="11.125" style="30" customWidth="1"/>
    <col min="342" max="342" width="9.75" style="30" customWidth="1"/>
    <col min="343" max="343" width="11.625" style="30" bestFit="1" customWidth="1"/>
    <col min="344" max="344" width="10.125" style="30" customWidth="1"/>
    <col min="345" max="345" width="11.625" style="30" customWidth="1"/>
    <col min="346" max="346" width="11.375" style="30" customWidth="1"/>
    <col min="347" max="347" width="12.375" style="30" customWidth="1"/>
    <col min="348" max="349" width="10.875" style="30" customWidth="1"/>
    <col min="350" max="350" width="10.5" style="30" bestFit="1" customWidth="1"/>
    <col min="351" max="351" width="9.625" style="30" customWidth="1"/>
    <col min="352" max="352" width="11.875" style="30" customWidth="1"/>
    <col min="353" max="353" width="11.75" style="30" customWidth="1"/>
    <col min="354" max="354" width="14.125" style="30" customWidth="1"/>
    <col min="355" max="355" width="13.125" style="30" customWidth="1"/>
    <col min="356" max="356" width="8.75" style="30" customWidth="1"/>
    <col min="357" max="357" width="11.5" style="30" bestFit="1" customWidth="1"/>
    <col min="358" max="358" width="9.625" style="30" customWidth="1"/>
    <col min="359" max="359" width="13.625" style="30" customWidth="1"/>
    <col min="360" max="360" width="11.5" style="30" customWidth="1"/>
    <col min="361" max="361" width="11.75" style="30" customWidth="1"/>
    <col min="362" max="362" width="9.875" style="30" customWidth="1"/>
    <col min="363" max="363" width="9" style="30" customWidth="1"/>
    <col min="364" max="364" width="9.625" style="30" bestFit="1" customWidth="1"/>
    <col min="365" max="365" width="12.625" style="30" customWidth="1"/>
    <col min="366" max="366" width="12.375" style="30" customWidth="1"/>
    <col min="367" max="367" width="11.625" style="30" customWidth="1"/>
    <col min="368" max="369" width="14.125" style="30" customWidth="1"/>
    <col min="370" max="370" width="9.125" style="30" customWidth="1"/>
    <col min="371" max="371" width="10.5" style="30" bestFit="1" customWidth="1"/>
    <col min="372" max="372" width="9.625" style="30" customWidth="1"/>
    <col min="373" max="373" width="14.25" style="30" customWidth="1"/>
    <col min="374" max="374" width="11.875" style="30" customWidth="1"/>
    <col min="375" max="375" width="11" style="30" customWidth="1"/>
    <col min="376" max="376" width="11.75" style="30" customWidth="1"/>
    <col min="377" max="377" width="11.25" style="30" customWidth="1"/>
    <col min="378" max="378" width="9.625" style="30" bestFit="1" customWidth="1"/>
    <col min="379" max="379" width="9.625" style="30" customWidth="1"/>
    <col min="380" max="380" width="14.125" style="30" customWidth="1"/>
    <col min="381" max="381" width="11.125" style="30" customWidth="1"/>
    <col min="382" max="382" width="11.25" style="30" customWidth="1"/>
    <col min="383" max="383" width="12" style="30" customWidth="1"/>
    <col min="384" max="384" width="8.75" style="30" customWidth="1"/>
    <col min="385" max="385" width="9.625" style="30" bestFit="1" customWidth="1"/>
    <col min="386" max="386" width="9.625" style="30" customWidth="1"/>
    <col min="387" max="388" width="11.25" style="30" customWidth="1"/>
    <col min="389" max="389" width="12" style="30" customWidth="1"/>
    <col min="390" max="391" width="10.625" style="30" customWidth="1"/>
    <col min="392" max="392" width="11" style="30" customWidth="1"/>
    <col min="393" max="393" width="10.625" style="30" customWidth="1"/>
    <col min="394" max="394" width="12.375" style="30" customWidth="1"/>
    <col min="395" max="395" width="12" style="30" customWidth="1"/>
    <col min="396" max="396" width="11.625" style="30" customWidth="1"/>
    <col min="397" max="397" width="10.5" style="30" customWidth="1"/>
    <col min="398" max="398" width="8.625" style="30" customWidth="1"/>
    <col min="399" max="399" width="11.25" style="30" customWidth="1"/>
    <col min="400" max="400" width="9.875" style="30" customWidth="1"/>
    <col min="401" max="401" width="11.125" style="30" customWidth="1"/>
    <col min="402" max="402" width="11.625" style="30" customWidth="1"/>
    <col min="403" max="403" width="12.625" style="30" customWidth="1"/>
    <col min="404" max="404" width="11.5" style="30" customWidth="1"/>
    <col min="405" max="405" width="9.375" style="30"/>
    <col min="406" max="406" width="13.125" style="30" customWidth="1"/>
    <col min="407" max="407" width="9.5" style="30" customWidth="1"/>
    <col min="408" max="408" width="11.625" style="30" customWidth="1"/>
    <col min="409" max="409" width="11.5" style="30" customWidth="1"/>
    <col min="410" max="410" width="9.625" style="30" customWidth="1"/>
    <col min="411" max="411" width="9.25" style="30" customWidth="1"/>
    <col min="412" max="412" width="8.75" style="30" customWidth="1"/>
    <col min="413" max="413" width="9" style="30" customWidth="1"/>
    <col min="414" max="414" width="8.625" style="30" customWidth="1"/>
    <col min="415" max="415" width="11.125" style="30" customWidth="1"/>
    <col min="416" max="416" width="11.25" style="30" customWidth="1"/>
    <col min="417" max="417" width="11.5" style="30" customWidth="1"/>
    <col min="418" max="419" width="9" style="30" customWidth="1"/>
    <col min="420" max="420" width="9.875" style="30" customWidth="1"/>
    <col min="421" max="421" width="9.25" style="30" customWidth="1"/>
    <col min="422" max="422" width="11.125" style="30" customWidth="1"/>
    <col min="423" max="423" width="11.375" style="30" customWidth="1"/>
    <col min="424" max="424" width="10.875" style="30" customWidth="1"/>
    <col min="425" max="425" width="8.375" style="30" customWidth="1"/>
    <col min="426" max="426" width="9.125" style="30" customWidth="1"/>
    <col min="427" max="428" width="9" style="30" customWidth="1"/>
    <col min="429" max="429" width="10.75" style="30" customWidth="1"/>
    <col min="430" max="430" width="10.625" style="30" customWidth="1"/>
    <col min="431" max="431" width="10.25" style="30" customWidth="1"/>
    <col min="432" max="432" width="8.125" style="30" customWidth="1"/>
    <col min="433" max="435" width="9" style="30" customWidth="1"/>
    <col min="436" max="436" width="11.375" style="30" customWidth="1"/>
    <col min="437" max="437" width="11.125" style="30" customWidth="1"/>
    <col min="438" max="438" width="14.5" style="30" customWidth="1"/>
    <col min="439" max="439" width="10.875" style="30" customWidth="1"/>
    <col min="440" max="440" width="8.5" style="30" customWidth="1"/>
    <col min="441" max="441" width="10.375" style="30" customWidth="1"/>
    <col min="442" max="442" width="9" style="30" customWidth="1"/>
    <col min="443" max="443" width="12" style="30" customWidth="1"/>
    <col min="444" max="451" width="10.875" style="30" customWidth="1"/>
    <col min="452" max="452" width="10.5" style="30" customWidth="1"/>
    <col min="453" max="453" width="11.875" style="30" customWidth="1"/>
    <col min="454" max="454" width="10.875" style="30" customWidth="1"/>
    <col min="455" max="456" width="9" style="30" customWidth="1"/>
    <col min="457" max="457" width="12.125" style="30" customWidth="1"/>
    <col min="458" max="458" width="9.625" style="30" customWidth="1"/>
    <col min="459" max="460" width="9" style="30" customWidth="1"/>
    <col min="461" max="461" width="12.625" style="30" customWidth="1"/>
    <col min="462" max="462" width="11" style="30" customWidth="1"/>
    <col min="463" max="463" width="11.75" style="30" bestFit="1" customWidth="1"/>
    <col min="464" max="464" width="11.875" style="30" customWidth="1"/>
    <col min="465" max="466" width="9" style="30" customWidth="1"/>
    <col min="467" max="467" width="12.25" style="30" customWidth="1"/>
    <col min="468" max="468" width="10.875" style="30" customWidth="1"/>
    <col min="469" max="469" width="9" style="30" customWidth="1"/>
    <col min="470" max="470" width="10.875" style="30" customWidth="1"/>
    <col min="471" max="471" width="10.5" style="30" customWidth="1"/>
    <col min="472" max="473" width="9" style="30" customWidth="1"/>
    <col min="474" max="474" width="12.625" style="30" customWidth="1"/>
    <col min="475" max="476" width="9" style="30" customWidth="1"/>
    <col min="477" max="477" width="12" style="30" customWidth="1"/>
    <col min="478" max="494" width="9" style="30" customWidth="1"/>
    <col min="495" max="495" width="12.375" style="30" customWidth="1"/>
    <col min="496" max="496" width="12.5" style="30" customWidth="1"/>
    <col min="497" max="497" width="11.875" style="30" customWidth="1"/>
    <col min="498" max="498" width="11.625" style="30" customWidth="1"/>
    <col min="499" max="499" width="12.125" style="30" customWidth="1"/>
    <col min="500" max="501" width="10.5" style="30" bestFit="1" customWidth="1"/>
    <col min="502" max="502" width="10.625" style="30" bestFit="1" customWidth="1"/>
    <col min="503" max="510" width="10.5" style="30" bestFit="1" customWidth="1"/>
    <col min="511" max="511" width="10.5" style="30" customWidth="1"/>
    <col min="512" max="512" width="10.5" style="30" bestFit="1" customWidth="1"/>
    <col min="513" max="513" width="11.5" style="30" customWidth="1"/>
    <col min="514" max="514" width="9.5" style="30" bestFit="1" customWidth="1"/>
    <col min="515" max="525" width="10.5" style="30" bestFit="1" customWidth="1"/>
    <col min="526" max="526" width="12.75" style="30" bestFit="1" customWidth="1"/>
    <col min="527" max="531" width="10.5" style="30" bestFit="1" customWidth="1"/>
    <col min="532" max="533" width="9.375" style="30"/>
    <col min="534" max="534" width="8.5" style="30" customWidth="1"/>
    <col min="535" max="535" width="8" style="30" customWidth="1"/>
    <col min="536" max="536" width="21.25" style="30" customWidth="1"/>
    <col min="537" max="537" width="16.25" style="30" customWidth="1"/>
    <col min="538" max="538" width="11.625" style="30" customWidth="1"/>
    <col min="539" max="539" width="13.625" style="30" customWidth="1"/>
    <col min="540" max="540" width="12.875" style="30" customWidth="1"/>
    <col min="541" max="541" width="15.5" style="30" customWidth="1"/>
    <col min="542" max="543" width="13.375" style="30" customWidth="1"/>
    <col min="544" max="544" width="14.375" style="30" customWidth="1"/>
    <col min="545" max="545" width="11.875" style="30" customWidth="1"/>
    <col min="546" max="547" width="14.25" style="30" customWidth="1"/>
    <col min="548" max="548" width="8.625" style="30" customWidth="1"/>
    <col min="549" max="549" width="10.625" style="30" customWidth="1"/>
    <col min="550" max="550" width="9.875" style="30" customWidth="1"/>
    <col min="551" max="551" width="14" style="30" customWidth="1"/>
    <col min="552" max="552" width="10.875" style="30" customWidth="1"/>
    <col min="553" max="553" width="12.375" style="30" customWidth="1"/>
    <col min="554" max="554" width="12" style="30" customWidth="1"/>
    <col min="555" max="555" width="13.625" style="30" customWidth="1"/>
    <col min="556" max="556" width="10" style="30" customWidth="1"/>
    <col min="557" max="557" width="9.625" style="30" customWidth="1"/>
    <col min="558" max="558" width="11.75" style="30" customWidth="1"/>
    <col min="559" max="559" width="11.375" style="30" customWidth="1"/>
    <col min="560" max="560" width="12.875" style="30" customWidth="1"/>
    <col min="561" max="561" width="13" style="30" customWidth="1"/>
    <col min="562" max="562" width="8.875" style="30" customWidth="1"/>
    <col min="563" max="563" width="13.125" style="30" customWidth="1"/>
    <col min="564" max="564" width="9.625" style="30" customWidth="1"/>
    <col min="565" max="565" width="12.875" style="30" customWidth="1"/>
    <col min="566" max="566" width="11.5" style="30" customWidth="1"/>
    <col min="567" max="567" width="9.75" style="30" customWidth="1"/>
    <col min="568" max="568" width="13.375" style="30" customWidth="1"/>
    <col min="569" max="569" width="12.125" style="30" customWidth="1"/>
    <col min="570" max="570" width="10.25" style="30" customWidth="1"/>
    <col min="571" max="571" width="11.625" style="30" bestFit="1" customWidth="1"/>
    <col min="572" max="572" width="9.875" style="30" customWidth="1"/>
    <col min="573" max="573" width="13.375" style="30" customWidth="1"/>
    <col min="574" max="574" width="11.5" style="30" customWidth="1"/>
    <col min="575" max="575" width="12" style="30" customWidth="1"/>
    <col min="576" max="576" width="9.125" style="30" customWidth="1"/>
    <col min="577" max="577" width="9" style="30" customWidth="1"/>
    <col min="578" max="578" width="12.875" style="30" bestFit="1" customWidth="1"/>
    <col min="579" max="580" width="12" style="30" customWidth="1"/>
    <col min="581" max="581" width="11.875" style="30" customWidth="1"/>
    <col min="582" max="582" width="11" style="30" customWidth="1"/>
    <col min="583" max="583" width="11.625" style="30" customWidth="1"/>
    <col min="584" max="584" width="8.875" style="30" customWidth="1"/>
    <col min="585" max="585" width="11.625" style="30" bestFit="1" customWidth="1"/>
    <col min="586" max="586" width="9.625" style="30" customWidth="1"/>
    <col min="587" max="587" width="12.125" style="30" customWidth="1"/>
    <col min="588" max="588" width="11.875" style="30" customWidth="1"/>
    <col min="589" max="589" width="13.375" style="30" customWidth="1"/>
    <col min="590" max="590" width="11.5" style="30" customWidth="1"/>
    <col min="591" max="591" width="9.25" style="30" customWidth="1"/>
    <col min="592" max="592" width="11.625" style="30" bestFit="1" customWidth="1"/>
    <col min="593" max="593" width="10.625" style="30" customWidth="1"/>
    <col min="594" max="594" width="12" style="30" customWidth="1"/>
    <col min="595" max="595" width="11.625" style="30" customWidth="1"/>
    <col min="596" max="596" width="14" style="30" customWidth="1"/>
    <col min="597" max="597" width="11.125" style="30" customWidth="1"/>
    <col min="598" max="598" width="9.75" style="30" customWidth="1"/>
    <col min="599" max="599" width="11.625" style="30" bestFit="1" customWidth="1"/>
    <col min="600" max="600" width="10.125" style="30" customWidth="1"/>
    <col min="601" max="601" width="11.625" style="30" customWidth="1"/>
    <col min="602" max="602" width="11.375" style="30" customWidth="1"/>
    <col min="603" max="603" width="12.375" style="30" customWidth="1"/>
    <col min="604" max="605" width="10.875" style="30" customWidth="1"/>
    <col min="606" max="606" width="10.5" style="30" bestFit="1" customWidth="1"/>
    <col min="607" max="607" width="9.625" style="30" customWidth="1"/>
    <col min="608" max="608" width="11.875" style="30" customWidth="1"/>
    <col min="609" max="609" width="11.75" style="30" customWidth="1"/>
    <col min="610" max="610" width="14.125" style="30" customWidth="1"/>
    <col min="611" max="611" width="13.125" style="30" customWidth="1"/>
    <col min="612" max="612" width="8.75" style="30" customWidth="1"/>
    <col min="613" max="613" width="11.5" style="30" bestFit="1" customWidth="1"/>
    <col min="614" max="614" width="9.625" style="30" customWidth="1"/>
    <col min="615" max="615" width="13.625" style="30" customWidth="1"/>
    <col min="616" max="616" width="11.5" style="30" customWidth="1"/>
    <col min="617" max="617" width="11.75" style="30" customWidth="1"/>
    <col min="618" max="618" width="9.875" style="30" customWidth="1"/>
    <col min="619" max="619" width="9" style="30" customWidth="1"/>
    <col min="620" max="620" width="9.625" style="30" bestFit="1" customWidth="1"/>
    <col min="621" max="621" width="12.625" style="30" customWidth="1"/>
    <col min="622" max="622" width="12.375" style="30" customWidth="1"/>
    <col min="623" max="623" width="11.625" style="30" customWidth="1"/>
    <col min="624" max="625" width="14.125" style="30" customWidth="1"/>
    <col min="626" max="626" width="9.125" style="30" customWidth="1"/>
    <col min="627" max="627" width="10.5" style="30" bestFit="1" customWidth="1"/>
    <col min="628" max="628" width="9.625" style="30" customWidth="1"/>
    <col min="629" max="629" width="14.25" style="30" customWidth="1"/>
    <col min="630" max="630" width="11.875" style="30" customWidth="1"/>
    <col min="631" max="631" width="11" style="30" customWidth="1"/>
    <col min="632" max="632" width="11.75" style="30" customWidth="1"/>
    <col min="633" max="633" width="11.25" style="30" customWidth="1"/>
    <col min="634" max="634" width="9.625" style="30" bestFit="1" customWidth="1"/>
    <col min="635" max="635" width="9.625" style="30" customWidth="1"/>
    <col min="636" max="636" width="14.125" style="30" customWidth="1"/>
    <col min="637" max="637" width="11.125" style="30" customWidth="1"/>
    <col min="638" max="638" width="11.25" style="30" customWidth="1"/>
    <col min="639" max="639" width="12" style="30" customWidth="1"/>
    <col min="640" max="640" width="8.75" style="30" customWidth="1"/>
    <col min="641" max="641" width="9.625" style="30" bestFit="1" customWidth="1"/>
    <col min="642" max="642" width="9.625" style="30" customWidth="1"/>
    <col min="643" max="644" width="11.25" style="30" customWidth="1"/>
    <col min="645" max="645" width="12" style="30" customWidth="1"/>
    <col min="646" max="647" width="10.625" style="30" customWidth="1"/>
    <col min="648" max="648" width="11" style="30" customWidth="1"/>
    <col min="649" max="649" width="10.625" style="30" customWidth="1"/>
    <col min="650" max="650" width="12.375" style="30" customWidth="1"/>
    <col min="651" max="651" width="12" style="30" customWidth="1"/>
    <col min="652" max="652" width="11.625" style="30" customWidth="1"/>
    <col min="653" max="653" width="10.5" style="30" customWidth="1"/>
    <col min="654" max="654" width="8.625" style="30" customWidth="1"/>
    <col min="655" max="655" width="11.25" style="30" customWidth="1"/>
    <col min="656" max="656" width="9.875" style="30" customWidth="1"/>
    <col min="657" max="657" width="11.125" style="30" customWidth="1"/>
    <col min="658" max="658" width="11.625" style="30" customWidth="1"/>
    <col min="659" max="659" width="12.625" style="30" customWidth="1"/>
    <col min="660" max="660" width="11.5" style="30" customWidth="1"/>
    <col min="661" max="661" width="9.375" style="30"/>
    <col min="662" max="662" width="13.125" style="30" customWidth="1"/>
    <col min="663" max="663" width="9.5" style="30" customWidth="1"/>
    <col min="664" max="664" width="11.625" style="30" customWidth="1"/>
    <col min="665" max="665" width="11.5" style="30" customWidth="1"/>
    <col min="666" max="666" width="9.625" style="30" customWidth="1"/>
    <col min="667" max="667" width="9.25" style="30" customWidth="1"/>
    <col min="668" max="668" width="8.75" style="30" customWidth="1"/>
    <col min="669" max="669" width="9" style="30" customWidth="1"/>
    <col min="670" max="670" width="8.625" style="30" customWidth="1"/>
    <col min="671" max="671" width="11.125" style="30" customWidth="1"/>
    <col min="672" max="672" width="11.25" style="30" customWidth="1"/>
    <col min="673" max="673" width="11.5" style="30" customWidth="1"/>
    <col min="674" max="675" width="9" style="30" customWidth="1"/>
    <col min="676" max="676" width="9.875" style="30" customWidth="1"/>
    <col min="677" max="677" width="9.25" style="30" customWidth="1"/>
    <col min="678" max="678" width="11.125" style="30" customWidth="1"/>
    <col min="679" max="679" width="11.375" style="30" customWidth="1"/>
    <col min="680" max="680" width="10.875" style="30" customWidth="1"/>
    <col min="681" max="681" width="8.375" style="30" customWidth="1"/>
    <col min="682" max="682" width="9.125" style="30" customWidth="1"/>
    <col min="683" max="684" width="9" style="30" customWidth="1"/>
    <col min="685" max="685" width="10.75" style="30" customWidth="1"/>
    <col min="686" max="686" width="10.625" style="30" customWidth="1"/>
    <col min="687" max="687" width="10.25" style="30" customWidth="1"/>
    <col min="688" max="688" width="8.125" style="30" customWidth="1"/>
    <col min="689" max="691" width="9" style="30" customWidth="1"/>
    <col min="692" max="692" width="11.375" style="30" customWidth="1"/>
    <col min="693" max="693" width="11.125" style="30" customWidth="1"/>
    <col min="694" max="694" width="14.5" style="30" customWidth="1"/>
    <col min="695" max="695" width="10.875" style="30" customWidth="1"/>
    <col min="696" max="696" width="8.5" style="30" customWidth="1"/>
    <col min="697" max="697" width="10.375" style="30" customWidth="1"/>
    <col min="698" max="698" width="9" style="30" customWidth="1"/>
    <col min="699" max="699" width="12" style="30" customWidth="1"/>
    <col min="700" max="707" width="10.875" style="30" customWidth="1"/>
    <col min="708" max="708" width="10.5" style="30" customWidth="1"/>
    <col min="709" max="709" width="11.875" style="30" customWidth="1"/>
    <col min="710" max="710" width="10.875" style="30" customWidth="1"/>
    <col min="711" max="712" width="9" style="30" customWidth="1"/>
    <col min="713" max="713" width="12.125" style="30" customWidth="1"/>
    <col min="714" max="714" width="9.625" style="30" customWidth="1"/>
    <col min="715" max="716" width="9" style="30" customWidth="1"/>
    <col min="717" max="717" width="12.625" style="30" customWidth="1"/>
    <col min="718" max="718" width="11" style="30" customWidth="1"/>
    <col min="719" max="719" width="11.75" style="30" bestFit="1" customWidth="1"/>
    <col min="720" max="720" width="11.875" style="30" customWidth="1"/>
    <col min="721" max="722" width="9" style="30" customWidth="1"/>
    <col min="723" max="723" width="12.25" style="30" customWidth="1"/>
    <col min="724" max="724" width="10.875" style="30" customWidth="1"/>
    <col min="725" max="725" width="9" style="30" customWidth="1"/>
    <col min="726" max="726" width="10.875" style="30" customWidth="1"/>
    <col min="727" max="727" width="10.5" style="30" customWidth="1"/>
    <col min="728" max="729" width="9" style="30" customWidth="1"/>
    <col min="730" max="730" width="12.625" style="30" customWidth="1"/>
    <col min="731" max="732" width="9" style="30" customWidth="1"/>
    <col min="733" max="733" width="12" style="30" customWidth="1"/>
    <col min="734" max="750" width="9" style="30" customWidth="1"/>
    <col min="751" max="751" width="12.375" style="30" customWidth="1"/>
    <col min="752" max="752" width="12.5" style="30" customWidth="1"/>
    <col min="753" max="753" width="11.875" style="30" customWidth="1"/>
    <col min="754" max="754" width="11.625" style="30" customWidth="1"/>
    <col min="755" max="755" width="12.125" style="30" customWidth="1"/>
    <col min="756" max="757" width="10.5" style="30" bestFit="1" customWidth="1"/>
    <col min="758" max="758" width="10.625" style="30" bestFit="1" customWidth="1"/>
    <col min="759" max="766" width="10.5" style="30" bestFit="1" customWidth="1"/>
    <col min="767" max="767" width="10.5" style="30" customWidth="1"/>
    <col min="768" max="768" width="10.5" style="30" bestFit="1" customWidth="1"/>
    <col min="769" max="769" width="11.5" style="30" customWidth="1"/>
    <col min="770" max="770" width="9.5" style="30" bestFit="1" customWidth="1"/>
    <col min="771" max="781" width="10.5" style="30" bestFit="1" customWidth="1"/>
    <col min="782" max="782" width="12.75" style="30" bestFit="1" customWidth="1"/>
    <col min="783" max="787" width="10.5" style="30" bestFit="1" customWidth="1"/>
    <col min="788" max="789" width="9.375" style="30"/>
    <col min="790" max="790" width="8.5" style="30" customWidth="1"/>
    <col min="791" max="791" width="8" style="30" customWidth="1"/>
    <col min="792" max="792" width="21.25" style="30" customWidth="1"/>
    <col min="793" max="793" width="16.25" style="30" customWidth="1"/>
    <col min="794" max="794" width="11.625" style="30" customWidth="1"/>
    <col min="795" max="795" width="13.625" style="30" customWidth="1"/>
    <col min="796" max="796" width="12.875" style="30" customWidth="1"/>
    <col min="797" max="797" width="15.5" style="30" customWidth="1"/>
    <col min="798" max="799" width="13.375" style="30" customWidth="1"/>
    <col min="800" max="800" width="14.375" style="30" customWidth="1"/>
    <col min="801" max="801" width="11.875" style="30" customWidth="1"/>
    <col min="802" max="803" width="14.25" style="30" customWidth="1"/>
    <col min="804" max="804" width="8.625" style="30" customWidth="1"/>
    <col min="805" max="805" width="10.625" style="30" customWidth="1"/>
    <col min="806" max="806" width="9.875" style="30" customWidth="1"/>
    <col min="807" max="807" width="14" style="30" customWidth="1"/>
    <col min="808" max="808" width="10.875" style="30" customWidth="1"/>
    <col min="809" max="809" width="12.375" style="30" customWidth="1"/>
    <col min="810" max="810" width="12" style="30" customWidth="1"/>
    <col min="811" max="811" width="13.625" style="30" customWidth="1"/>
    <col min="812" max="812" width="10" style="30" customWidth="1"/>
    <col min="813" max="813" width="9.625" style="30" customWidth="1"/>
    <col min="814" max="814" width="11.75" style="30" customWidth="1"/>
    <col min="815" max="815" width="11.375" style="30" customWidth="1"/>
    <col min="816" max="816" width="12.875" style="30" customWidth="1"/>
    <col min="817" max="817" width="13" style="30" customWidth="1"/>
    <col min="818" max="818" width="8.875" style="30" customWidth="1"/>
    <col min="819" max="819" width="13.125" style="30" customWidth="1"/>
    <col min="820" max="820" width="9.625" style="30" customWidth="1"/>
    <col min="821" max="821" width="12.875" style="30" customWidth="1"/>
    <col min="822" max="822" width="11.5" style="30" customWidth="1"/>
    <col min="823" max="823" width="9.75" style="30" customWidth="1"/>
    <col min="824" max="824" width="13.375" style="30" customWidth="1"/>
    <col min="825" max="825" width="12.125" style="30" customWidth="1"/>
    <col min="826" max="826" width="10.25" style="30" customWidth="1"/>
    <col min="827" max="827" width="11.625" style="30" bestFit="1" customWidth="1"/>
    <col min="828" max="828" width="9.875" style="30" customWidth="1"/>
    <col min="829" max="829" width="13.375" style="30" customWidth="1"/>
    <col min="830" max="830" width="11.5" style="30" customWidth="1"/>
    <col min="831" max="831" width="12" style="30" customWidth="1"/>
    <col min="832" max="832" width="9.125" style="30" customWidth="1"/>
    <col min="833" max="833" width="9" style="30" customWidth="1"/>
    <col min="834" max="834" width="12.875" style="30" bestFit="1" customWidth="1"/>
    <col min="835" max="836" width="12" style="30" customWidth="1"/>
    <col min="837" max="837" width="11.875" style="30" customWidth="1"/>
    <col min="838" max="838" width="11" style="30" customWidth="1"/>
    <col min="839" max="839" width="11.625" style="30" customWidth="1"/>
    <col min="840" max="840" width="8.875" style="30" customWidth="1"/>
    <col min="841" max="841" width="11.625" style="30" bestFit="1" customWidth="1"/>
    <col min="842" max="842" width="9.625" style="30" customWidth="1"/>
    <col min="843" max="843" width="12.125" style="30" customWidth="1"/>
    <col min="844" max="844" width="11.875" style="30" customWidth="1"/>
    <col min="845" max="845" width="13.375" style="30" customWidth="1"/>
    <col min="846" max="846" width="11.5" style="30" customWidth="1"/>
    <col min="847" max="847" width="9.25" style="30" customWidth="1"/>
    <col min="848" max="848" width="11.625" style="30" bestFit="1" customWidth="1"/>
    <col min="849" max="849" width="10.625" style="30" customWidth="1"/>
    <col min="850" max="850" width="12" style="30" customWidth="1"/>
    <col min="851" max="851" width="11.625" style="30" customWidth="1"/>
    <col min="852" max="852" width="14" style="30" customWidth="1"/>
    <col min="853" max="853" width="11.125" style="30" customWidth="1"/>
    <col min="854" max="854" width="9.75" style="30" customWidth="1"/>
    <col min="855" max="855" width="11.625" style="30" bestFit="1" customWidth="1"/>
    <col min="856" max="856" width="10.125" style="30" customWidth="1"/>
    <col min="857" max="857" width="11.625" style="30" customWidth="1"/>
    <col min="858" max="858" width="11.375" style="30" customWidth="1"/>
    <col min="859" max="859" width="12.375" style="30" customWidth="1"/>
    <col min="860" max="861" width="10.875" style="30" customWidth="1"/>
    <col min="862" max="862" width="10.5" style="30" bestFit="1" customWidth="1"/>
    <col min="863" max="863" width="9.625" style="30" customWidth="1"/>
    <col min="864" max="864" width="11.875" style="30" customWidth="1"/>
    <col min="865" max="865" width="11.75" style="30" customWidth="1"/>
    <col min="866" max="866" width="14.125" style="30" customWidth="1"/>
    <col min="867" max="867" width="13.125" style="30" customWidth="1"/>
    <col min="868" max="868" width="8.75" style="30" customWidth="1"/>
    <col min="869" max="869" width="11.5" style="30" bestFit="1" customWidth="1"/>
    <col min="870" max="870" width="9.625" style="30" customWidth="1"/>
    <col min="871" max="871" width="13.625" style="30" customWidth="1"/>
    <col min="872" max="872" width="11.5" style="30" customWidth="1"/>
    <col min="873" max="873" width="11.75" style="30" customWidth="1"/>
    <col min="874" max="874" width="9.875" style="30" customWidth="1"/>
    <col min="875" max="875" width="9" style="30" customWidth="1"/>
    <col min="876" max="876" width="9.625" style="30" bestFit="1" customWidth="1"/>
    <col min="877" max="877" width="12.625" style="30" customWidth="1"/>
    <col min="878" max="878" width="12.375" style="30" customWidth="1"/>
    <col min="879" max="879" width="11.625" style="30" customWidth="1"/>
    <col min="880" max="881" width="14.125" style="30" customWidth="1"/>
    <col min="882" max="882" width="9.125" style="30" customWidth="1"/>
    <col min="883" max="883" width="10.5" style="30" bestFit="1" customWidth="1"/>
    <col min="884" max="884" width="9.625" style="30" customWidth="1"/>
    <col min="885" max="885" width="14.25" style="30" customWidth="1"/>
    <col min="886" max="886" width="11.875" style="30" customWidth="1"/>
    <col min="887" max="887" width="11" style="30" customWidth="1"/>
    <col min="888" max="888" width="11.75" style="30" customWidth="1"/>
    <col min="889" max="889" width="11.25" style="30" customWidth="1"/>
    <col min="890" max="890" width="9.625" style="30" bestFit="1" customWidth="1"/>
    <col min="891" max="891" width="9.625" style="30" customWidth="1"/>
    <col min="892" max="892" width="14.125" style="30" customWidth="1"/>
    <col min="893" max="893" width="11.125" style="30" customWidth="1"/>
    <col min="894" max="894" width="11.25" style="30" customWidth="1"/>
    <col min="895" max="895" width="12" style="30" customWidth="1"/>
    <col min="896" max="896" width="8.75" style="30" customWidth="1"/>
    <col min="897" max="897" width="9.625" style="30" bestFit="1" customWidth="1"/>
    <col min="898" max="898" width="9.625" style="30" customWidth="1"/>
    <col min="899" max="900" width="11.25" style="30" customWidth="1"/>
    <col min="901" max="901" width="12" style="30" customWidth="1"/>
    <col min="902" max="903" width="10.625" style="30" customWidth="1"/>
    <col min="904" max="904" width="11" style="30" customWidth="1"/>
    <col min="905" max="905" width="10.625" style="30" customWidth="1"/>
    <col min="906" max="906" width="12.375" style="30" customWidth="1"/>
    <col min="907" max="907" width="12" style="30" customWidth="1"/>
    <col min="908" max="908" width="11.625" style="30" customWidth="1"/>
    <col min="909" max="909" width="10.5" style="30" customWidth="1"/>
    <col min="910" max="910" width="8.625" style="30" customWidth="1"/>
    <col min="911" max="911" width="11.25" style="30" customWidth="1"/>
    <col min="912" max="912" width="9.875" style="30" customWidth="1"/>
    <col min="913" max="913" width="11.125" style="30" customWidth="1"/>
    <col min="914" max="914" width="11.625" style="30" customWidth="1"/>
    <col min="915" max="915" width="12.625" style="30" customWidth="1"/>
    <col min="916" max="916" width="11.5" style="30" customWidth="1"/>
    <col min="917" max="917" width="9.375" style="30"/>
    <col min="918" max="918" width="13.125" style="30" customWidth="1"/>
    <col min="919" max="919" width="9.5" style="30" customWidth="1"/>
    <col min="920" max="920" width="11.625" style="30" customWidth="1"/>
    <col min="921" max="921" width="11.5" style="30" customWidth="1"/>
    <col min="922" max="922" width="9.625" style="30" customWidth="1"/>
    <col min="923" max="923" width="9.25" style="30" customWidth="1"/>
    <col min="924" max="924" width="8.75" style="30" customWidth="1"/>
    <col min="925" max="925" width="9" style="30" customWidth="1"/>
    <col min="926" max="926" width="8.625" style="30" customWidth="1"/>
    <col min="927" max="927" width="11.125" style="30" customWidth="1"/>
    <col min="928" max="928" width="11.25" style="30" customWidth="1"/>
    <col min="929" max="929" width="11.5" style="30" customWidth="1"/>
    <col min="930" max="931" width="9" style="30" customWidth="1"/>
    <col min="932" max="932" width="9.875" style="30" customWidth="1"/>
    <col min="933" max="933" width="9.25" style="30" customWidth="1"/>
    <col min="934" max="934" width="11.125" style="30" customWidth="1"/>
    <col min="935" max="935" width="11.375" style="30" customWidth="1"/>
    <col min="936" max="936" width="10.875" style="30" customWidth="1"/>
    <col min="937" max="937" width="8.375" style="30" customWidth="1"/>
    <col min="938" max="938" width="9.125" style="30" customWidth="1"/>
    <col min="939" max="940" width="9" style="30" customWidth="1"/>
    <col min="941" max="941" width="10.75" style="30" customWidth="1"/>
    <col min="942" max="942" width="10.625" style="30" customWidth="1"/>
    <col min="943" max="943" width="10.25" style="30" customWidth="1"/>
    <col min="944" max="944" width="8.125" style="30" customWidth="1"/>
    <col min="945" max="947" width="9" style="30" customWidth="1"/>
    <col min="948" max="948" width="11.375" style="30" customWidth="1"/>
    <col min="949" max="949" width="11.125" style="30" customWidth="1"/>
    <col min="950" max="950" width="14.5" style="30" customWidth="1"/>
    <col min="951" max="951" width="10.875" style="30" customWidth="1"/>
    <col min="952" max="952" width="8.5" style="30" customWidth="1"/>
    <col min="953" max="953" width="10.375" style="30" customWidth="1"/>
    <col min="954" max="954" width="9" style="30" customWidth="1"/>
    <col min="955" max="955" width="12" style="30" customWidth="1"/>
    <col min="956" max="963" width="10.875" style="30" customWidth="1"/>
    <col min="964" max="964" width="10.5" style="30" customWidth="1"/>
    <col min="965" max="965" width="11.875" style="30" customWidth="1"/>
    <col min="966" max="966" width="10.875" style="30" customWidth="1"/>
    <col min="967" max="968" width="9" style="30" customWidth="1"/>
    <col min="969" max="969" width="12.125" style="30" customWidth="1"/>
    <col min="970" max="970" width="9.625" style="30" customWidth="1"/>
    <col min="971" max="972" width="9" style="30" customWidth="1"/>
    <col min="973" max="973" width="12.625" style="30" customWidth="1"/>
    <col min="974" max="974" width="11" style="30" customWidth="1"/>
    <col min="975" max="975" width="11.75" style="30" bestFit="1" customWidth="1"/>
    <col min="976" max="976" width="11.875" style="30" customWidth="1"/>
    <col min="977" max="978" width="9" style="30" customWidth="1"/>
    <col min="979" max="979" width="12.25" style="30" customWidth="1"/>
    <col min="980" max="980" width="10.875" style="30" customWidth="1"/>
    <col min="981" max="981" width="9" style="30" customWidth="1"/>
    <col min="982" max="982" width="10.875" style="30" customWidth="1"/>
    <col min="983" max="983" width="10.5" style="30" customWidth="1"/>
    <col min="984" max="985" width="9" style="30" customWidth="1"/>
    <col min="986" max="986" width="12.625" style="30" customWidth="1"/>
    <col min="987" max="988" width="9" style="30" customWidth="1"/>
    <col min="989" max="989" width="12" style="30" customWidth="1"/>
    <col min="990" max="1006" width="9" style="30" customWidth="1"/>
    <col min="1007" max="1007" width="12.375" style="30" customWidth="1"/>
    <col min="1008" max="1008" width="12.5" style="30" customWidth="1"/>
    <col min="1009" max="1009" width="11.875" style="30" customWidth="1"/>
    <col min="1010" max="1010" width="11.625" style="30" customWidth="1"/>
    <col min="1011" max="1011" width="12.125" style="30" customWidth="1"/>
    <col min="1012" max="1013" width="10.5" style="30" bestFit="1" customWidth="1"/>
    <col min="1014" max="1014" width="10.625" style="30" bestFit="1" customWidth="1"/>
    <col min="1015" max="1022" width="10.5" style="30" bestFit="1" customWidth="1"/>
    <col min="1023" max="1023" width="10.5" style="30" customWidth="1"/>
    <col min="1024" max="1024" width="10.5" style="30" bestFit="1" customWidth="1"/>
    <col min="1025" max="1025" width="11.5" style="30" customWidth="1"/>
    <col min="1026" max="1026" width="9.5" style="30" bestFit="1" customWidth="1"/>
    <col min="1027" max="1037" width="10.5" style="30" bestFit="1" customWidth="1"/>
    <col min="1038" max="1038" width="12.75" style="30" bestFit="1" customWidth="1"/>
    <col min="1039" max="1043" width="10.5" style="30" bestFit="1" customWidth="1"/>
    <col min="1044" max="1045" width="9.375" style="30"/>
    <col min="1046" max="1046" width="8.5" style="30" customWidth="1"/>
    <col min="1047" max="1047" width="8" style="30" customWidth="1"/>
    <col min="1048" max="1048" width="21.25" style="30" customWidth="1"/>
    <col min="1049" max="1049" width="16.25" style="30" customWidth="1"/>
    <col min="1050" max="1050" width="11.625" style="30" customWidth="1"/>
    <col min="1051" max="1051" width="13.625" style="30" customWidth="1"/>
    <col min="1052" max="1052" width="12.875" style="30" customWidth="1"/>
    <col min="1053" max="1053" width="15.5" style="30" customWidth="1"/>
    <col min="1054" max="1055" width="13.375" style="30" customWidth="1"/>
    <col min="1056" max="1056" width="14.375" style="30" customWidth="1"/>
    <col min="1057" max="1057" width="11.875" style="30" customWidth="1"/>
    <col min="1058" max="1059" width="14.25" style="30" customWidth="1"/>
    <col min="1060" max="1060" width="8.625" style="30" customWidth="1"/>
    <col min="1061" max="1061" width="10.625" style="30" customWidth="1"/>
    <col min="1062" max="1062" width="9.875" style="30" customWidth="1"/>
    <col min="1063" max="1063" width="14" style="30" customWidth="1"/>
    <col min="1064" max="1064" width="10.875" style="30" customWidth="1"/>
    <col min="1065" max="1065" width="12.375" style="30" customWidth="1"/>
    <col min="1066" max="1066" width="12" style="30" customWidth="1"/>
    <col min="1067" max="1067" width="13.625" style="30" customWidth="1"/>
    <col min="1068" max="1068" width="10" style="30" customWidth="1"/>
    <col min="1069" max="1069" width="9.625" style="30" customWidth="1"/>
    <col min="1070" max="1070" width="11.75" style="30" customWidth="1"/>
    <col min="1071" max="1071" width="11.375" style="30" customWidth="1"/>
    <col min="1072" max="1072" width="12.875" style="30" customWidth="1"/>
    <col min="1073" max="1073" width="13" style="30" customWidth="1"/>
    <col min="1074" max="1074" width="8.875" style="30" customWidth="1"/>
    <col min="1075" max="1075" width="13.125" style="30" customWidth="1"/>
    <col min="1076" max="1076" width="9.625" style="30" customWidth="1"/>
    <col min="1077" max="1077" width="12.875" style="30" customWidth="1"/>
    <col min="1078" max="1078" width="11.5" style="30" customWidth="1"/>
    <col min="1079" max="1079" width="9.75" style="30" customWidth="1"/>
    <col min="1080" max="1080" width="13.375" style="30" customWidth="1"/>
    <col min="1081" max="1081" width="12.125" style="30" customWidth="1"/>
    <col min="1082" max="1082" width="10.25" style="30" customWidth="1"/>
    <col min="1083" max="1083" width="11.625" style="30" bestFit="1" customWidth="1"/>
    <col min="1084" max="1084" width="9.875" style="30" customWidth="1"/>
    <col min="1085" max="1085" width="13.375" style="30" customWidth="1"/>
    <col min="1086" max="1086" width="11.5" style="30" customWidth="1"/>
    <col min="1087" max="1087" width="12" style="30" customWidth="1"/>
    <col min="1088" max="1088" width="9.125" style="30" customWidth="1"/>
    <col min="1089" max="1089" width="9" style="30" customWidth="1"/>
    <col min="1090" max="1090" width="12.875" style="30" bestFit="1" customWidth="1"/>
    <col min="1091" max="1092" width="12" style="30" customWidth="1"/>
    <col min="1093" max="1093" width="11.875" style="30" customWidth="1"/>
    <col min="1094" max="1094" width="11" style="30" customWidth="1"/>
    <col min="1095" max="1095" width="11.625" style="30" customWidth="1"/>
    <col min="1096" max="1096" width="8.875" style="30" customWidth="1"/>
    <col min="1097" max="1097" width="11.625" style="30" bestFit="1" customWidth="1"/>
    <col min="1098" max="1098" width="9.625" style="30" customWidth="1"/>
    <col min="1099" max="1099" width="12.125" style="30" customWidth="1"/>
    <col min="1100" max="1100" width="11.875" style="30" customWidth="1"/>
    <col min="1101" max="1101" width="13.375" style="30" customWidth="1"/>
    <col min="1102" max="1102" width="11.5" style="30" customWidth="1"/>
    <col min="1103" max="1103" width="9.25" style="30" customWidth="1"/>
    <col min="1104" max="1104" width="11.625" style="30" bestFit="1" customWidth="1"/>
    <col min="1105" max="1105" width="10.625" style="30" customWidth="1"/>
    <col min="1106" max="1106" width="12" style="30" customWidth="1"/>
    <col min="1107" max="1107" width="11.625" style="30" customWidth="1"/>
    <col min="1108" max="1108" width="14" style="30" customWidth="1"/>
    <col min="1109" max="1109" width="11.125" style="30" customWidth="1"/>
    <col min="1110" max="1110" width="9.75" style="30" customWidth="1"/>
    <col min="1111" max="1111" width="11.625" style="30" bestFit="1" customWidth="1"/>
    <col min="1112" max="1112" width="10.125" style="30" customWidth="1"/>
    <col min="1113" max="1113" width="11.625" style="30" customWidth="1"/>
    <col min="1114" max="1114" width="11.375" style="30" customWidth="1"/>
    <col min="1115" max="1115" width="12.375" style="30" customWidth="1"/>
    <col min="1116" max="1117" width="10.875" style="30" customWidth="1"/>
    <col min="1118" max="1118" width="10.5" style="30" bestFit="1" customWidth="1"/>
    <col min="1119" max="1119" width="9.625" style="30" customWidth="1"/>
    <col min="1120" max="1120" width="11.875" style="30" customWidth="1"/>
    <col min="1121" max="1121" width="11.75" style="30" customWidth="1"/>
    <col min="1122" max="1122" width="14.125" style="30" customWidth="1"/>
    <col min="1123" max="1123" width="13.125" style="30" customWidth="1"/>
    <col min="1124" max="1124" width="8.75" style="30" customWidth="1"/>
    <col min="1125" max="1125" width="11.5" style="30" bestFit="1" customWidth="1"/>
    <col min="1126" max="1126" width="9.625" style="30" customWidth="1"/>
    <col min="1127" max="1127" width="13.625" style="30" customWidth="1"/>
    <col min="1128" max="1128" width="11.5" style="30" customWidth="1"/>
    <col min="1129" max="1129" width="11.75" style="30" customWidth="1"/>
    <col min="1130" max="1130" width="9.875" style="30" customWidth="1"/>
    <col min="1131" max="1131" width="9" style="30" customWidth="1"/>
    <col min="1132" max="1132" width="9.625" style="30" bestFit="1" customWidth="1"/>
    <col min="1133" max="1133" width="12.625" style="30" customWidth="1"/>
    <col min="1134" max="1134" width="12.375" style="30" customWidth="1"/>
    <col min="1135" max="1135" width="11.625" style="30" customWidth="1"/>
    <col min="1136" max="1137" width="14.125" style="30" customWidth="1"/>
    <col min="1138" max="1138" width="9.125" style="30" customWidth="1"/>
    <col min="1139" max="1139" width="10.5" style="30" bestFit="1" customWidth="1"/>
    <col min="1140" max="1140" width="9.625" style="30" customWidth="1"/>
    <col min="1141" max="1141" width="14.25" style="30" customWidth="1"/>
    <col min="1142" max="1142" width="11.875" style="30" customWidth="1"/>
    <col min="1143" max="1143" width="11" style="30" customWidth="1"/>
    <col min="1144" max="1144" width="11.75" style="30" customWidth="1"/>
    <col min="1145" max="1145" width="11.25" style="30" customWidth="1"/>
    <col min="1146" max="1146" width="9.625" style="30" bestFit="1" customWidth="1"/>
    <col min="1147" max="1147" width="9.625" style="30" customWidth="1"/>
    <col min="1148" max="1148" width="14.125" style="30" customWidth="1"/>
    <col min="1149" max="1149" width="11.125" style="30" customWidth="1"/>
    <col min="1150" max="1150" width="11.25" style="30" customWidth="1"/>
    <col min="1151" max="1151" width="12" style="30" customWidth="1"/>
    <col min="1152" max="1152" width="8.75" style="30" customWidth="1"/>
    <col min="1153" max="1153" width="9.625" style="30" bestFit="1" customWidth="1"/>
    <col min="1154" max="1154" width="9.625" style="30" customWidth="1"/>
    <col min="1155" max="1156" width="11.25" style="30" customWidth="1"/>
    <col min="1157" max="1157" width="12" style="30" customWidth="1"/>
    <col min="1158" max="1159" width="10.625" style="30" customWidth="1"/>
    <col min="1160" max="1160" width="11" style="30" customWidth="1"/>
    <col min="1161" max="1161" width="10.625" style="30" customWidth="1"/>
    <col min="1162" max="1162" width="12.375" style="30" customWidth="1"/>
    <col min="1163" max="1163" width="12" style="30" customWidth="1"/>
    <col min="1164" max="1164" width="11.625" style="30" customWidth="1"/>
    <col min="1165" max="1165" width="10.5" style="30" customWidth="1"/>
    <col min="1166" max="1166" width="8.625" style="30" customWidth="1"/>
    <col min="1167" max="1167" width="11.25" style="30" customWidth="1"/>
    <col min="1168" max="1168" width="9.875" style="30" customWidth="1"/>
    <col min="1169" max="1169" width="11.125" style="30" customWidth="1"/>
    <col min="1170" max="1170" width="11.625" style="30" customWidth="1"/>
    <col min="1171" max="1171" width="12.625" style="30" customWidth="1"/>
    <col min="1172" max="1172" width="11.5" style="30" customWidth="1"/>
    <col min="1173" max="1173" width="9.375" style="30"/>
    <col min="1174" max="1174" width="13.125" style="30" customWidth="1"/>
    <col min="1175" max="1175" width="9.5" style="30" customWidth="1"/>
    <col min="1176" max="1176" width="11.625" style="30" customWidth="1"/>
    <col min="1177" max="1177" width="11.5" style="30" customWidth="1"/>
    <col min="1178" max="1178" width="9.625" style="30" customWidth="1"/>
    <col min="1179" max="1179" width="9.25" style="30" customWidth="1"/>
    <col min="1180" max="1180" width="8.75" style="30" customWidth="1"/>
    <col min="1181" max="1181" width="9" style="30" customWidth="1"/>
    <col min="1182" max="1182" width="8.625" style="30" customWidth="1"/>
    <col min="1183" max="1183" width="11.125" style="30" customWidth="1"/>
    <col min="1184" max="1184" width="11.25" style="30" customWidth="1"/>
    <col min="1185" max="1185" width="11.5" style="30" customWidth="1"/>
    <col min="1186" max="1187" width="9" style="30" customWidth="1"/>
    <col min="1188" max="1188" width="9.875" style="30" customWidth="1"/>
    <col min="1189" max="1189" width="9.25" style="30" customWidth="1"/>
    <col min="1190" max="1190" width="11.125" style="30" customWidth="1"/>
    <col min="1191" max="1191" width="11.375" style="30" customWidth="1"/>
    <col min="1192" max="1192" width="10.875" style="30" customWidth="1"/>
    <col min="1193" max="1193" width="8.375" style="30" customWidth="1"/>
    <col min="1194" max="1194" width="9.125" style="30" customWidth="1"/>
    <col min="1195" max="1196" width="9" style="30" customWidth="1"/>
    <col min="1197" max="1197" width="10.75" style="30" customWidth="1"/>
    <col min="1198" max="1198" width="10.625" style="30" customWidth="1"/>
    <col min="1199" max="1199" width="10.25" style="30" customWidth="1"/>
    <col min="1200" max="1200" width="8.125" style="30" customWidth="1"/>
    <col min="1201" max="1203" width="9" style="30" customWidth="1"/>
    <col min="1204" max="1204" width="11.375" style="30" customWidth="1"/>
    <col min="1205" max="1205" width="11.125" style="30" customWidth="1"/>
    <col min="1206" max="1206" width="14.5" style="30" customWidth="1"/>
    <col min="1207" max="1207" width="10.875" style="30" customWidth="1"/>
    <col min="1208" max="1208" width="8.5" style="30" customWidth="1"/>
    <col min="1209" max="1209" width="10.375" style="30" customWidth="1"/>
    <col min="1210" max="1210" width="9" style="30" customWidth="1"/>
    <col min="1211" max="1211" width="12" style="30" customWidth="1"/>
    <col min="1212" max="1219" width="10.875" style="30" customWidth="1"/>
    <col min="1220" max="1220" width="10.5" style="30" customWidth="1"/>
    <col min="1221" max="1221" width="11.875" style="30" customWidth="1"/>
    <col min="1222" max="1222" width="10.875" style="30" customWidth="1"/>
    <col min="1223" max="1224" width="9" style="30" customWidth="1"/>
    <col min="1225" max="1225" width="12.125" style="30" customWidth="1"/>
    <col min="1226" max="1226" width="9.625" style="30" customWidth="1"/>
    <col min="1227" max="1228" width="9" style="30" customWidth="1"/>
    <col min="1229" max="1229" width="12.625" style="30" customWidth="1"/>
    <col min="1230" max="1230" width="11" style="30" customWidth="1"/>
    <col min="1231" max="1231" width="11.75" style="30" bestFit="1" customWidth="1"/>
    <col min="1232" max="1232" width="11.875" style="30" customWidth="1"/>
    <col min="1233" max="1234" width="9" style="30" customWidth="1"/>
    <col min="1235" max="1235" width="12.25" style="30" customWidth="1"/>
    <col min="1236" max="1236" width="10.875" style="30" customWidth="1"/>
    <col min="1237" max="1237" width="9" style="30" customWidth="1"/>
    <col min="1238" max="1238" width="10.875" style="30" customWidth="1"/>
    <col min="1239" max="1239" width="10.5" style="30" customWidth="1"/>
    <col min="1240" max="1241" width="9" style="30" customWidth="1"/>
    <col min="1242" max="1242" width="12.625" style="30" customWidth="1"/>
    <col min="1243" max="1244" width="9" style="30" customWidth="1"/>
    <col min="1245" max="1245" width="12" style="30" customWidth="1"/>
    <col min="1246" max="1262" width="9" style="30" customWidth="1"/>
    <col min="1263" max="1263" width="12.375" style="30" customWidth="1"/>
    <col min="1264" max="1264" width="12.5" style="30" customWidth="1"/>
    <col min="1265" max="1265" width="11.875" style="30" customWidth="1"/>
    <col min="1266" max="1266" width="11.625" style="30" customWidth="1"/>
    <col min="1267" max="1267" width="12.125" style="30" customWidth="1"/>
    <col min="1268" max="1269" width="10.5" style="30" bestFit="1" customWidth="1"/>
    <col min="1270" max="1270" width="10.625" style="30" bestFit="1" customWidth="1"/>
    <col min="1271" max="1278" width="10.5" style="30" bestFit="1" customWidth="1"/>
    <col min="1279" max="1279" width="10.5" style="30" customWidth="1"/>
    <col min="1280" max="1280" width="10.5" style="30" bestFit="1" customWidth="1"/>
    <col min="1281" max="1281" width="11.5" style="30" customWidth="1"/>
    <col min="1282" max="1282" width="9.5" style="30" bestFit="1" customWidth="1"/>
    <col min="1283" max="1293" width="10.5" style="30" bestFit="1" customWidth="1"/>
    <col min="1294" max="1294" width="12.75" style="30" bestFit="1" customWidth="1"/>
    <col min="1295" max="1299" width="10.5" style="30" bestFit="1" customWidth="1"/>
    <col min="1300" max="1301" width="9.375" style="30"/>
    <col min="1302" max="1302" width="8.5" style="30" customWidth="1"/>
    <col min="1303" max="1303" width="8" style="30" customWidth="1"/>
    <col min="1304" max="1304" width="21.25" style="30" customWidth="1"/>
    <col min="1305" max="1305" width="16.25" style="30" customWidth="1"/>
    <col min="1306" max="1306" width="11.625" style="30" customWidth="1"/>
    <col min="1307" max="1307" width="13.625" style="30" customWidth="1"/>
    <col min="1308" max="1308" width="12.875" style="30" customWidth="1"/>
    <col min="1309" max="1309" width="15.5" style="30" customWidth="1"/>
    <col min="1310" max="1311" width="13.375" style="30" customWidth="1"/>
    <col min="1312" max="1312" width="14.375" style="30" customWidth="1"/>
    <col min="1313" max="1313" width="11.875" style="30" customWidth="1"/>
    <col min="1314" max="1315" width="14.25" style="30" customWidth="1"/>
    <col min="1316" max="1316" width="8.625" style="30" customWidth="1"/>
    <col min="1317" max="1317" width="10.625" style="30" customWidth="1"/>
    <col min="1318" max="1318" width="9.875" style="30" customWidth="1"/>
    <col min="1319" max="1319" width="14" style="30" customWidth="1"/>
    <col min="1320" max="1320" width="10.875" style="30" customWidth="1"/>
    <col min="1321" max="1321" width="12.375" style="30" customWidth="1"/>
    <col min="1322" max="1322" width="12" style="30" customWidth="1"/>
    <col min="1323" max="1323" width="13.625" style="30" customWidth="1"/>
    <col min="1324" max="1324" width="10" style="30" customWidth="1"/>
    <col min="1325" max="1325" width="9.625" style="30" customWidth="1"/>
    <col min="1326" max="1326" width="11.75" style="30" customWidth="1"/>
    <col min="1327" max="1327" width="11.375" style="30" customWidth="1"/>
    <col min="1328" max="1328" width="12.875" style="30" customWidth="1"/>
    <col min="1329" max="1329" width="13" style="30" customWidth="1"/>
    <col min="1330" max="1330" width="8.875" style="30" customWidth="1"/>
    <col min="1331" max="1331" width="13.125" style="30" customWidth="1"/>
    <col min="1332" max="1332" width="9.625" style="30" customWidth="1"/>
    <col min="1333" max="1333" width="12.875" style="30" customWidth="1"/>
    <col min="1334" max="1334" width="11.5" style="30" customWidth="1"/>
    <col min="1335" max="1335" width="9.75" style="30" customWidth="1"/>
    <col min="1336" max="1336" width="13.375" style="30" customWidth="1"/>
    <col min="1337" max="1337" width="12.125" style="30" customWidth="1"/>
    <col min="1338" max="1338" width="10.25" style="30" customWidth="1"/>
    <col min="1339" max="1339" width="11.625" style="30" bestFit="1" customWidth="1"/>
    <col min="1340" max="1340" width="9.875" style="30" customWidth="1"/>
    <col min="1341" max="1341" width="13.375" style="30" customWidth="1"/>
    <col min="1342" max="1342" width="11.5" style="30" customWidth="1"/>
    <col min="1343" max="1343" width="12" style="30" customWidth="1"/>
    <col min="1344" max="1344" width="9.125" style="30" customWidth="1"/>
    <col min="1345" max="1345" width="9" style="30" customWidth="1"/>
    <col min="1346" max="1346" width="12.875" style="30" bestFit="1" customWidth="1"/>
    <col min="1347" max="1348" width="12" style="30" customWidth="1"/>
    <col min="1349" max="1349" width="11.875" style="30" customWidth="1"/>
    <col min="1350" max="1350" width="11" style="30" customWidth="1"/>
    <col min="1351" max="1351" width="11.625" style="30" customWidth="1"/>
    <col min="1352" max="1352" width="8.875" style="30" customWidth="1"/>
    <col min="1353" max="1353" width="11.625" style="30" bestFit="1" customWidth="1"/>
    <col min="1354" max="1354" width="9.625" style="30" customWidth="1"/>
    <col min="1355" max="1355" width="12.125" style="30" customWidth="1"/>
    <col min="1356" max="1356" width="11.875" style="30" customWidth="1"/>
    <col min="1357" max="1357" width="13.375" style="30" customWidth="1"/>
    <col min="1358" max="1358" width="11.5" style="30" customWidth="1"/>
    <col min="1359" max="1359" width="9.25" style="30" customWidth="1"/>
    <col min="1360" max="1360" width="11.625" style="30" bestFit="1" customWidth="1"/>
    <col min="1361" max="1361" width="10.625" style="30" customWidth="1"/>
    <col min="1362" max="1362" width="12" style="30" customWidth="1"/>
    <col min="1363" max="1363" width="11.625" style="30" customWidth="1"/>
    <col min="1364" max="1364" width="14" style="30" customWidth="1"/>
    <col min="1365" max="1365" width="11.125" style="30" customWidth="1"/>
    <col min="1366" max="1366" width="9.75" style="30" customWidth="1"/>
    <col min="1367" max="1367" width="11.625" style="30" bestFit="1" customWidth="1"/>
    <col min="1368" max="1368" width="10.125" style="30" customWidth="1"/>
    <col min="1369" max="1369" width="11.625" style="30" customWidth="1"/>
    <col min="1370" max="1370" width="11.375" style="30" customWidth="1"/>
    <col min="1371" max="1371" width="12.375" style="30" customWidth="1"/>
    <col min="1372" max="1373" width="10.875" style="30" customWidth="1"/>
    <col min="1374" max="1374" width="10.5" style="30" bestFit="1" customWidth="1"/>
    <col min="1375" max="1375" width="9.625" style="30" customWidth="1"/>
    <col min="1376" max="1376" width="11.875" style="30" customWidth="1"/>
    <col min="1377" max="1377" width="11.75" style="30" customWidth="1"/>
    <col min="1378" max="1378" width="14.125" style="30" customWidth="1"/>
    <col min="1379" max="1379" width="13.125" style="30" customWidth="1"/>
    <col min="1380" max="1380" width="8.75" style="30" customWidth="1"/>
    <col min="1381" max="1381" width="11.5" style="30" bestFit="1" customWidth="1"/>
    <col min="1382" max="1382" width="9.625" style="30" customWidth="1"/>
    <col min="1383" max="1383" width="13.625" style="30" customWidth="1"/>
    <col min="1384" max="1384" width="11.5" style="30" customWidth="1"/>
    <col min="1385" max="1385" width="11.75" style="30" customWidth="1"/>
    <col min="1386" max="1386" width="9.875" style="30" customWidth="1"/>
    <col min="1387" max="1387" width="9" style="30" customWidth="1"/>
    <col min="1388" max="1388" width="9.625" style="30" bestFit="1" customWidth="1"/>
    <col min="1389" max="1389" width="12.625" style="30" customWidth="1"/>
    <col min="1390" max="1390" width="12.375" style="30" customWidth="1"/>
    <col min="1391" max="1391" width="11.625" style="30" customWidth="1"/>
    <col min="1392" max="1393" width="14.125" style="30" customWidth="1"/>
    <col min="1394" max="1394" width="9.125" style="30" customWidth="1"/>
    <col min="1395" max="1395" width="10.5" style="30" bestFit="1" customWidth="1"/>
    <col min="1396" max="1396" width="9.625" style="30" customWidth="1"/>
    <col min="1397" max="1397" width="14.25" style="30" customWidth="1"/>
    <col min="1398" max="1398" width="11.875" style="30" customWidth="1"/>
    <col min="1399" max="1399" width="11" style="30" customWidth="1"/>
    <col min="1400" max="1400" width="11.75" style="30" customWidth="1"/>
    <col min="1401" max="1401" width="11.25" style="30" customWidth="1"/>
    <col min="1402" max="1402" width="9.625" style="30" bestFit="1" customWidth="1"/>
    <col min="1403" max="1403" width="9.625" style="30" customWidth="1"/>
    <col min="1404" max="1404" width="14.125" style="30" customWidth="1"/>
    <col min="1405" max="1405" width="11.125" style="30" customWidth="1"/>
    <col min="1406" max="1406" width="11.25" style="30" customWidth="1"/>
    <col min="1407" max="1407" width="12" style="30" customWidth="1"/>
    <col min="1408" max="1408" width="8.75" style="30" customWidth="1"/>
    <col min="1409" max="1409" width="9.625" style="30" bestFit="1" customWidth="1"/>
    <col min="1410" max="1410" width="9.625" style="30" customWidth="1"/>
    <col min="1411" max="1412" width="11.25" style="30" customWidth="1"/>
    <col min="1413" max="1413" width="12" style="30" customWidth="1"/>
    <col min="1414" max="1415" width="10.625" style="30" customWidth="1"/>
    <col min="1416" max="1416" width="11" style="30" customWidth="1"/>
    <col min="1417" max="1417" width="10.625" style="30" customWidth="1"/>
    <col min="1418" max="1418" width="12.375" style="30" customWidth="1"/>
    <col min="1419" max="1419" width="12" style="30" customWidth="1"/>
    <col min="1420" max="1420" width="11.625" style="30" customWidth="1"/>
    <col min="1421" max="1421" width="10.5" style="30" customWidth="1"/>
    <col min="1422" max="1422" width="8.625" style="30" customWidth="1"/>
    <col min="1423" max="1423" width="11.25" style="30" customWidth="1"/>
    <col min="1424" max="1424" width="9.875" style="30" customWidth="1"/>
    <col min="1425" max="1425" width="11.125" style="30" customWidth="1"/>
    <col min="1426" max="1426" width="11.625" style="30" customWidth="1"/>
    <col min="1427" max="1427" width="12.625" style="30" customWidth="1"/>
    <col min="1428" max="1428" width="11.5" style="30" customWidth="1"/>
    <col min="1429" max="1429" width="9.375" style="30"/>
    <col min="1430" max="1430" width="13.125" style="30" customWidth="1"/>
    <col min="1431" max="1431" width="9.5" style="30" customWidth="1"/>
    <col min="1432" max="1432" width="11.625" style="30" customWidth="1"/>
    <col min="1433" max="1433" width="11.5" style="30" customWidth="1"/>
    <col min="1434" max="1434" width="9.625" style="30" customWidth="1"/>
    <col min="1435" max="1435" width="9.25" style="30" customWidth="1"/>
    <col min="1436" max="1436" width="8.75" style="30" customWidth="1"/>
    <col min="1437" max="1437" width="9" style="30" customWidth="1"/>
    <col min="1438" max="1438" width="8.625" style="30" customWidth="1"/>
    <col min="1439" max="1439" width="11.125" style="30" customWidth="1"/>
    <col min="1440" max="1440" width="11.25" style="30" customWidth="1"/>
    <col min="1441" max="1441" width="11.5" style="30" customWidth="1"/>
    <col min="1442" max="1443" width="9" style="30" customWidth="1"/>
    <col min="1444" max="1444" width="9.875" style="30" customWidth="1"/>
    <col min="1445" max="1445" width="9.25" style="30" customWidth="1"/>
    <col min="1446" max="1446" width="11.125" style="30" customWidth="1"/>
    <col min="1447" max="1447" width="11.375" style="30" customWidth="1"/>
    <col min="1448" max="1448" width="10.875" style="30" customWidth="1"/>
    <col min="1449" max="1449" width="8.375" style="30" customWidth="1"/>
    <col min="1450" max="1450" width="9.125" style="30" customWidth="1"/>
    <col min="1451" max="1452" width="9" style="30" customWidth="1"/>
    <col min="1453" max="1453" width="10.75" style="30" customWidth="1"/>
    <col min="1454" max="1454" width="10.625" style="30" customWidth="1"/>
    <col min="1455" max="1455" width="10.25" style="30" customWidth="1"/>
    <col min="1456" max="1456" width="8.125" style="30" customWidth="1"/>
    <col min="1457" max="1459" width="9" style="30" customWidth="1"/>
    <col min="1460" max="1460" width="11.375" style="30" customWidth="1"/>
    <col min="1461" max="1461" width="11.125" style="30" customWidth="1"/>
    <col min="1462" max="1462" width="14.5" style="30" customWidth="1"/>
    <col min="1463" max="1463" width="10.875" style="30" customWidth="1"/>
    <col min="1464" max="1464" width="8.5" style="30" customWidth="1"/>
    <col min="1465" max="1465" width="10.375" style="30" customWidth="1"/>
    <col min="1466" max="1466" width="9" style="30" customWidth="1"/>
    <col min="1467" max="1467" width="12" style="30" customWidth="1"/>
    <col min="1468" max="1475" width="10.875" style="30" customWidth="1"/>
    <col min="1476" max="1476" width="10.5" style="30" customWidth="1"/>
    <col min="1477" max="1477" width="11.875" style="30" customWidth="1"/>
    <col min="1478" max="1478" width="10.875" style="30" customWidth="1"/>
    <col min="1479" max="1480" width="9" style="30" customWidth="1"/>
    <col min="1481" max="1481" width="12.125" style="30" customWidth="1"/>
    <col min="1482" max="1482" width="9.625" style="30" customWidth="1"/>
    <col min="1483" max="1484" width="9" style="30" customWidth="1"/>
    <col min="1485" max="1485" width="12.625" style="30" customWidth="1"/>
    <col min="1486" max="1486" width="11" style="30" customWidth="1"/>
    <col min="1487" max="1487" width="11.75" style="30" bestFit="1" customWidth="1"/>
    <col min="1488" max="1488" width="11.875" style="30" customWidth="1"/>
    <col min="1489" max="1490" width="9" style="30" customWidth="1"/>
    <col min="1491" max="1491" width="12.25" style="30" customWidth="1"/>
    <col min="1492" max="1492" width="10.875" style="30" customWidth="1"/>
    <col min="1493" max="1493" width="9" style="30" customWidth="1"/>
    <col min="1494" max="1494" width="10.875" style="30" customWidth="1"/>
    <col min="1495" max="1495" width="10.5" style="30" customWidth="1"/>
    <col min="1496" max="1497" width="9" style="30" customWidth="1"/>
    <col min="1498" max="1498" width="12.625" style="30" customWidth="1"/>
    <col min="1499" max="1500" width="9" style="30" customWidth="1"/>
    <col min="1501" max="1501" width="12" style="30" customWidth="1"/>
    <col min="1502" max="1518" width="9" style="30" customWidth="1"/>
    <col min="1519" max="1519" width="12.375" style="30" customWidth="1"/>
    <col min="1520" max="1520" width="12.5" style="30" customWidth="1"/>
    <col min="1521" max="1521" width="11.875" style="30" customWidth="1"/>
    <col min="1522" max="1522" width="11.625" style="30" customWidth="1"/>
    <col min="1523" max="1523" width="12.125" style="30" customWidth="1"/>
    <col min="1524" max="1525" width="10.5" style="30" bestFit="1" customWidth="1"/>
    <col min="1526" max="1526" width="10.625" style="30" bestFit="1" customWidth="1"/>
    <col min="1527" max="1534" width="10.5" style="30" bestFit="1" customWidth="1"/>
    <col min="1535" max="1535" width="10.5" style="30" customWidth="1"/>
    <col min="1536" max="1536" width="10.5" style="30" bestFit="1" customWidth="1"/>
    <col min="1537" max="1537" width="11.5" style="30" customWidth="1"/>
    <col min="1538" max="1538" width="9.5" style="30" bestFit="1" customWidth="1"/>
    <col min="1539" max="1549" width="10.5" style="30" bestFit="1" customWidth="1"/>
    <col min="1550" max="1550" width="12.75" style="30" bestFit="1" customWidth="1"/>
    <col min="1551" max="1555" width="10.5" style="30" bestFit="1" customWidth="1"/>
    <col min="1556" max="1557" width="9.375" style="30"/>
    <col min="1558" max="1558" width="8.5" style="30" customWidth="1"/>
    <col min="1559" max="1559" width="8" style="30" customWidth="1"/>
    <col min="1560" max="1560" width="21.25" style="30" customWidth="1"/>
    <col min="1561" max="1561" width="16.25" style="30" customWidth="1"/>
    <col min="1562" max="1562" width="11.625" style="30" customWidth="1"/>
    <col min="1563" max="1563" width="13.625" style="30" customWidth="1"/>
    <col min="1564" max="1564" width="12.875" style="30" customWidth="1"/>
    <col min="1565" max="1565" width="15.5" style="30" customWidth="1"/>
    <col min="1566" max="1567" width="13.375" style="30" customWidth="1"/>
    <col min="1568" max="1568" width="14.375" style="30" customWidth="1"/>
    <col min="1569" max="1569" width="11.875" style="30" customWidth="1"/>
    <col min="1570" max="1571" width="14.25" style="30" customWidth="1"/>
    <col min="1572" max="1572" width="8.625" style="30" customWidth="1"/>
    <col min="1573" max="1573" width="10.625" style="30" customWidth="1"/>
    <col min="1574" max="1574" width="9.875" style="30" customWidth="1"/>
    <col min="1575" max="1575" width="14" style="30" customWidth="1"/>
    <col min="1576" max="1576" width="10.875" style="30" customWidth="1"/>
    <col min="1577" max="1577" width="12.375" style="30" customWidth="1"/>
    <col min="1578" max="1578" width="12" style="30" customWidth="1"/>
    <col min="1579" max="1579" width="13.625" style="30" customWidth="1"/>
    <col min="1580" max="1580" width="10" style="30" customWidth="1"/>
    <col min="1581" max="1581" width="9.625" style="30" customWidth="1"/>
    <col min="1582" max="1582" width="11.75" style="30" customWidth="1"/>
    <col min="1583" max="1583" width="11.375" style="30" customWidth="1"/>
    <col min="1584" max="1584" width="12.875" style="30" customWidth="1"/>
    <col min="1585" max="1585" width="13" style="30" customWidth="1"/>
    <col min="1586" max="1586" width="8.875" style="30" customWidth="1"/>
    <col min="1587" max="1587" width="13.125" style="30" customWidth="1"/>
    <col min="1588" max="1588" width="9.625" style="30" customWidth="1"/>
    <col min="1589" max="1589" width="12.875" style="30" customWidth="1"/>
    <col min="1590" max="1590" width="11.5" style="30" customWidth="1"/>
    <col min="1591" max="1591" width="9.75" style="30" customWidth="1"/>
    <col min="1592" max="1592" width="13.375" style="30" customWidth="1"/>
    <col min="1593" max="1593" width="12.125" style="30" customWidth="1"/>
    <col min="1594" max="1594" width="10.25" style="30" customWidth="1"/>
    <col min="1595" max="1595" width="11.625" style="30" bestFit="1" customWidth="1"/>
    <col min="1596" max="1596" width="9.875" style="30" customWidth="1"/>
    <col min="1597" max="1597" width="13.375" style="30" customWidth="1"/>
    <col min="1598" max="1598" width="11.5" style="30" customWidth="1"/>
    <col min="1599" max="1599" width="12" style="30" customWidth="1"/>
    <col min="1600" max="1600" width="9.125" style="30" customWidth="1"/>
    <col min="1601" max="1601" width="9" style="30" customWidth="1"/>
    <col min="1602" max="1602" width="12.875" style="30" bestFit="1" customWidth="1"/>
    <col min="1603" max="1604" width="12" style="30" customWidth="1"/>
    <col min="1605" max="1605" width="11.875" style="30" customWidth="1"/>
    <col min="1606" max="1606" width="11" style="30" customWidth="1"/>
    <col min="1607" max="1607" width="11.625" style="30" customWidth="1"/>
    <col min="1608" max="1608" width="8.875" style="30" customWidth="1"/>
    <col min="1609" max="1609" width="11.625" style="30" bestFit="1" customWidth="1"/>
    <col min="1610" max="1610" width="9.625" style="30" customWidth="1"/>
    <col min="1611" max="1611" width="12.125" style="30" customWidth="1"/>
    <col min="1612" max="1612" width="11.875" style="30" customWidth="1"/>
    <col min="1613" max="1613" width="13.375" style="30" customWidth="1"/>
    <col min="1614" max="1614" width="11.5" style="30" customWidth="1"/>
    <col min="1615" max="1615" width="9.25" style="30" customWidth="1"/>
    <col min="1616" max="1616" width="11.625" style="30" bestFit="1" customWidth="1"/>
    <col min="1617" max="1617" width="10.625" style="30" customWidth="1"/>
    <col min="1618" max="1618" width="12" style="30" customWidth="1"/>
    <col min="1619" max="1619" width="11.625" style="30" customWidth="1"/>
    <col min="1620" max="1620" width="14" style="30" customWidth="1"/>
    <col min="1621" max="1621" width="11.125" style="30" customWidth="1"/>
    <col min="1622" max="1622" width="9.75" style="30" customWidth="1"/>
    <col min="1623" max="1623" width="11.625" style="30" bestFit="1" customWidth="1"/>
    <col min="1624" max="1624" width="10.125" style="30" customWidth="1"/>
    <col min="1625" max="1625" width="11.625" style="30" customWidth="1"/>
    <col min="1626" max="1626" width="11.375" style="30" customWidth="1"/>
    <col min="1627" max="1627" width="12.375" style="30" customWidth="1"/>
    <col min="1628" max="1629" width="10.875" style="30" customWidth="1"/>
    <col min="1630" max="1630" width="10.5" style="30" bestFit="1" customWidth="1"/>
    <col min="1631" max="1631" width="9.625" style="30" customWidth="1"/>
    <col min="1632" max="1632" width="11.875" style="30" customWidth="1"/>
    <col min="1633" max="1633" width="11.75" style="30" customWidth="1"/>
    <col min="1634" max="1634" width="14.125" style="30" customWidth="1"/>
    <col min="1635" max="1635" width="13.125" style="30" customWidth="1"/>
    <col min="1636" max="1636" width="8.75" style="30" customWidth="1"/>
    <col min="1637" max="1637" width="11.5" style="30" bestFit="1" customWidth="1"/>
    <col min="1638" max="1638" width="9.625" style="30" customWidth="1"/>
    <col min="1639" max="1639" width="13.625" style="30" customWidth="1"/>
    <col min="1640" max="1640" width="11.5" style="30" customWidth="1"/>
    <col min="1641" max="1641" width="11.75" style="30" customWidth="1"/>
    <col min="1642" max="1642" width="9.875" style="30" customWidth="1"/>
    <col min="1643" max="1643" width="9" style="30" customWidth="1"/>
    <col min="1644" max="1644" width="9.625" style="30" bestFit="1" customWidth="1"/>
    <col min="1645" max="1645" width="12.625" style="30" customWidth="1"/>
    <col min="1646" max="1646" width="12.375" style="30" customWidth="1"/>
    <col min="1647" max="1647" width="11.625" style="30" customWidth="1"/>
    <col min="1648" max="1649" width="14.125" style="30" customWidth="1"/>
    <col min="1650" max="1650" width="9.125" style="30" customWidth="1"/>
    <col min="1651" max="1651" width="10.5" style="30" bestFit="1" customWidth="1"/>
    <col min="1652" max="1652" width="9.625" style="30" customWidth="1"/>
    <col min="1653" max="1653" width="14.25" style="30" customWidth="1"/>
    <col min="1654" max="1654" width="11.875" style="30" customWidth="1"/>
    <col min="1655" max="1655" width="11" style="30" customWidth="1"/>
    <col min="1656" max="1656" width="11.75" style="30" customWidth="1"/>
    <col min="1657" max="1657" width="11.25" style="30" customWidth="1"/>
    <col min="1658" max="1658" width="9.625" style="30" bestFit="1" customWidth="1"/>
    <col min="1659" max="1659" width="9.625" style="30" customWidth="1"/>
    <col min="1660" max="1660" width="14.125" style="30" customWidth="1"/>
    <col min="1661" max="1661" width="11.125" style="30" customWidth="1"/>
    <col min="1662" max="1662" width="11.25" style="30" customWidth="1"/>
    <col min="1663" max="1663" width="12" style="30" customWidth="1"/>
    <col min="1664" max="1664" width="8.75" style="30" customWidth="1"/>
    <col min="1665" max="1665" width="9.625" style="30" bestFit="1" customWidth="1"/>
    <col min="1666" max="1666" width="9.625" style="30" customWidth="1"/>
    <col min="1667" max="1668" width="11.25" style="30" customWidth="1"/>
    <col min="1669" max="1669" width="12" style="30" customWidth="1"/>
    <col min="1670" max="1671" width="10.625" style="30" customWidth="1"/>
    <col min="1672" max="1672" width="11" style="30" customWidth="1"/>
    <col min="1673" max="1673" width="10.625" style="30" customWidth="1"/>
    <col min="1674" max="1674" width="12.375" style="30" customWidth="1"/>
    <col min="1675" max="1675" width="12" style="30" customWidth="1"/>
    <col min="1676" max="1676" width="11.625" style="30" customWidth="1"/>
    <col min="1677" max="1677" width="10.5" style="30" customWidth="1"/>
    <col min="1678" max="1678" width="8.625" style="30" customWidth="1"/>
    <col min="1679" max="1679" width="11.25" style="30" customWidth="1"/>
    <col min="1680" max="1680" width="9.875" style="30" customWidth="1"/>
    <col min="1681" max="1681" width="11.125" style="30" customWidth="1"/>
    <col min="1682" max="1682" width="11.625" style="30" customWidth="1"/>
    <col min="1683" max="1683" width="12.625" style="30" customWidth="1"/>
    <col min="1684" max="1684" width="11.5" style="30" customWidth="1"/>
    <col min="1685" max="1685" width="9.375" style="30"/>
    <col min="1686" max="1686" width="13.125" style="30" customWidth="1"/>
    <col min="1687" max="1687" width="9.5" style="30" customWidth="1"/>
    <col min="1688" max="1688" width="11.625" style="30" customWidth="1"/>
    <col min="1689" max="1689" width="11.5" style="30" customWidth="1"/>
    <col min="1690" max="1690" width="9.625" style="30" customWidth="1"/>
    <col min="1691" max="1691" width="9.25" style="30" customWidth="1"/>
    <col min="1692" max="1692" width="8.75" style="30" customWidth="1"/>
    <col min="1693" max="1693" width="9" style="30" customWidth="1"/>
    <col min="1694" max="1694" width="8.625" style="30" customWidth="1"/>
    <col min="1695" max="1695" width="11.125" style="30" customWidth="1"/>
    <col min="1696" max="1696" width="11.25" style="30" customWidth="1"/>
    <col min="1697" max="1697" width="11.5" style="30" customWidth="1"/>
    <col min="1698" max="1699" width="9" style="30" customWidth="1"/>
    <col min="1700" max="1700" width="9.875" style="30" customWidth="1"/>
    <col min="1701" max="1701" width="9.25" style="30" customWidth="1"/>
    <col min="1702" max="1702" width="11.125" style="30" customWidth="1"/>
    <col min="1703" max="1703" width="11.375" style="30" customWidth="1"/>
    <col min="1704" max="1704" width="10.875" style="30" customWidth="1"/>
    <col min="1705" max="1705" width="8.375" style="30" customWidth="1"/>
    <col min="1706" max="1706" width="9.125" style="30" customWidth="1"/>
    <col min="1707" max="1708" width="9" style="30" customWidth="1"/>
    <col min="1709" max="1709" width="10.75" style="30" customWidth="1"/>
    <col min="1710" max="1710" width="10.625" style="30" customWidth="1"/>
    <col min="1711" max="1711" width="10.25" style="30" customWidth="1"/>
    <col min="1712" max="1712" width="8.125" style="30" customWidth="1"/>
    <col min="1713" max="1715" width="9" style="30" customWidth="1"/>
    <col min="1716" max="1716" width="11.375" style="30" customWidth="1"/>
    <col min="1717" max="1717" width="11.125" style="30" customWidth="1"/>
    <col min="1718" max="1718" width="14.5" style="30" customWidth="1"/>
    <col min="1719" max="1719" width="10.875" style="30" customWidth="1"/>
    <col min="1720" max="1720" width="8.5" style="30" customWidth="1"/>
    <col min="1721" max="1721" width="10.375" style="30" customWidth="1"/>
    <col min="1722" max="1722" width="9" style="30" customWidth="1"/>
    <col min="1723" max="1723" width="12" style="30" customWidth="1"/>
    <col min="1724" max="1731" width="10.875" style="30" customWidth="1"/>
    <col min="1732" max="1732" width="10.5" style="30" customWidth="1"/>
    <col min="1733" max="1733" width="11.875" style="30" customWidth="1"/>
    <col min="1734" max="1734" width="10.875" style="30" customWidth="1"/>
    <col min="1735" max="1736" width="9" style="30" customWidth="1"/>
    <col min="1737" max="1737" width="12.125" style="30" customWidth="1"/>
    <col min="1738" max="1738" width="9.625" style="30" customWidth="1"/>
    <col min="1739" max="1740" width="9" style="30" customWidth="1"/>
    <col min="1741" max="1741" width="12.625" style="30" customWidth="1"/>
    <col min="1742" max="1742" width="11" style="30" customWidth="1"/>
    <col min="1743" max="1743" width="11.75" style="30" bestFit="1" customWidth="1"/>
    <col min="1744" max="1744" width="11.875" style="30" customWidth="1"/>
    <col min="1745" max="1746" width="9" style="30" customWidth="1"/>
    <col min="1747" max="1747" width="12.25" style="30" customWidth="1"/>
    <col min="1748" max="1748" width="10.875" style="30" customWidth="1"/>
    <col min="1749" max="1749" width="9" style="30" customWidth="1"/>
    <col min="1750" max="1750" width="10.875" style="30" customWidth="1"/>
    <col min="1751" max="1751" width="10.5" style="30" customWidth="1"/>
    <col min="1752" max="1753" width="9" style="30" customWidth="1"/>
    <col min="1754" max="1754" width="12.625" style="30" customWidth="1"/>
    <col min="1755" max="1756" width="9" style="30" customWidth="1"/>
    <col min="1757" max="1757" width="12" style="30" customWidth="1"/>
    <col min="1758" max="1774" width="9" style="30" customWidth="1"/>
    <col min="1775" max="1775" width="12.375" style="30" customWidth="1"/>
    <col min="1776" max="1776" width="12.5" style="30" customWidth="1"/>
    <col min="1777" max="1777" width="11.875" style="30" customWidth="1"/>
    <col min="1778" max="1778" width="11.625" style="30" customWidth="1"/>
    <col min="1779" max="1779" width="12.125" style="30" customWidth="1"/>
    <col min="1780" max="1781" width="10.5" style="30" bestFit="1" customWidth="1"/>
    <col min="1782" max="1782" width="10.625" style="30" bestFit="1" customWidth="1"/>
    <col min="1783" max="1790" width="10.5" style="30" bestFit="1" customWidth="1"/>
    <col min="1791" max="1791" width="10.5" style="30" customWidth="1"/>
    <col min="1792" max="1792" width="10.5" style="30" bestFit="1" customWidth="1"/>
    <col min="1793" max="1793" width="11.5" style="30" customWidth="1"/>
    <col min="1794" max="1794" width="9.5" style="30" bestFit="1" customWidth="1"/>
    <col min="1795" max="1805" width="10.5" style="30" bestFit="1" customWidth="1"/>
    <col min="1806" max="1806" width="12.75" style="30" bestFit="1" customWidth="1"/>
    <col min="1807" max="1811" width="10.5" style="30" bestFit="1" customWidth="1"/>
    <col min="1812" max="1813" width="9.375" style="30"/>
    <col min="1814" max="1814" width="8.5" style="30" customWidth="1"/>
    <col min="1815" max="1815" width="8" style="30" customWidth="1"/>
    <col min="1816" max="1816" width="21.25" style="30" customWidth="1"/>
    <col min="1817" max="1817" width="16.25" style="30" customWidth="1"/>
    <col min="1818" max="1818" width="11.625" style="30" customWidth="1"/>
    <col min="1819" max="1819" width="13.625" style="30" customWidth="1"/>
    <col min="1820" max="1820" width="12.875" style="30" customWidth="1"/>
    <col min="1821" max="1821" width="15.5" style="30" customWidth="1"/>
    <col min="1822" max="1823" width="13.375" style="30" customWidth="1"/>
    <col min="1824" max="1824" width="14.375" style="30" customWidth="1"/>
    <col min="1825" max="1825" width="11.875" style="30" customWidth="1"/>
    <col min="1826" max="1827" width="14.25" style="30" customWidth="1"/>
    <col min="1828" max="1828" width="8.625" style="30" customWidth="1"/>
    <col min="1829" max="1829" width="10.625" style="30" customWidth="1"/>
    <col min="1830" max="1830" width="9.875" style="30" customWidth="1"/>
    <col min="1831" max="1831" width="14" style="30" customWidth="1"/>
    <col min="1832" max="1832" width="10.875" style="30" customWidth="1"/>
    <col min="1833" max="1833" width="12.375" style="30" customWidth="1"/>
    <col min="1834" max="1834" width="12" style="30" customWidth="1"/>
    <col min="1835" max="1835" width="13.625" style="30" customWidth="1"/>
    <col min="1836" max="1836" width="10" style="30" customWidth="1"/>
    <col min="1837" max="1837" width="9.625" style="30" customWidth="1"/>
    <col min="1838" max="1838" width="11.75" style="30" customWidth="1"/>
    <col min="1839" max="1839" width="11.375" style="30" customWidth="1"/>
    <col min="1840" max="1840" width="12.875" style="30" customWidth="1"/>
    <col min="1841" max="1841" width="13" style="30" customWidth="1"/>
    <col min="1842" max="1842" width="8.875" style="30" customWidth="1"/>
    <col min="1843" max="1843" width="13.125" style="30" customWidth="1"/>
    <col min="1844" max="1844" width="9.625" style="30" customWidth="1"/>
    <col min="1845" max="1845" width="12.875" style="30" customWidth="1"/>
    <col min="1846" max="1846" width="11.5" style="30" customWidth="1"/>
    <col min="1847" max="1847" width="9.75" style="30" customWidth="1"/>
    <col min="1848" max="1848" width="13.375" style="30" customWidth="1"/>
    <col min="1849" max="1849" width="12.125" style="30" customWidth="1"/>
    <col min="1850" max="1850" width="10.25" style="30" customWidth="1"/>
    <col min="1851" max="1851" width="11.625" style="30" bestFit="1" customWidth="1"/>
    <col min="1852" max="1852" width="9.875" style="30" customWidth="1"/>
    <col min="1853" max="1853" width="13.375" style="30" customWidth="1"/>
    <col min="1854" max="1854" width="11.5" style="30" customWidth="1"/>
    <col min="1855" max="1855" width="12" style="30" customWidth="1"/>
    <col min="1856" max="1856" width="9.125" style="30" customWidth="1"/>
    <col min="1857" max="1857" width="9" style="30" customWidth="1"/>
    <col min="1858" max="1858" width="12.875" style="30" bestFit="1" customWidth="1"/>
    <col min="1859" max="1860" width="12" style="30" customWidth="1"/>
    <col min="1861" max="1861" width="11.875" style="30" customWidth="1"/>
    <col min="1862" max="1862" width="11" style="30" customWidth="1"/>
    <col min="1863" max="1863" width="11.625" style="30" customWidth="1"/>
    <col min="1864" max="1864" width="8.875" style="30" customWidth="1"/>
    <col min="1865" max="1865" width="11.625" style="30" bestFit="1" customWidth="1"/>
    <col min="1866" max="1866" width="9.625" style="30" customWidth="1"/>
    <col min="1867" max="1867" width="12.125" style="30" customWidth="1"/>
    <col min="1868" max="1868" width="11.875" style="30" customWidth="1"/>
    <col min="1869" max="1869" width="13.375" style="30" customWidth="1"/>
    <col min="1870" max="1870" width="11.5" style="30" customWidth="1"/>
    <col min="1871" max="1871" width="9.25" style="30" customWidth="1"/>
    <col min="1872" max="1872" width="11.625" style="30" bestFit="1" customWidth="1"/>
    <col min="1873" max="1873" width="10.625" style="30" customWidth="1"/>
    <col min="1874" max="1874" width="12" style="30" customWidth="1"/>
    <col min="1875" max="1875" width="11.625" style="30" customWidth="1"/>
    <col min="1876" max="1876" width="14" style="30" customWidth="1"/>
    <col min="1877" max="1877" width="11.125" style="30" customWidth="1"/>
    <col min="1878" max="1878" width="9.75" style="30" customWidth="1"/>
    <col min="1879" max="1879" width="11.625" style="30" bestFit="1" customWidth="1"/>
    <col min="1880" max="1880" width="10.125" style="30" customWidth="1"/>
    <col min="1881" max="1881" width="11.625" style="30" customWidth="1"/>
    <col min="1882" max="1882" width="11.375" style="30" customWidth="1"/>
    <col min="1883" max="1883" width="12.375" style="30" customWidth="1"/>
    <col min="1884" max="1885" width="10.875" style="30" customWidth="1"/>
    <col min="1886" max="1886" width="10.5" style="30" bestFit="1" customWidth="1"/>
    <col min="1887" max="1887" width="9.625" style="30" customWidth="1"/>
    <col min="1888" max="1888" width="11.875" style="30" customWidth="1"/>
    <col min="1889" max="1889" width="11.75" style="30" customWidth="1"/>
    <col min="1890" max="1890" width="14.125" style="30" customWidth="1"/>
    <col min="1891" max="1891" width="13.125" style="30" customWidth="1"/>
    <col min="1892" max="1892" width="8.75" style="30" customWidth="1"/>
    <col min="1893" max="1893" width="11.5" style="30" bestFit="1" customWidth="1"/>
    <col min="1894" max="1894" width="9.625" style="30" customWidth="1"/>
    <col min="1895" max="1895" width="13.625" style="30" customWidth="1"/>
    <col min="1896" max="1896" width="11.5" style="30" customWidth="1"/>
    <col min="1897" max="1897" width="11.75" style="30" customWidth="1"/>
    <col min="1898" max="1898" width="9.875" style="30" customWidth="1"/>
    <col min="1899" max="1899" width="9" style="30" customWidth="1"/>
    <col min="1900" max="1900" width="9.625" style="30" bestFit="1" customWidth="1"/>
    <col min="1901" max="1901" width="12.625" style="30" customWidth="1"/>
    <col min="1902" max="1902" width="12.375" style="30" customWidth="1"/>
    <col min="1903" max="1903" width="11.625" style="30" customWidth="1"/>
    <col min="1904" max="1905" width="14.125" style="30" customWidth="1"/>
    <col min="1906" max="1906" width="9.125" style="30" customWidth="1"/>
    <col min="1907" max="1907" width="10.5" style="30" bestFit="1" customWidth="1"/>
    <col min="1908" max="1908" width="9.625" style="30" customWidth="1"/>
    <col min="1909" max="1909" width="14.25" style="30" customWidth="1"/>
    <col min="1910" max="1910" width="11.875" style="30" customWidth="1"/>
    <col min="1911" max="1911" width="11" style="30" customWidth="1"/>
    <col min="1912" max="1912" width="11.75" style="30" customWidth="1"/>
    <col min="1913" max="1913" width="11.25" style="30" customWidth="1"/>
    <col min="1914" max="1914" width="9.625" style="30" bestFit="1" customWidth="1"/>
    <col min="1915" max="1915" width="9.625" style="30" customWidth="1"/>
    <col min="1916" max="1916" width="14.125" style="30" customWidth="1"/>
    <col min="1917" max="1917" width="11.125" style="30" customWidth="1"/>
    <col min="1918" max="1918" width="11.25" style="30" customWidth="1"/>
    <col min="1919" max="1919" width="12" style="30" customWidth="1"/>
    <col min="1920" max="1920" width="8.75" style="30" customWidth="1"/>
    <col min="1921" max="1921" width="9.625" style="30" bestFit="1" customWidth="1"/>
    <col min="1922" max="1922" width="9.625" style="30" customWidth="1"/>
    <col min="1923" max="1924" width="11.25" style="30" customWidth="1"/>
    <col min="1925" max="1925" width="12" style="30" customWidth="1"/>
    <col min="1926" max="1927" width="10.625" style="30" customWidth="1"/>
    <col min="1928" max="1928" width="11" style="30" customWidth="1"/>
    <col min="1929" max="1929" width="10.625" style="30" customWidth="1"/>
    <col min="1930" max="1930" width="12.375" style="30" customWidth="1"/>
    <col min="1931" max="1931" width="12" style="30" customWidth="1"/>
    <col min="1932" max="1932" width="11.625" style="30" customWidth="1"/>
    <col min="1933" max="1933" width="10.5" style="30" customWidth="1"/>
    <col min="1934" max="1934" width="8.625" style="30" customWidth="1"/>
    <col min="1935" max="1935" width="11.25" style="30" customWidth="1"/>
    <col min="1936" max="1936" width="9.875" style="30" customWidth="1"/>
    <col min="1937" max="1937" width="11.125" style="30" customWidth="1"/>
    <col min="1938" max="1938" width="11.625" style="30" customWidth="1"/>
    <col min="1939" max="1939" width="12.625" style="30" customWidth="1"/>
    <col min="1940" max="1940" width="11.5" style="30" customWidth="1"/>
    <col min="1941" max="1941" width="9.375" style="30"/>
    <col min="1942" max="1942" width="13.125" style="30" customWidth="1"/>
    <col min="1943" max="1943" width="9.5" style="30" customWidth="1"/>
    <col min="1944" max="1944" width="11.625" style="30" customWidth="1"/>
    <col min="1945" max="1945" width="11.5" style="30" customWidth="1"/>
    <col min="1946" max="1946" width="9.625" style="30" customWidth="1"/>
    <col min="1947" max="1947" width="9.25" style="30" customWidth="1"/>
    <col min="1948" max="1948" width="8.75" style="30" customWidth="1"/>
    <col min="1949" max="1949" width="9" style="30" customWidth="1"/>
    <col min="1950" max="1950" width="8.625" style="30" customWidth="1"/>
    <col min="1951" max="1951" width="11.125" style="30" customWidth="1"/>
    <col min="1952" max="1952" width="11.25" style="30" customWidth="1"/>
    <col min="1953" max="1953" width="11.5" style="30" customWidth="1"/>
    <col min="1954" max="1955" width="9" style="30" customWidth="1"/>
    <col min="1956" max="1956" width="9.875" style="30" customWidth="1"/>
    <col min="1957" max="1957" width="9.25" style="30" customWidth="1"/>
    <col min="1958" max="1958" width="11.125" style="30" customWidth="1"/>
    <col min="1959" max="1959" width="11.375" style="30" customWidth="1"/>
    <col min="1960" max="1960" width="10.875" style="30" customWidth="1"/>
    <col min="1961" max="1961" width="8.375" style="30" customWidth="1"/>
    <col min="1962" max="1962" width="9.125" style="30" customWidth="1"/>
    <col min="1963" max="1964" width="9" style="30" customWidth="1"/>
    <col min="1965" max="1965" width="10.75" style="30" customWidth="1"/>
    <col min="1966" max="1966" width="10.625" style="30" customWidth="1"/>
    <col min="1967" max="1967" width="10.25" style="30" customWidth="1"/>
    <col min="1968" max="1968" width="8.125" style="30" customWidth="1"/>
    <col min="1969" max="1971" width="9" style="30" customWidth="1"/>
    <col min="1972" max="1972" width="11.375" style="30" customWidth="1"/>
    <col min="1973" max="1973" width="11.125" style="30" customWidth="1"/>
    <col min="1974" max="1974" width="14.5" style="30" customWidth="1"/>
    <col min="1975" max="1975" width="10.875" style="30" customWidth="1"/>
    <col min="1976" max="1976" width="8.5" style="30" customWidth="1"/>
    <col min="1977" max="1977" width="10.375" style="30" customWidth="1"/>
    <col min="1978" max="1978" width="9" style="30" customWidth="1"/>
    <col min="1979" max="1979" width="12" style="30" customWidth="1"/>
    <col min="1980" max="1987" width="10.875" style="30" customWidth="1"/>
    <col min="1988" max="1988" width="10.5" style="30" customWidth="1"/>
    <col min="1989" max="1989" width="11.875" style="30" customWidth="1"/>
    <col min="1990" max="1990" width="10.875" style="30" customWidth="1"/>
    <col min="1991" max="1992" width="9" style="30" customWidth="1"/>
    <col min="1993" max="1993" width="12.125" style="30" customWidth="1"/>
    <col min="1994" max="1994" width="9.625" style="30" customWidth="1"/>
    <col min="1995" max="1996" width="9" style="30" customWidth="1"/>
    <col min="1997" max="1997" width="12.625" style="30" customWidth="1"/>
    <col min="1998" max="1998" width="11" style="30" customWidth="1"/>
    <col min="1999" max="1999" width="11.75" style="30" bestFit="1" customWidth="1"/>
    <col min="2000" max="2000" width="11.875" style="30" customWidth="1"/>
    <col min="2001" max="2002" width="9" style="30" customWidth="1"/>
    <col min="2003" max="2003" width="12.25" style="30" customWidth="1"/>
    <col min="2004" max="2004" width="10.875" style="30" customWidth="1"/>
    <col min="2005" max="2005" width="9" style="30" customWidth="1"/>
    <col min="2006" max="2006" width="10.875" style="30" customWidth="1"/>
    <col min="2007" max="2007" width="10.5" style="30" customWidth="1"/>
    <col min="2008" max="2009" width="9" style="30" customWidth="1"/>
    <col min="2010" max="2010" width="12.625" style="30" customWidth="1"/>
    <col min="2011" max="2012" width="9" style="30" customWidth="1"/>
    <col min="2013" max="2013" width="12" style="30" customWidth="1"/>
    <col min="2014" max="2030" width="9" style="30" customWidth="1"/>
    <col min="2031" max="2031" width="12.375" style="30" customWidth="1"/>
    <col min="2032" max="2032" width="12.5" style="30" customWidth="1"/>
    <col min="2033" max="2033" width="11.875" style="30" customWidth="1"/>
    <col min="2034" max="2034" width="11.625" style="30" customWidth="1"/>
    <col min="2035" max="2035" width="12.125" style="30" customWidth="1"/>
    <col min="2036" max="2037" width="10.5" style="30" bestFit="1" customWidth="1"/>
    <col min="2038" max="2038" width="10.625" style="30" bestFit="1" customWidth="1"/>
    <col min="2039" max="2046" width="10.5" style="30" bestFit="1" customWidth="1"/>
    <col min="2047" max="2047" width="10.5" style="30" customWidth="1"/>
    <col min="2048" max="2048" width="10.5" style="30" bestFit="1" customWidth="1"/>
    <col min="2049" max="2049" width="11.5" style="30" customWidth="1"/>
    <col min="2050" max="2050" width="9.5" style="30" bestFit="1" customWidth="1"/>
    <col min="2051" max="2061" width="10.5" style="30" bestFit="1" customWidth="1"/>
    <col min="2062" max="2062" width="12.75" style="30" bestFit="1" customWidth="1"/>
    <col min="2063" max="2067" width="10.5" style="30" bestFit="1" customWidth="1"/>
    <col min="2068" max="2069" width="9.375" style="30"/>
    <col min="2070" max="2070" width="8.5" style="30" customWidth="1"/>
    <col min="2071" max="2071" width="8" style="30" customWidth="1"/>
    <col min="2072" max="2072" width="21.25" style="30" customWidth="1"/>
    <col min="2073" max="2073" width="16.25" style="30" customWidth="1"/>
    <col min="2074" max="2074" width="11.625" style="30" customWidth="1"/>
    <col min="2075" max="2075" width="13.625" style="30" customWidth="1"/>
    <col min="2076" max="2076" width="12.875" style="30" customWidth="1"/>
    <col min="2077" max="2077" width="15.5" style="30" customWidth="1"/>
    <col min="2078" max="2079" width="13.375" style="30" customWidth="1"/>
    <col min="2080" max="2080" width="14.375" style="30" customWidth="1"/>
    <col min="2081" max="2081" width="11.875" style="30" customWidth="1"/>
    <col min="2082" max="2083" width="14.25" style="30" customWidth="1"/>
    <col min="2084" max="2084" width="8.625" style="30" customWidth="1"/>
    <col min="2085" max="2085" width="10.625" style="30" customWidth="1"/>
    <col min="2086" max="2086" width="9.875" style="30" customWidth="1"/>
    <col min="2087" max="2087" width="14" style="30" customWidth="1"/>
    <col min="2088" max="2088" width="10.875" style="30" customWidth="1"/>
    <col min="2089" max="2089" width="12.375" style="30" customWidth="1"/>
    <col min="2090" max="2090" width="12" style="30" customWidth="1"/>
    <col min="2091" max="2091" width="13.625" style="30" customWidth="1"/>
    <col min="2092" max="2092" width="10" style="30" customWidth="1"/>
    <col min="2093" max="2093" width="9.625" style="30" customWidth="1"/>
    <col min="2094" max="2094" width="11.75" style="30" customWidth="1"/>
    <col min="2095" max="2095" width="11.375" style="30" customWidth="1"/>
    <col min="2096" max="2096" width="12.875" style="30" customWidth="1"/>
    <col min="2097" max="2097" width="13" style="30" customWidth="1"/>
    <col min="2098" max="2098" width="8.875" style="30" customWidth="1"/>
    <col min="2099" max="2099" width="13.125" style="30" customWidth="1"/>
    <col min="2100" max="2100" width="9.625" style="30" customWidth="1"/>
    <col min="2101" max="2101" width="12.875" style="30" customWidth="1"/>
    <col min="2102" max="2102" width="11.5" style="30" customWidth="1"/>
    <col min="2103" max="2103" width="9.75" style="30" customWidth="1"/>
    <col min="2104" max="2104" width="13.375" style="30" customWidth="1"/>
    <col min="2105" max="2105" width="12.125" style="30" customWidth="1"/>
    <col min="2106" max="2106" width="10.25" style="30" customWidth="1"/>
    <col min="2107" max="2107" width="11.625" style="30" bestFit="1" customWidth="1"/>
    <col min="2108" max="2108" width="9.875" style="30" customWidth="1"/>
    <col min="2109" max="2109" width="13.375" style="30" customWidth="1"/>
    <col min="2110" max="2110" width="11.5" style="30" customWidth="1"/>
    <col min="2111" max="2111" width="12" style="30" customWidth="1"/>
    <col min="2112" max="2112" width="9.125" style="30" customWidth="1"/>
    <col min="2113" max="2113" width="9" style="30" customWidth="1"/>
    <col min="2114" max="2114" width="12.875" style="30" bestFit="1" customWidth="1"/>
    <col min="2115" max="2116" width="12" style="30" customWidth="1"/>
    <col min="2117" max="2117" width="11.875" style="30" customWidth="1"/>
    <col min="2118" max="2118" width="11" style="30" customWidth="1"/>
    <col min="2119" max="2119" width="11.625" style="30" customWidth="1"/>
    <col min="2120" max="2120" width="8.875" style="30" customWidth="1"/>
    <col min="2121" max="2121" width="11.625" style="30" bestFit="1" customWidth="1"/>
    <col min="2122" max="2122" width="9.625" style="30" customWidth="1"/>
    <col min="2123" max="2123" width="12.125" style="30" customWidth="1"/>
    <col min="2124" max="2124" width="11.875" style="30" customWidth="1"/>
    <col min="2125" max="2125" width="13.375" style="30" customWidth="1"/>
    <col min="2126" max="2126" width="11.5" style="30" customWidth="1"/>
    <col min="2127" max="2127" width="9.25" style="30" customWidth="1"/>
    <col min="2128" max="2128" width="11.625" style="30" bestFit="1" customWidth="1"/>
    <col min="2129" max="2129" width="10.625" style="30" customWidth="1"/>
    <col min="2130" max="2130" width="12" style="30" customWidth="1"/>
    <col min="2131" max="2131" width="11.625" style="30" customWidth="1"/>
    <col min="2132" max="2132" width="14" style="30" customWidth="1"/>
    <col min="2133" max="2133" width="11.125" style="30" customWidth="1"/>
    <col min="2134" max="2134" width="9.75" style="30" customWidth="1"/>
    <col min="2135" max="2135" width="11.625" style="30" bestFit="1" customWidth="1"/>
    <col min="2136" max="2136" width="10.125" style="30" customWidth="1"/>
    <col min="2137" max="2137" width="11.625" style="30" customWidth="1"/>
    <col min="2138" max="2138" width="11.375" style="30" customWidth="1"/>
    <col min="2139" max="2139" width="12.375" style="30" customWidth="1"/>
    <col min="2140" max="2141" width="10.875" style="30" customWidth="1"/>
    <col min="2142" max="2142" width="10.5" style="30" bestFit="1" customWidth="1"/>
    <col min="2143" max="2143" width="9.625" style="30" customWidth="1"/>
    <col min="2144" max="2144" width="11.875" style="30" customWidth="1"/>
    <col min="2145" max="2145" width="11.75" style="30" customWidth="1"/>
    <col min="2146" max="2146" width="14.125" style="30" customWidth="1"/>
    <col min="2147" max="2147" width="13.125" style="30" customWidth="1"/>
    <col min="2148" max="2148" width="8.75" style="30" customWidth="1"/>
    <col min="2149" max="2149" width="11.5" style="30" bestFit="1" customWidth="1"/>
    <col min="2150" max="2150" width="9.625" style="30" customWidth="1"/>
    <col min="2151" max="2151" width="13.625" style="30" customWidth="1"/>
    <col min="2152" max="2152" width="11.5" style="30" customWidth="1"/>
    <col min="2153" max="2153" width="11.75" style="30" customWidth="1"/>
    <col min="2154" max="2154" width="9.875" style="30" customWidth="1"/>
    <col min="2155" max="2155" width="9" style="30" customWidth="1"/>
    <col min="2156" max="2156" width="9.625" style="30" bestFit="1" customWidth="1"/>
    <col min="2157" max="2157" width="12.625" style="30" customWidth="1"/>
    <col min="2158" max="2158" width="12.375" style="30" customWidth="1"/>
    <col min="2159" max="2159" width="11.625" style="30" customWidth="1"/>
    <col min="2160" max="2161" width="14.125" style="30" customWidth="1"/>
    <col min="2162" max="2162" width="9.125" style="30" customWidth="1"/>
    <col min="2163" max="2163" width="10.5" style="30" bestFit="1" customWidth="1"/>
    <col min="2164" max="2164" width="9.625" style="30" customWidth="1"/>
    <col min="2165" max="2165" width="14.25" style="30" customWidth="1"/>
    <col min="2166" max="2166" width="11.875" style="30" customWidth="1"/>
    <col min="2167" max="2167" width="11" style="30" customWidth="1"/>
    <col min="2168" max="2168" width="11.75" style="30" customWidth="1"/>
    <col min="2169" max="2169" width="11.25" style="30" customWidth="1"/>
    <col min="2170" max="2170" width="9.625" style="30" bestFit="1" customWidth="1"/>
    <col min="2171" max="2171" width="9.625" style="30" customWidth="1"/>
    <col min="2172" max="2172" width="14.125" style="30" customWidth="1"/>
    <col min="2173" max="2173" width="11.125" style="30" customWidth="1"/>
    <col min="2174" max="2174" width="11.25" style="30" customWidth="1"/>
    <col min="2175" max="2175" width="12" style="30" customWidth="1"/>
    <col min="2176" max="2176" width="8.75" style="30" customWidth="1"/>
    <col min="2177" max="2177" width="9.625" style="30" bestFit="1" customWidth="1"/>
    <col min="2178" max="2178" width="9.625" style="30" customWidth="1"/>
    <col min="2179" max="2180" width="11.25" style="30" customWidth="1"/>
    <col min="2181" max="2181" width="12" style="30" customWidth="1"/>
    <col min="2182" max="2183" width="10.625" style="30" customWidth="1"/>
    <col min="2184" max="2184" width="11" style="30" customWidth="1"/>
    <col min="2185" max="2185" width="10.625" style="30" customWidth="1"/>
    <col min="2186" max="2186" width="12.375" style="30" customWidth="1"/>
    <col min="2187" max="2187" width="12" style="30" customWidth="1"/>
    <col min="2188" max="2188" width="11.625" style="30" customWidth="1"/>
    <col min="2189" max="2189" width="10.5" style="30" customWidth="1"/>
    <col min="2190" max="2190" width="8.625" style="30" customWidth="1"/>
    <col min="2191" max="2191" width="11.25" style="30" customWidth="1"/>
    <col min="2192" max="2192" width="9.875" style="30" customWidth="1"/>
    <col min="2193" max="2193" width="11.125" style="30" customWidth="1"/>
    <col min="2194" max="2194" width="11.625" style="30" customWidth="1"/>
    <col min="2195" max="2195" width="12.625" style="30" customWidth="1"/>
    <col min="2196" max="2196" width="11.5" style="30" customWidth="1"/>
    <col min="2197" max="2197" width="9.375" style="30"/>
    <col min="2198" max="2198" width="13.125" style="30" customWidth="1"/>
    <col min="2199" max="2199" width="9.5" style="30" customWidth="1"/>
    <col min="2200" max="2200" width="11.625" style="30" customWidth="1"/>
    <col min="2201" max="2201" width="11.5" style="30" customWidth="1"/>
    <col min="2202" max="2202" width="9.625" style="30" customWidth="1"/>
    <col min="2203" max="2203" width="9.25" style="30" customWidth="1"/>
    <col min="2204" max="2204" width="8.75" style="30" customWidth="1"/>
    <col min="2205" max="2205" width="9" style="30" customWidth="1"/>
    <col min="2206" max="2206" width="8.625" style="30" customWidth="1"/>
    <col min="2207" max="2207" width="11.125" style="30" customWidth="1"/>
    <col min="2208" max="2208" width="11.25" style="30" customWidth="1"/>
    <col min="2209" max="2209" width="11.5" style="30" customWidth="1"/>
    <col min="2210" max="2211" width="9" style="30" customWidth="1"/>
    <col min="2212" max="2212" width="9.875" style="30" customWidth="1"/>
    <col min="2213" max="2213" width="9.25" style="30" customWidth="1"/>
    <col min="2214" max="2214" width="11.125" style="30" customWidth="1"/>
    <col min="2215" max="2215" width="11.375" style="30" customWidth="1"/>
    <col min="2216" max="2216" width="10.875" style="30" customWidth="1"/>
    <col min="2217" max="2217" width="8.375" style="30" customWidth="1"/>
    <col min="2218" max="2218" width="9.125" style="30" customWidth="1"/>
    <col min="2219" max="2220" width="9" style="30" customWidth="1"/>
    <col min="2221" max="2221" width="10.75" style="30" customWidth="1"/>
    <col min="2222" max="2222" width="10.625" style="30" customWidth="1"/>
    <col min="2223" max="2223" width="10.25" style="30" customWidth="1"/>
    <col min="2224" max="2224" width="8.125" style="30" customWidth="1"/>
    <col min="2225" max="2227" width="9" style="30" customWidth="1"/>
    <col min="2228" max="2228" width="11.375" style="30" customWidth="1"/>
    <col min="2229" max="2229" width="11.125" style="30" customWidth="1"/>
    <col min="2230" max="2230" width="14.5" style="30" customWidth="1"/>
    <col min="2231" max="2231" width="10.875" style="30" customWidth="1"/>
    <col min="2232" max="2232" width="8.5" style="30" customWidth="1"/>
    <col min="2233" max="2233" width="10.375" style="30" customWidth="1"/>
    <col min="2234" max="2234" width="9" style="30" customWidth="1"/>
    <col min="2235" max="2235" width="12" style="30" customWidth="1"/>
    <col min="2236" max="2243" width="10.875" style="30" customWidth="1"/>
    <col min="2244" max="2244" width="10.5" style="30" customWidth="1"/>
    <col min="2245" max="2245" width="11.875" style="30" customWidth="1"/>
    <col min="2246" max="2246" width="10.875" style="30" customWidth="1"/>
    <col min="2247" max="2248" width="9" style="30" customWidth="1"/>
    <col min="2249" max="2249" width="12.125" style="30" customWidth="1"/>
    <col min="2250" max="2250" width="9.625" style="30" customWidth="1"/>
    <col min="2251" max="2252" width="9" style="30" customWidth="1"/>
    <col min="2253" max="2253" width="12.625" style="30" customWidth="1"/>
    <col min="2254" max="2254" width="11" style="30" customWidth="1"/>
    <col min="2255" max="2255" width="11.75" style="30" bestFit="1" customWidth="1"/>
    <col min="2256" max="2256" width="11.875" style="30" customWidth="1"/>
    <col min="2257" max="2258" width="9" style="30" customWidth="1"/>
    <col min="2259" max="2259" width="12.25" style="30" customWidth="1"/>
    <col min="2260" max="2260" width="10.875" style="30" customWidth="1"/>
    <col min="2261" max="2261" width="9" style="30" customWidth="1"/>
    <col min="2262" max="2262" width="10.875" style="30" customWidth="1"/>
    <col min="2263" max="2263" width="10.5" style="30" customWidth="1"/>
    <col min="2264" max="2265" width="9" style="30" customWidth="1"/>
    <col min="2266" max="2266" width="12.625" style="30" customWidth="1"/>
    <col min="2267" max="2268" width="9" style="30" customWidth="1"/>
    <col min="2269" max="2269" width="12" style="30" customWidth="1"/>
    <col min="2270" max="2286" width="9" style="30" customWidth="1"/>
    <col min="2287" max="2287" width="12.375" style="30" customWidth="1"/>
    <col min="2288" max="2288" width="12.5" style="30" customWidth="1"/>
    <col min="2289" max="2289" width="11.875" style="30" customWidth="1"/>
    <col min="2290" max="2290" width="11.625" style="30" customWidth="1"/>
    <col min="2291" max="2291" width="12.125" style="30" customWidth="1"/>
    <col min="2292" max="2293" width="10.5" style="30" bestFit="1" customWidth="1"/>
    <col min="2294" max="2294" width="10.625" style="30" bestFit="1" customWidth="1"/>
    <col min="2295" max="2302" width="10.5" style="30" bestFit="1" customWidth="1"/>
    <col min="2303" max="2303" width="10.5" style="30" customWidth="1"/>
    <col min="2304" max="2304" width="10.5" style="30" bestFit="1" customWidth="1"/>
    <col min="2305" max="2305" width="11.5" style="30" customWidth="1"/>
    <col min="2306" max="2306" width="9.5" style="30" bestFit="1" customWidth="1"/>
    <col min="2307" max="2317" width="10.5" style="30" bestFit="1" customWidth="1"/>
    <col min="2318" max="2318" width="12.75" style="30" bestFit="1" customWidth="1"/>
    <col min="2319" max="2323" width="10.5" style="30" bestFit="1" customWidth="1"/>
    <col min="2324" max="2325" width="9.375" style="30"/>
    <col min="2326" max="2326" width="8.5" style="30" customWidth="1"/>
    <col min="2327" max="2327" width="8" style="30" customWidth="1"/>
    <col min="2328" max="2328" width="21.25" style="30" customWidth="1"/>
    <col min="2329" max="2329" width="16.25" style="30" customWidth="1"/>
    <col min="2330" max="2330" width="11.625" style="30" customWidth="1"/>
    <col min="2331" max="2331" width="13.625" style="30" customWidth="1"/>
    <col min="2332" max="2332" width="12.875" style="30" customWidth="1"/>
    <col min="2333" max="2333" width="15.5" style="30" customWidth="1"/>
    <col min="2334" max="2335" width="13.375" style="30" customWidth="1"/>
    <col min="2336" max="2336" width="14.375" style="30" customWidth="1"/>
    <col min="2337" max="2337" width="11.875" style="30" customWidth="1"/>
    <col min="2338" max="2339" width="14.25" style="30" customWidth="1"/>
    <col min="2340" max="2340" width="8.625" style="30" customWidth="1"/>
    <col min="2341" max="2341" width="10.625" style="30" customWidth="1"/>
    <col min="2342" max="2342" width="9.875" style="30" customWidth="1"/>
    <col min="2343" max="2343" width="14" style="30" customWidth="1"/>
    <col min="2344" max="2344" width="10.875" style="30" customWidth="1"/>
    <col min="2345" max="2345" width="12.375" style="30" customWidth="1"/>
    <col min="2346" max="2346" width="12" style="30" customWidth="1"/>
    <col min="2347" max="2347" width="13.625" style="30" customWidth="1"/>
    <col min="2348" max="2348" width="10" style="30" customWidth="1"/>
    <col min="2349" max="2349" width="9.625" style="30" customWidth="1"/>
    <col min="2350" max="2350" width="11.75" style="30" customWidth="1"/>
    <col min="2351" max="2351" width="11.375" style="30" customWidth="1"/>
    <col min="2352" max="2352" width="12.875" style="30" customWidth="1"/>
    <col min="2353" max="2353" width="13" style="30" customWidth="1"/>
    <col min="2354" max="2354" width="8.875" style="30" customWidth="1"/>
    <col min="2355" max="2355" width="13.125" style="30" customWidth="1"/>
    <col min="2356" max="2356" width="9.625" style="30" customWidth="1"/>
    <col min="2357" max="2357" width="12.875" style="30" customWidth="1"/>
    <col min="2358" max="2358" width="11.5" style="30" customWidth="1"/>
    <col min="2359" max="2359" width="9.75" style="30" customWidth="1"/>
    <col min="2360" max="2360" width="13.375" style="30" customWidth="1"/>
    <col min="2361" max="2361" width="12.125" style="30" customWidth="1"/>
    <col min="2362" max="2362" width="10.25" style="30" customWidth="1"/>
    <col min="2363" max="2363" width="11.625" style="30" bestFit="1" customWidth="1"/>
    <col min="2364" max="2364" width="9.875" style="30" customWidth="1"/>
    <col min="2365" max="2365" width="13.375" style="30" customWidth="1"/>
    <col min="2366" max="2366" width="11.5" style="30" customWidth="1"/>
    <col min="2367" max="2367" width="12" style="30" customWidth="1"/>
    <col min="2368" max="2368" width="9.125" style="30" customWidth="1"/>
    <col min="2369" max="2369" width="9" style="30" customWidth="1"/>
    <col min="2370" max="2370" width="12.875" style="30" bestFit="1" customWidth="1"/>
    <col min="2371" max="2372" width="12" style="30" customWidth="1"/>
    <col min="2373" max="2373" width="11.875" style="30" customWidth="1"/>
    <col min="2374" max="2374" width="11" style="30" customWidth="1"/>
    <col min="2375" max="2375" width="11.625" style="30" customWidth="1"/>
    <col min="2376" max="2376" width="8.875" style="30" customWidth="1"/>
    <col min="2377" max="2377" width="11.625" style="30" bestFit="1" customWidth="1"/>
    <col min="2378" max="2378" width="9.625" style="30" customWidth="1"/>
    <col min="2379" max="2379" width="12.125" style="30" customWidth="1"/>
    <col min="2380" max="2380" width="11.875" style="30" customWidth="1"/>
    <col min="2381" max="2381" width="13.375" style="30" customWidth="1"/>
    <col min="2382" max="2382" width="11.5" style="30" customWidth="1"/>
    <col min="2383" max="2383" width="9.25" style="30" customWidth="1"/>
    <col min="2384" max="2384" width="11.625" style="30" bestFit="1" customWidth="1"/>
    <col min="2385" max="2385" width="10.625" style="30" customWidth="1"/>
    <col min="2386" max="2386" width="12" style="30" customWidth="1"/>
    <col min="2387" max="2387" width="11.625" style="30" customWidth="1"/>
    <col min="2388" max="2388" width="14" style="30" customWidth="1"/>
    <col min="2389" max="2389" width="11.125" style="30" customWidth="1"/>
    <col min="2390" max="2390" width="9.75" style="30" customWidth="1"/>
    <col min="2391" max="2391" width="11.625" style="30" bestFit="1" customWidth="1"/>
    <col min="2392" max="2392" width="10.125" style="30" customWidth="1"/>
    <col min="2393" max="2393" width="11.625" style="30" customWidth="1"/>
    <col min="2394" max="2394" width="11.375" style="30" customWidth="1"/>
    <col min="2395" max="2395" width="12.375" style="30" customWidth="1"/>
    <col min="2396" max="2397" width="10.875" style="30" customWidth="1"/>
    <col min="2398" max="2398" width="10.5" style="30" bestFit="1" customWidth="1"/>
    <col min="2399" max="2399" width="9.625" style="30" customWidth="1"/>
    <col min="2400" max="2400" width="11.875" style="30" customWidth="1"/>
    <col min="2401" max="2401" width="11.75" style="30" customWidth="1"/>
    <col min="2402" max="2402" width="14.125" style="30" customWidth="1"/>
    <col min="2403" max="2403" width="13.125" style="30" customWidth="1"/>
    <col min="2404" max="2404" width="8.75" style="30" customWidth="1"/>
    <col min="2405" max="2405" width="11.5" style="30" bestFit="1" customWidth="1"/>
    <col min="2406" max="2406" width="9.625" style="30" customWidth="1"/>
    <col min="2407" max="2407" width="13.625" style="30" customWidth="1"/>
    <col min="2408" max="2408" width="11.5" style="30" customWidth="1"/>
    <col min="2409" max="2409" width="11.75" style="30" customWidth="1"/>
    <col min="2410" max="2410" width="9.875" style="30" customWidth="1"/>
    <col min="2411" max="2411" width="9" style="30" customWidth="1"/>
    <col min="2412" max="2412" width="9.625" style="30" bestFit="1" customWidth="1"/>
    <col min="2413" max="2413" width="12.625" style="30" customWidth="1"/>
    <col min="2414" max="2414" width="12.375" style="30" customWidth="1"/>
    <col min="2415" max="2415" width="11.625" style="30" customWidth="1"/>
    <col min="2416" max="2417" width="14.125" style="30" customWidth="1"/>
    <col min="2418" max="2418" width="9.125" style="30" customWidth="1"/>
    <col min="2419" max="2419" width="10.5" style="30" bestFit="1" customWidth="1"/>
    <col min="2420" max="2420" width="9.625" style="30" customWidth="1"/>
    <col min="2421" max="2421" width="14.25" style="30" customWidth="1"/>
    <col min="2422" max="2422" width="11.875" style="30" customWidth="1"/>
    <col min="2423" max="2423" width="11" style="30" customWidth="1"/>
    <col min="2424" max="2424" width="11.75" style="30" customWidth="1"/>
    <col min="2425" max="2425" width="11.25" style="30" customWidth="1"/>
    <col min="2426" max="2426" width="9.625" style="30" bestFit="1" customWidth="1"/>
    <col min="2427" max="2427" width="9.625" style="30" customWidth="1"/>
    <col min="2428" max="2428" width="14.125" style="30" customWidth="1"/>
    <col min="2429" max="2429" width="11.125" style="30" customWidth="1"/>
    <col min="2430" max="2430" width="11.25" style="30" customWidth="1"/>
    <col min="2431" max="2431" width="12" style="30" customWidth="1"/>
    <col min="2432" max="2432" width="8.75" style="30" customWidth="1"/>
    <col min="2433" max="2433" width="9.625" style="30" bestFit="1" customWidth="1"/>
    <col min="2434" max="2434" width="9.625" style="30" customWidth="1"/>
    <col min="2435" max="2436" width="11.25" style="30" customWidth="1"/>
    <col min="2437" max="2437" width="12" style="30" customWidth="1"/>
    <col min="2438" max="2439" width="10.625" style="30" customWidth="1"/>
    <col min="2440" max="2440" width="11" style="30" customWidth="1"/>
    <col min="2441" max="2441" width="10.625" style="30" customWidth="1"/>
    <col min="2442" max="2442" width="12.375" style="30" customWidth="1"/>
    <col min="2443" max="2443" width="12" style="30" customWidth="1"/>
    <col min="2444" max="2444" width="11.625" style="30" customWidth="1"/>
    <col min="2445" max="2445" width="10.5" style="30" customWidth="1"/>
    <col min="2446" max="2446" width="8.625" style="30" customWidth="1"/>
    <col min="2447" max="2447" width="11.25" style="30" customWidth="1"/>
    <col min="2448" max="2448" width="9.875" style="30" customWidth="1"/>
    <col min="2449" max="2449" width="11.125" style="30" customWidth="1"/>
    <col min="2450" max="2450" width="11.625" style="30" customWidth="1"/>
    <col min="2451" max="2451" width="12.625" style="30" customWidth="1"/>
    <col min="2452" max="2452" width="11.5" style="30" customWidth="1"/>
    <col min="2453" max="2453" width="9.375" style="30"/>
    <col min="2454" max="2454" width="13.125" style="30" customWidth="1"/>
    <col min="2455" max="2455" width="9.5" style="30" customWidth="1"/>
    <col min="2456" max="2456" width="11.625" style="30" customWidth="1"/>
    <col min="2457" max="2457" width="11.5" style="30" customWidth="1"/>
    <col min="2458" max="2458" width="9.625" style="30" customWidth="1"/>
    <col min="2459" max="2459" width="9.25" style="30" customWidth="1"/>
    <col min="2460" max="2460" width="8.75" style="30" customWidth="1"/>
    <col min="2461" max="2461" width="9" style="30" customWidth="1"/>
    <col min="2462" max="2462" width="8.625" style="30" customWidth="1"/>
    <col min="2463" max="2463" width="11.125" style="30" customWidth="1"/>
    <col min="2464" max="2464" width="11.25" style="30" customWidth="1"/>
    <col min="2465" max="2465" width="11.5" style="30" customWidth="1"/>
    <col min="2466" max="2467" width="9" style="30" customWidth="1"/>
    <col min="2468" max="2468" width="9.875" style="30" customWidth="1"/>
    <col min="2469" max="2469" width="9.25" style="30" customWidth="1"/>
    <col min="2470" max="2470" width="11.125" style="30" customWidth="1"/>
    <col min="2471" max="2471" width="11.375" style="30" customWidth="1"/>
    <col min="2472" max="2472" width="10.875" style="30" customWidth="1"/>
    <col min="2473" max="2473" width="8.375" style="30" customWidth="1"/>
    <col min="2474" max="2474" width="9.125" style="30" customWidth="1"/>
    <col min="2475" max="2476" width="9" style="30" customWidth="1"/>
    <col min="2477" max="2477" width="10.75" style="30" customWidth="1"/>
    <col min="2478" max="2478" width="10.625" style="30" customWidth="1"/>
    <col min="2479" max="2479" width="10.25" style="30" customWidth="1"/>
    <col min="2480" max="2480" width="8.125" style="30" customWidth="1"/>
    <col min="2481" max="2483" width="9" style="30" customWidth="1"/>
    <col min="2484" max="2484" width="11.375" style="30" customWidth="1"/>
    <col min="2485" max="2485" width="11.125" style="30" customWidth="1"/>
    <col min="2486" max="2486" width="14.5" style="30" customWidth="1"/>
    <col min="2487" max="2487" width="10.875" style="30" customWidth="1"/>
    <col min="2488" max="2488" width="8.5" style="30" customWidth="1"/>
    <col min="2489" max="2489" width="10.375" style="30" customWidth="1"/>
    <col min="2490" max="2490" width="9" style="30" customWidth="1"/>
    <col min="2491" max="2491" width="12" style="30" customWidth="1"/>
    <col min="2492" max="2499" width="10.875" style="30" customWidth="1"/>
    <col min="2500" max="2500" width="10.5" style="30" customWidth="1"/>
    <col min="2501" max="2501" width="11.875" style="30" customWidth="1"/>
    <col min="2502" max="2502" width="10.875" style="30" customWidth="1"/>
    <col min="2503" max="2504" width="9" style="30" customWidth="1"/>
    <col min="2505" max="2505" width="12.125" style="30" customWidth="1"/>
    <col min="2506" max="2506" width="9.625" style="30" customWidth="1"/>
    <col min="2507" max="2508" width="9" style="30" customWidth="1"/>
    <col min="2509" max="2509" width="12.625" style="30" customWidth="1"/>
    <col min="2510" max="2510" width="11" style="30" customWidth="1"/>
    <col min="2511" max="2511" width="11.75" style="30" bestFit="1" customWidth="1"/>
    <col min="2512" max="2512" width="11.875" style="30" customWidth="1"/>
    <col min="2513" max="2514" width="9" style="30" customWidth="1"/>
    <col min="2515" max="2515" width="12.25" style="30" customWidth="1"/>
    <col min="2516" max="2516" width="10.875" style="30" customWidth="1"/>
    <col min="2517" max="2517" width="9" style="30" customWidth="1"/>
    <col min="2518" max="2518" width="10.875" style="30" customWidth="1"/>
    <col min="2519" max="2519" width="10.5" style="30" customWidth="1"/>
    <col min="2520" max="2521" width="9" style="30" customWidth="1"/>
    <col min="2522" max="2522" width="12.625" style="30" customWidth="1"/>
    <col min="2523" max="2524" width="9" style="30" customWidth="1"/>
    <col min="2525" max="2525" width="12" style="30" customWidth="1"/>
    <col min="2526" max="2542" width="9" style="30" customWidth="1"/>
    <col min="2543" max="2543" width="12.375" style="30" customWidth="1"/>
    <col min="2544" max="2544" width="12.5" style="30" customWidth="1"/>
    <col min="2545" max="2545" width="11.875" style="30" customWidth="1"/>
    <col min="2546" max="2546" width="11.625" style="30" customWidth="1"/>
    <col min="2547" max="2547" width="12.125" style="30" customWidth="1"/>
    <col min="2548" max="2549" width="10.5" style="30" bestFit="1" customWidth="1"/>
    <col min="2550" max="2550" width="10.625" style="30" bestFit="1" customWidth="1"/>
    <col min="2551" max="2558" width="10.5" style="30" bestFit="1" customWidth="1"/>
    <col min="2559" max="2559" width="10.5" style="30" customWidth="1"/>
    <col min="2560" max="2560" width="10.5" style="30" bestFit="1" customWidth="1"/>
    <col min="2561" max="2561" width="11.5" style="30" customWidth="1"/>
    <col min="2562" max="2562" width="9.5" style="30" bestFit="1" customWidth="1"/>
    <col min="2563" max="2573" width="10.5" style="30" bestFit="1" customWidth="1"/>
    <col min="2574" max="2574" width="12.75" style="30" bestFit="1" customWidth="1"/>
    <col min="2575" max="2579" width="10.5" style="30" bestFit="1" customWidth="1"/>
    <col min="2580" max="2581" width="9.375" style="30"/>
    <col min="2582" max="2582" width="8.5" style="30" customWidth="1"/>
    <col min="2583" max="2583" width="8" style="30" customWidth="1"/>
    <col min="2584" max="2584" width="21.25" style="30" customWidth="1"/>
    <col min="2585" max="2585" width="16.25" style="30" customWidth="1"/>
    <col min="2586" max="2586" width="11.625" style="30" customWidth="1"/>
    <col min="2587" max="2587" width="13.625" style="30" customWidth="1"/>
    <col min="2588" max="2588" width="12.875" style="30" customWidth="1"/>
    <col min="2589" max="2589" width="15.5" style="30" customWidth="1"/>
    <col min="2590" max="2591" width="13.375" style="30" customWidth="1"/>
    <col min="2592" max="2592" width="14.375" style="30" customWidth="1"/>
    <col min="2593" max="2593" width="11.875" style="30" customWidth="1"/>
    <col min="2594" max="2595" width="14.25" style="30" customWidth="1"/>
    <col min="2596" max="2596" width="8.625" style="30" customWidth="1"/>
    <col min="2597" max="2597" width="10.625" style="30" customWidth="1"/>
    <col min="2598" max="2598" width="9.875" style="30" customWidth="1"/>
    <col min="2599" max="2599" width="14" style="30" customWidth="1"/>
    <col min="2600" max="2600" width="10.875" style="30" customWidth="1"/>
    <col min="2601" max="2601" width="12.375" style="30" customWidth="1"/>
    <col min="2602" max="2602" width="12" style="30" customWidth="1"/>
    <col min="2603" max="2603" width="13.625" style="30" customWidth="1"/>
    <col min="2604" max="2604" width="10" style="30" customWidth="1"/>
    <col min="2605" max="2605" width="9.625" style="30" customWidth="1"/>
    <col min="2606" max="2606" width="11.75" style="30" customWidth="1"/>
    <col min="2607" max="2607" width="11.375" style="30" customWidth="1"/>
    <col min="2608" max="2608" width="12.875" style="30" customWidth="1"/>
    <col min="2609" max="2609" width="13" style="30" customWidth="1"/>
    <col min="2610" max="2610" width="8.875" style="30" customWidth="1"/>
    <col min="2611" max="2611" width="13.125" style="30" customWidth="1"/>
    <col min="2612" max="2612" width="9.625" style="30" customWidth="1"/>
    <col min="2613" max="2613" width="12.875" style="30" customWidth="1"/>
    <col min="2614" max="2614" width="11.5" style="30" customWidth="1"/>
    <col min="2615" max="2615" width="9.75" style="30" customWidth="1"/>
    <col min="2616" max="2616" width="13.375" style="30" customWidth="1"/>
    <col min="2617" max="2617" width="12.125" style="30" customWidth="1"/>
    <col min="2618" max="2618" width="10.25" style="30" customWidth="1"/>
    <col min="2619" max="2619" width="11.625" style="30" bestFit="1" customWidth="1"/>
    <col min="2620" max="2620" width="9.875" style="30" customWidth="1"/>
    <col min="2621" max="2621" width="13.375" style="30" customWidth="1"/>
    <col min="2622" max="2622" width="11.5" style="30" customWidth="1"/>
    <col min="2623" max="2623" width="12" style="30" customWidth="1"/>
    <col min="2624" max="2624" width="9.125" style="30" customWidth="1"/>
    <col min="2625" max="2625" width="9" style="30" customWidth="1"/>
    <col min="2626" max="2626" width="12.875" style="30" bestFit="1" customWidth="1"/>
    <col min="2627" max="2628" width="12" style="30" customWidth="1"/>
    <col min="2629" max="2629" width="11.875" style="30" customWidth="1"/>
    <col min="2630" max="2630" width="11" style="30" customWidth="1"/>
    <col min="2631" max="2631" width="11.625" style="30" customWidth="1"/>
    <col min="2632" max="2632" width="8.875" style="30" customWidth="1"/>
    <col min="2633" max="2633" width="11.625" style="30" bestFit="1" customWidth="1"/>
    <col min="2634" max="2634" width="9.625" style="30" customWidth="1"/>
    <col min="2635" max="2635" width="12.125" style="30" customWidth="1"/>
    <col min="2636" max="2636" width="11.875" style="30" customWidth="1"/>
    <col min="2637" max="2637" width="13.375" style="30" customWidth="1"/>
    <col min="2638" max="2638" width="11.5" style="30" customWidth="1"/>
    <col min="2639" max="2639" width="9.25" style="30" customWidth="1"/>
    <col min="2640" max="2640" width="11.625" style="30" bestFit="1" customWidth="1"/>
    <col min="2641" max="2641" width="10.625" style="30" customWidth="1"/>
    <col min="2642" max="2642" width="12" style="30" customWidth="1"/>
    <col min="2643" max="2643" width="11.625" style="30" customWidth="1"/>
    <col min="2644" max="2644" width="14" style="30" customWidth="1"/>
    <col min="2645" max="2645" width="11.125" style="30" customWidth="1"/>
    <col min="2646" max="2646" width="9.75" style="30" customWidth="1"/>
    <col min="2647" max="2647" width="11.625" style="30" bestFit="1" customWidth="1"/>
    <col min="2648" max="2648" width="10.125" style="30" customWidth="1"/>
    <col min="2649" max="2649" width="11.625" style="30" customWidth="1"/>
    <col min="2650" max="2650" width="11.375" style="30" customWidth="1"/>
    <col min="2651" max="2651" width="12.375" style="30" customWidth="1"/>
    <col min="2652" max="2653" width="10.875" style="30" customWidth="1"/>
    <col min="2654" max="2654" width="10.5" style="30" bestFit="1" customWidth="1"/>
    <col min="2655" max="2655" width="9.625" style="30" customWidth="1"/>
    <col min="2656" max="2656" width="11.875" style="30" customWidth="1"/>
    <col min="2657" max="2657" width="11.75" style="30" customWidth="1"/>
    <col min="2658" max="2658" width="14.125" style="30" customWidth="1"/>
    <col min="2659" max="2659" width="13.125" style="30" customWidth="1"/>
    <col min="2660" max="2660" width="8.75" style="30" customWidth="1"/>
    <col min="2661" max="2661" width="11.5" style="30" bestFit="1" customWidth="1"/>
    <col min="2662" max="2662" width="9.625" style="30" customWidth="1"/>
    <col min="2663" max="2663" width="13.625" style="30" customWidth="1"/>
    <col min="2664" max="2664" width="11.5" style="30" customWidth="1"/>
    <col min="2665" max="2665" width="11.75" style="30" customWidth="1"/>
    <col min="2666" max="2666" width="9.875" style="30" customWidth="1"/>
    <col min="2667" max="2667" width="9" style="30" customWidth="1"/>
    <col min="2668" max="2668" width="9.625" style="30" bestFit="1" customWidth="1"/>
    <col min="2669" max="2669" width="12.625" style="30" customWidth="1"/>
    <col min="2670" max="2670" width="12.375" style="30" customWidth="1"/>
    <col min="2671" max="2671" width="11.625" style="30" customWidth="1"/>
    <col min="2672" max="2673" width="14.125" style="30" customWidth="1"/>
    <col min="2674" max="2674" width="9.125" style="30" customWidth="1"/>
    <col min="2675" max="2675" width="10.5" style="30" bestFit="1" customWidth="1"/>
    <col min="2676" max="2676" width="9.625" style="30" customWidth="1"/>
    <col min="2677" max="2677" width="14.25" style="30" customWidth="1"/>
    <col min="2678" max="2678" width="11.875" style="30" customWidth="1"/>
    <col min="2679" max="2679" width="11" style="30" customWidth="1"/>
    <col min="2680" max="2680" width="11.75" style="30" customWidth="1"/>
    <col min="2681" max="2681" width="11.25" style="30" customWidth="1"/>
    <col min="2682" max="2682" width="9.625" style="30" bestFit="1" customWidth="1"/>
    <col min="2683" max="2683" width="9.625" style="30" customWidth="1"/>
    <col min="2684" max="2684" width="14.125" style="30" customWidth="1"/>
    <col min="2685" max="2685" width="11.125" style="30" customWidth="1"/>
    <col min="2686" max="2686" width="11.25" style="30" customWidth="1"/>
    <col min="2687" max="2687" width="12" style="30" customWidth="1"/>
    <col min="2688" max="2688" width="8.75" style="30" customWidth="1"/>
    <col min="2689" max="2689" width="9.625" style="30" bestFit="1" customWidth="1"/>
    <col min="2690" max="2690" width="9.625" style="30" customWidth="1"/>
    <col min="2691" max="2692" width="11.25" style="30" customWidth="1"/>
    <col min="2693" max="2693" width="12" style="30" customWidth="1"/>
    <col min="2694" max="2695" width="10.625" style="30" customWidth="1"/>
    <col min="2696" max="2696" width="11" style="30" customWidth="1"/>
    <col min="2697" max="2697" width="10.625" style="30" customWidth="1"/>
    <col min="2698" max="2698" width="12.375" style="30" customWidth="1"/>
    <col min="2699" max="2699" width="12" style="30" customWidth="1"/>
    <col min="2700" max="2700" width="11.625" style="30" customWidth="1"/>
    <col min="2701" max="2701" width="10.5" style="30" customWidth="1"/>
    <col min="2702" max="2702" width="8.625" style="30" customWidth="1"/>
    <col min="2703" max="2703" width="11.25" style="30" customWidth="1"/>
    <col min="2704" max="2704" width="9.875" style="30" customWidth="1"/>
    <col min="2705" max="2705" width="11.125" style="30" customWidth="1"/>
    <col min="2706" max="2706" width="11.625" style="30" customWidth="1"/>
    <col min="2707" max="2707" width="12.625" style="30" customWidth="1"/>
    <col min="2708" max="2708" width="11.5" style="30" customWidth="1"/>
    <col min="2709" max="2709" width="9.375" style="30"/>
    <col min="2710" max="2710" width="13.125" style="30" customWidth="1"/>
    <col min="2711" max="2711" width="9.5" style="30" customWidth="1"/>
    <col min="2712" max="2712" width="11.625" style="30" customWidth="1"/>
    <col min="2713" max="2713" width="11.5" style="30" customWidth="1"/>
    <col min="2714" max="2714" width="9.625" style="30" customWidth="1"/>
    <col min="2715" max="2715" width="9.25" style="30" customWidth="1"/>
    <col min="2716" max="2716" width="8.75" style="30" customWidth="1"/>
    <col min="2717" max="2717" width="9" style="30" customWidth="1"/>
    <col min="2718" max="2718" width="8.625" style="30" customWidth="1"/>
    <col min="2719" max="2719" width="11.125" style="30" customWidth="1"/>
    <col min="2720" max="2720" width="11.25" style="30" customWidth="1"/>
    <col min="2721" max="2721" width="11.5" style="30" customWidth="1"/>
    <col min="2722" max="2723" width="9" style="30" customWidth="1"/>
    <col min="2724" max="2724" width="9.875" style="30" customWidth="1"/>
    <col min="2725" max="2725" width="9.25" style="30" customWidth="1"/>
    <col min="2726" max="2726" width="11.125" style="30" customWidth="1"/>
    <col min="2727" max="2727" width="11.375" style="30" customWidth="1"/>
    <col min="2728" max="2728" width="10.875" style="30" customWidth="1"/>
    <col min="2729" max="2729" width="8.375" style="30" customWidth="1"/>
    <col min="2730" max="2730" width="9.125" style="30" customWidth="1"/>
    <col min="2731" max="2732" width="9" style="30" customWidth="1"/>
    <col min="2733" max="2733" width="10.75" style="30" customWidth="1"/>
    <col min="2734" max="2734" width="10.625" style="30" customWidth="1"/>
    <col min="2735" max="2735" width="10.25" style="30" customWidth="1"/>
    <col min="2736" max="2736" width="8.125" style="30" customWidth="1"/>
    <col min="2737" max="2739" width="9" style="30" customWidth="1"/>
    <col min="2740" max="2740" width="11.375" style="30" customWidth="1"/>
    <col min="2741" max="2741" width="11.125" style="30" customWidth="1"/>
    <col min="2742" max="2742" width="14.5" style="30" customWidth="1"/>
    <col min="2743" max="2743" width="10.875" style="30" customWidth="1"/>
    <col min="2744" max="2744" width="8.5" style="30" customWidth="1"/>
    <col min="2745" max="2745" width="10.375" style="30" customWidth="1"/>
    <col min="2746" max="2746" width="9" style="30" customWidth="1"/>
    <col min="2747" max="2747" width="12" style="30" customWidth="1"/>
    <col min="2748" max="2755" width="10.875" style="30" customWidth="1"/>
    <col min="2756" max="2756" width="10.5" style="30" customWidth="1"/>
    <col min="2757" max="2757" width="11.875" style="30" customWidth="1"/>
    <col min="2758" max="2758" width="10.875" style="30" customWidth="1"/>
    <col min="2759" max="2760" width="9" style="30" customWidth="1"/>
    <col min="2761" max="2761" width="12.125" style="30" customWidth="1"/>
    <col min="2762" max="2762" width="9.625" style="30" customWidth="1"/>
    <col min="2763" max="2764" width="9" style="30" customWidth="1"/>
    <col min="2765" max="2765" width="12.625" style="30" customWidth="1"/>
    <col min="2766" max="2766" width="11" style="30" customWidth="1"/>
    <col min="2767" max="2767" width="11.75" style="30" bestFit="1" customWidth="1"/>
    <col min="2768" max="2768" width="11.875" style="30" customWidth="1"/>
    <col min="2769" max="2770" width="9" style="30" customWidth="1"/>
    <col min="2771" max="2771" width="12.25" style="30" customWidth="1"/>
    <col min="2772" max="2772" width="10.875" style="30" customWidth="1"/>
    <col min="2773" max="2773" width="9" style="30" customWidth="1"/>
    <col min="2774" max="2774" width="10.875" style="30" customWidth="1"/>
    <col min="2775" max="2775" width="10.5" style="30" customWidth="1"/>
    <col min="2776" max="2777" width="9" style="30" customWidth="1"/>
    <col min="2778" max="2778" width="12.625" style="30" customWidth="1"/>
    <col min="2779" max="2780" width="9" style="30" customWidth="1"/>
    <col min="2781" max="2781" width="12" style="30" customWidth="1"/>
    <col min="2782" max="2798" width="9" style="30" customWidth="1"/>
    <col min="2799" max="2799" width="12.375" style="30" customWidth="1"/>
    <col min="2800" max="2800" width="12.5" style="30" customWidth="1"/>
    <col min="2801" max="2801" width="11.875" style="30" customWidth="1"/>
    <col min="2802" max="2802" width="11.625" style="30" customWidth="1"/>
    <col min="2803" max="2803" width="12.125" style="30" customWidth="1"/>
    <col min="2804" max="2805" width="10.5" style="30" bestFit="1" customWidth="1"/>
    <col min="2806" max="2806" width="10.625" style="30" bestFit="1" customWidth="1"/>
    <col min="2807" max="2814" width="10.5" style="30" bestFit="1" customWidth="1"/>
    <col min="2815" max="2815" width="10.5" style="30" customWidth="1"/>
    <col min="2816" max="2816" width="10.5" style="30" bestFit="1" customWidth="1"/>
    <col min="2817" max="2817" width="11.5" style="30" customWidth="1"/>
    <col min="2818" max="2818" width="9.5" style="30" bestFit="1" customWidth="1"/>
    <col min="2819" max="2829" width="10.5" style="30" bestFit="1" customWidth="1"/>
    <col min="2830" max="2830" width="12.75" style="30" bestFit="1" customWidth="1"/>
    <col min="2831" max="2835" width="10.5" style="30" bestFit="1" customWidth="1"/>
    <col min="2836" max="2837" width="9.375" style="30"/>
    <col min="2838" max="2838" width="8.5" style="30" customWidth="1"/>
    <col min="2839" max="2839" width="8" style="30" customWidth="1"/>
    <col min="2840" max="2840" width="21.25" style="30" customWidth="1"/>
    <col min="2841" max="2841" width="16.25" style="30" customWidth="1"/>
    <col min="2842" max="2842" width="11.625" style="30" customWidth="1"/>
    <col min="2843" max="2843" width="13.625" style="30" customWidth="1"/>
    <col min="2844" max="2844" width="12.875" style="30" customWidth="1"/>
    <col min="2845" max="2845" width="15.5" style="30" customWidth="1"/>
    <col min="2846" max="2847" width="13.375" style="30" customWidth="1"/>
    <col min="2848" max="2848" width="14.375" style="30" customWidth="1"/>
    <col min="2849" max="2849" width="11.875" style="30" customWidth="1"/>
    <col min="2850" max="2851" width="14.25" style="30" customWidth="1"/>
    <col min="2852" max="2852" width="8.625" style="30" customWidth="1"/>
    <col min="2853" max="2853" width="10.625" style="30" customWidth="1"/>
    <col min="2854" max="2854" width="9.875" style="30" customWidth="1"/>
    <col min="2855" max="2855" width="14" style="30" customWidth="1"/>
    <col min="2856" max="2856" width="10.875" style="30" customWidth="1"/>
    <col min="2857" max="2857" width="12.375" style="30" customWidth="1"/>
    <col min="2858" max="2858" width="12" style="30" customWidth="1"/>
    <col min="2859" max="2859" width="13.625" style="30" customWidth="1"/>
    <col min="2860" max="2860" width="10" style="30" customWidth="1"/>
    <col min="2861" max="2861" width="9.625" style="30" customWidth="1"/>
    <col min="2862" max="2862" width="11.75" style="30" customWidth="1"/>
    <col min="2863" max="2863" width="11.375" style="30" customWidth="1"/>
    <col min="2864" max="2864" width="12.875" style="30" customWidth="1"/>
    <col min="2865" max="2865" width="13" style="30" customWidth="1"/>
    <col min="2866" max="2866" width="8.875" style="30" customWidth="1"/>
    <col min="2867" max="2867" width="13.125" style="30" customWidth="1"/>
    <col min="2868" max="2868" width="9.625" style="30" customWidth="1"/>
    <col min="2869" max="2869" width="12.875" style="30" customWidth="1"/>
    <col min="2870" max="2870" width="11.5" style="30" customWidth="1"/>
    <col min="2871" max="2871" width="9.75" style="30" customWidth="1"/>
    <col min="2872" max="2872" width="13.375" style="30" customWidth="1"/>
    <col min="2873" max="2873" width="12.125" style="30" customWidth="1"/>
    <col min="2874" max="2874" width="10.25" style="30" customWidth="1"/>
    <col min="2875" max="2875" width="11.625" style="30" bestFit="1" customWidth="1"/>
    <col min="2876" max="2876" width="9.875" style="30" customWidth="1"/>
    <col min="2877" max="2877" width="13.375" style="30" customWidth="1"/>
    <col min="2878" max="2878" width="11.5" style="30" customWidth="1"/>
    <col min="2879" max="2879" width="12" style="30" customWidth="1"/>
    <col min="2880" max="2880" width="9.125" style="30" customWidth="1"/>
    <col min="2881" max="2881" width="9" style="30" customWidth="1"/>
    <col min="2882" max="2882" width="12.875" style="30" bestFit="1" customWidth="1"/>
    <col min="2883" max="2884" width="12" style="30" customWidth="1"/>
    <col min="2885" max="2885" width="11.875" style="30" customWidth="1"/>
    <col min="2886" max="2886" width="11" style="30" customWidth="1"/>
    <col min="2887" max="2887" width="11.625" style="30" customWidth="1"/>
    <col min="2888" max="2888" width="8.875" style="30" customWidth="1"/>
    <col min="2889" max="2889" width="11.625" style="30" bestFit="1" customWidth="1"/>
    <col min="2890" max="2890" width="9.625" style="30" customWidth="1"/>
    <col min="2891" max="2891" width="12.125" style="30" customWidth="1"/>
    <col min="2892" max="2892" width="11.875" style="30" customWidth="1"/>
    <col min="2893" max="2893" width="13.375" style="30" customWidth="1"/>
    <col min="2894" max="2894" width="11.5" style="30" customWidth="1"/>
    <col min="2895" max="2895" width="9.25" style="30" customWidth="1"/>
    <col min="2896" max="2896" width="11.625" style="30" bestFit="1" customWidth="1"/>
    <col min="2897" max="2897" width="10.625" style="30" customWidth="1"/>
    <col min="2898" max="2898" width="12" style="30" customWidth="1"/>
    <col min="2899" max="2899" width="11.625" style="30" customWidth="1"/>
    <col min="2900" max="2900" width="14" style="30" customWidth="1"/>
    <col min="2901" max="2901" width="11.125" style="30" customWidth="1"/>
    <col min="2902" max="2902" width="9.75" style="30" customWidth="1"/>
    <col min="2903" max="2903" width="11.625" style="30" bestFit="1" customWidth="1"/>
    <col min="2904" max="2904" width="10.125" style="30" customWidth="1"/>
    <col min="2905" max="2905" width="11.625" style="30" customWidth="1"/>
    <col min="2906" max="2906" width="11.375" style="30" customWidth="1"/>
    <col min="2907" max="2907" width="12.375" style="30" customWidth="1"/>
    <col min="2908" max="2909" width="10.875" style="30" customWidth="1"/>
    <col min="2910" max="2910" width="10.5" style="30" bestFit="1" customWidth="1"/>
    <col min="2911" max="2911" width="9.625" style="30" customWidth="1"/>
    <col min="2912" max="2912" width="11.875" style="30" customWidth="1"/>
    <col min="2913" max="2913" width="11.75" style="30" customWidth="1"/>
    <col min="2914" max="2914" width="14.125" style="30" customWidth="1"/>
    <col min="2915" max="2915" width="13.125" style="30" customWidth="1"/>
    <col min="2916" max="2916" width="8.75" style="30" customWidth="1"/>
    <col min="2917" max="2917" width="11.5" style="30" bestFit="1" customWidth="1"/>
    <col min="2918" max="2918" width="9.625" style="30" customWidth="1"/>
    <col min="2919" max="2919" width="13.625" style="30" customWidth="1"/>
    <col min="2920" max="2920" width="11.5" style="30" customWidth="1"/>
    <col min="2921" max="2921" width="11.75" style="30" customWidth="1"/>
    <col min="2922" max="2922" width="9.875" style="30" customWidth="1"/>
    <col min="2923" max="2923" width="9" style="30" customWidth="1"/>
    <col min="2924" max="2924" width="9.625" style="30" bestFit="1" customWidth="1"/>
    <col min="2925" max="2925" width="12.625" style="30" customWidth="1"/>
    <col min="2926" max="2926" width="12.375" style="30" customWidth="1"/>
    <col min="2927" max="2927" width="11.625" style="30" customWidth="1"/>
    <col min="2928" max="2929" width="14.125" style="30" customWidth="1"/>
    <col min="2930" max="2930" width="9.125" style="30" customWidth="1"/>
    <col min="2931" max="2931" width="10.5" style="30" bestFit="1" customWidth="1"/>
    <col min="2932" max="2932" width="9.625" style="30" customWidth="1"/>
    <col min="2933" max="2933" width="14.25" style="30" customWidth="1"/>
    <col min="2934" max="2934" width="11.875" style="30" customWidth="1"/>
    <col min="2935" max="2935" width="11" style="30" customWidth="1"/>
    <col min="2936" max="2936" width="11.75" style="30" customWidth="1"/>
    <col min="2937" max="2937" width="11.25" style="30" customWidth="1"/>
    <col min="2938" max="2938" width="9.625" style="30" bestFit="1" customWidth="1"/>
    <col min="2939" max="2939" width="9.625" style="30" customWidth="1"/>
    <col min="2940" max="2940" width="14.125" style="30" customWidth="1"/>
    <col min="2941" max="2941" width="11.125" style="30" customWidth="1"/>
    <col min="2942" max="2942" width="11.25" style="30" customWidth="1"/>
    <col min="2943" max="2943" width="12" style="30" customWidth="1"/>
    <col min="2944" max="2944" width="8.75" style="30" customWidth="1"/>
    <col min="2945" max="2945" width="9.625" style="30" bestFit="1" customWidth="1"/>
    <col min="2946" max="2946" width="9.625" style="30" customWidth="1"/>
    <col min="2947" max="2948" width="11.25" style="30" customWidth="1"/>
    <col min="2949" max="2949" width="12" style="30" customWidth="1"/>
    <col min="2950" max="2951" width="10.625" style="30" customWidth="1"/>
    <col min="2952" max="2952" width="11" style="30" customWidth="1"/>
    <col min="2953" max="2953" width="10.625" style="30" customWidth="1"/>
    <col min="2954" max="2954" width="12.375" style="30" customWidth="1"/>
    <col min="2955" max="2955" width="12" style="30" customWidth="1"/>
    <col min="2956" max="2956" width="11.625" style="30" customWidth="1"/>
    <col min="2957" max="2957" width="10.5" style="30" customWidth="1"/>
    <col min="2958" max="2958" width="8.625" style="30" customWidth="1"/>
    <col min="2959" max="2959" width="11.25" style="30" customWidth="1"/>
    <col min="2960" max="2960" width="9.875" style="30" customWidth="1"/>
    <col min="2961" max="2961" width="11.125" style="30" customWidth="1"/>
    <col min="2962" max="2962" width="11.625" style="30" customWidth="1"/>
    <col min="2963" max="2963" width="12.625" style="30" customWidth="1"/>
    <col min="2964" max="2964" width="11.5" style="30" customWidth="1"/>
    <col min="2965" max="2965" width="9.375" style="30"/>
    <col min="2966" max="2966" width="13.125" style="30" customWidth="1"/>
    <col min="2967" max="2967" width="9.5" style="30" customWidth="1"/>
    <col min="2968" max="2968" width="11.625" style="30" customWidth="1"/>
    <col min="2969" max="2969" width="11.5" style="30" customWidth="1"/>
    <col min="2970" max="2970" width="9.625" style="30" customWidth="1"/>
    <col min="2971" max="2971" width="9.25" style="30" customWidth="1"/>
    <col min="2972" max="2972" width="8.75" style="30" customWidth="1"/>
    <col min="2973" max="2973" width="9" style="30" customWidth="1"/>
    <col min="2974" max="2974" width="8.625" style="30" customWidth="1"/>
    <col min="2975" max="2975" width="11.125" style="30" customWidth="1"/>
    <col min="2976" max="2976" width="11.25" style="30" customWidth="1"/>
    <col min="2977" max="2977" width="11.5" style="30" customWidth="1"/>
    <col min="2978" max="2979" width="9" style="30" customWidth="1"/>
    <col min="2980" max="2980" width="9.875" style="30" customWidth="1"/>
    <col min="2981" max="2981" width="9.25" style="30" customWidth="1"/>
    <col min="2982" max="2982" width="11.125" style="30" customWidth="1"/>
    <col min="2983" max="2983" width="11.375" style="30" customWidth="1"/>
    <col min="2984" max="2984" width="10.875" style="30" customWidth="1"/>
    <col min="2985" max="2985" width="8.375" style="30" customWidth="1"/>
    <col min="2986" max="2986" width="9.125" style="30" customWidth="1"/>
    <col min="2987" max="2988" width="9" style="30" customWidth="1"/>
    <col min="2989" max="2989" width="10.75" style="30" customWidth="1"/>
    <col min="2990" max="2990" width="10.625" style="30" customWidth="1"/>
    <col min="2991" max="2991" width="10.25" style="30" customWidth="1"/>
    <col min="2992" max="2992" width="8.125" style="30" customWidth="1"/>
    <col min="2993" max="2995" width="9" style="30" customWidth="1"/>
    <col min="2996" max="2996" width="11.375" style="30" customWidth="1"/>
    <col min="2997" max="2997" width="11.125" style="30" customWidth="1"/>
    <col min="2998" max="2998" width="14.5" style="30" customWidth="1"/>
    <col min="2999" max="2999" width="10.875" style="30" customWidth="1"/>
    <col min="3000" max="3000" width="8.5" style="30" customWidth="1"/>
    <col min="3001" max="3001" width="10.375" style="30" customWidth="1"/>
    <col min="3002" max="3002" width="9" style="30" customWidth="1"/>
    <col min="3003" max="3003" width="12" style="30" customWidth="1"/>
    <col min="3004" max="3011" width="10.875" style="30" customWidth="1"/>
    <col min="3012" max="3012" width="10.5" style="30" customWidth="1"/>
    <col min="3013" max="3013" width="11.875" style="30" customWidth="1"/>
    <col min="3014" max="3014" width="10.875" style="30" customWidth="1"/>
    <col min="3015" max="3016" width="9" style="30" customWidth="1"/>
    <col min="3017" max="3017" width="12.125" style="30" customWidth="1"/>
    <col min="3018" max="3018" width="9.625" style="30" customWidth="1"/>
    <col min="3019" max="3020" width="9" style="30" customWidth="1"/>
    <col min="3021" max="3021" width="12.625" style="30" customWidth="1"/>
    <col min="3022" max="3022" width="11" style="30" customWidth="1"/>
    <col min="3023" max="3023" width="11.75" style="30" bestFit="1" customWidth="1"/>
    <col min="3024" max="3024" width="11.875" style="30" customWidth="1"/>
    <col min="3025" max="3026" width="9" style="30" customWidth="1"/>
    <col min="3027" max="3027" width="12.25" style="30" customWidth="1"/>
    <col min="3028" max="3028" width="10.875" style="30" customWidth="1"/>
    <col min="3029" max="3029" width="9" style="30" customWidth="1"/>
    <col min="3030" max="3030" width="10.875" style="30" customWidth="1"/>
    <col min="3031" max="3031" width="10.5" style="30" customWidth="1"/>
    <col min="3032" max="3033" width="9" style="30" customWidth="1"/>
    <col min="3034" max="3034" width="12.625" style="30" customWidth="1"/>
    <col min="3035" max="3036" width="9" style="30" customWidth="1"/>
    <col min="3037" max="3037" width="12" style="30" customWidth="1"/>
    <col min="3038" max="3054" width="9" style="30" customWidth="1"/>
    <col min="3055" max="3055" width="12.375" style="30" customWidth="1"/>
    <col min="3056" max="3056" width="12.5" style="30" customWidth="1"/>
    <col min="3057" max="3057" width="11.875" style="30" customWidth="1"/>
    <col min="3058" max="3058" width="11.625" style="30" customWidth="1"/>
    <col min="3059" max="3059" width="12.125" style="30" customWidth="1"/>
    <col min="3060" max="3061" width="10.5" style="30" bestFit="1" customWidth="1"/>
    <col min="3062" max="3062" width="10.625" style="30" bestFit="1" customWidth="1"/>
    <col min="3063" max="3070" width="10.5" style="30" bestFit="1" customWidth="1"/>
    <col min="3071" max="3071" width="10.5" style="30" customWidth="1"/>
    <col min="3072" max="3072" width="10.5" style="30" bestFit="1" customWidth="1"/>
    <col min="3073" max="3073" width="11.5" style="30" customWidth="1"/>
    <col min="3074" max="3074" width="9.5" style="30" bestFit="1" customWidth="1"/>
    <col min="3075" max="3085" width="10.5" style="30" bestFit="1" customWidth="1"/>
    <col min="3086" max="3086" width="12.75" style="30" bestFit="1" customWidth="1"/>
    <col min="3087" max="3091" width="10.5" style="30" bestFit="1" customWidth="1"/>
    <col min="3092" max="3093" width="9.375" style="30"/>
    <col min="3094" max="3094" width="8.5" style="30" customWidth="1"/>
    <col min="3095" max="3095" width="8" style="30" customWidth="1"/>
    <col min="3096" max="3096" width="21.25" style="30" customWidth="1"/>
    <col min="3097" max="3097" width="16.25" style="30" customWidth="1"/>
    <col min="3098" max="3098" width="11.625" style="30" customWidth="1"/>
    <col min="3099" max="3099" width="13.625" style="30" customWidth="1"/>
    <col min="3100" max="3100" width="12.875" style="30" customWidth="1"/>
    <col min="3101" max="3101" width="15.5" style="30" customWidth="1"/>
    <col min="3102" max="3103" width="13.375" style="30" customWidth="1"/>
    <col min="3104" max="3104" width="14.375" style="30" customWidth="1"/>
    <col min="3105" max="3105" width="11.875" style="30" customWidth="1"/>
    <col min="3106" max="3107" width="14.25" style="30" customWidth="1"/>
    <col min="3108" max="3108" width="8.625" style="30" customWidth="1"/>
    <col min="3109" max="3109" width="10.625" style="30" customWidth="1"/>
    <col min="3110" max="3110" width="9.875" style="30" customWidth="1"/>
    <col min="3111" max="3111" width="14" style="30" customWidth="1"/>
    <col min="3112" max="3112" width="10.875" style="30" customWidth="1"/>
    <col min="3113" max="3113" width="12.375" style="30" customWidth="1"/>
    <col min="3114" max="3114" width="12" style="30" customWidth="1"/>
    <col min="3115" max="3115" width="13.625" style="30" customWidth="1"/>
    <col min="3116" max="3116" width="10" style="30" customWidth="1"/>
    <col min="3117" max="3117" width="9.625" style="30" customWidth="1"/>
    <col min="3118" max="3118" width="11.75" style="30" customWidth="1"/>
    <col min="3119" max="3119" width="11.375" style="30" customWidth="1"/>
    <col min="3120" max="3120" width="12.875" style="30" customWidth="1"/>
    <col min="3121" max="3121" width="13" style="30" customWidth="1"/>
    <col min="3122" max="3122" width="8.875" style="30" customWidth="1"/>
    <col min="3123" max="3123" width="13.125" style="30" customWidth="1"/>
    <col min="3124" max="3124" width="9.625" style="30" customWidth="1"/>
    <col min="3125" max="3125" width="12.875" style="30" customWidth="1"/>
    <col min="3126" max="3126" width="11.5" style="30" customWidth="1"/>
    <col min="3127" max="3127" width="9.75" style="30" customWidth="1"/>
    <col min="3128" max="3128" width="13.375" style="30" customWidth="1"/>
    <col min="3129" max="3129" width="12.125" style="30" customWidth="1"/>
    <col min="3130" max="3130" width="10.25" style="30" customWidth="1"/>
    <col min="3131" max="3131" width="11.625" style="30" bestFit="1" customWidth="1"/>
    <col min="3132" max="3132" width="9.875" style="30" customWidth="1"/>
    <col min="3133" max="3133" width="13.375" style="30" customWidth="1"/>
    <col min="3134" max="3134" width="11.5" style="30" customWidth="1"/>
    <col min="3135" max="3135" width="12" style="30" customWidth="1"/>
    <col min="3136" max="3136" width="9.125" style="30" customWidth="1"/>
    <col min="3137" max="3137" width="9" style="30" customWidth="1"/>
    <col min="3138" max="3138" width="12.875" style="30" bestFit="1" customWidth="1"/>
    <col min="3139" max="3140" width="12" style="30" customWidth="1"/>
    <col min="3141" max="3141" width="11.875" style="30" customWidth="1"/>
    <col min="3142" max="3142" width="11" style="30" customWidth="1"/>
    <col min="3143" max="3143" width="11.625" style="30" customWidth="1"/>
    <col min="3144" max="3144" width="8.875" style="30" customWidth="1"/>
    <col min="3145" max="3145" width="11.625" style="30" bestFit="1" customWidth="1"/>
    <col min="3146" max="3146" width="9.625" style="30" customWidth="1"/>
    <col min="3147" max="3147" width="12.125" style="30" customWidth="1"/>
    <col min="3148" max="3148" width="11.875" style="30" customWidth="1"/>
    <col min="3149" max="3149" width="13.375" style="30" customWidth="1"/>
    <col min="3150" max="3150" width="11.5" style="30" customWidth="1"/>
    <col min="3151" max="3151" width="9.25" style="30" customWidth="1"/>
    <col min="3152" max="3152" width="11.625" style="30" bestFit="1" customWidth="1"/>
    <col min="3153" max="3153" width="10.625" style="30" customWidth="1"/>
    <col min="3154" max="3154" width="12" style="30" customWidth="1"/>
    <col min="3155" max="3155" width="11.625" style="30" customWidth="1"/>
    <col min="3156" max="3156" width="14" style="30" customWidth="1"/>
    <col min="3157" max="3157" width="11.125" style="30" customWidth="1"/>
    <col min="3158" max="3158" width="9.75" style="30" customWidth="1"/>
    <col min="3159" max="3159" width="11.625" style="30" bestFit="1" customWidth="1"/>
    <col min="3160" max="3160" width="10.125" style="30" customWidth="1"/>
    <col min="3161" max="3161" width="11.625" style="30" customWidth="1"/>
    <col min="3162" max="3162" width="11.375" style="30" customWidth="1"/>
    <col min="3163" max="3163" width="12.375" style="30" customWidth="1"/>
    <col min="3164" max="3165" width="10.875" style="30" customWidth="1"/>
    <col min="3166" max="3166" width="10.5" style="30" bestFit="1" customWidth="1"/>
    <col min="3167" max="3167" width="9.625" style="30" customWidth="1"/>
    <col min="3168" max="3168" width="11.875" style="30" customWidth="1"/>
    <col min="3169" max="3169" width="11.75" style="30" customWidth="1"/>
    <col min="3170" max="3170" width="14.125" style="30" customWidth="1"/>
    <col min="3171" max="3171" width="13.125" style="30" customWidth="1"/>
    <col min="3172" max="3172" width="8.75" style="30" customWidth="1"/>
    <col min="3173" max="3173" width="11.5" style="30" bestFit="1" customWidth="1"/>
    <col min="3174" max="3174" width="9.625" style="30" customWidth="1"/>
    <col min="3175" max="3175" width="13.625" style="30" customWidth="1"/>
    <col min="3176" max="3176" width="11.5" style="30" customWidth="1"/>
    <col min="3177" max="3177" width="11.75" style="30" customWidth="1"/>
    <col min="3178" max="3178" width="9.875" style="30" customWidth="1"/>
    <col min="3179" max="3179" width="9" style="30" customWidth="1"/>
    <col min="3180" max="3180" width="9.625" style="30" bestFit="1" customWidth="1"/>
    <col min="3181" max="3181" width="12.625" style="30" customWidth="1"/>
    <col min="3182" max="3182" width="12.375" style="30" customWidth="1"/>
    <col min="3183" max="3183" width="11.625" style="30" customWidth="1"/>
    <col min="3184" max="3185" width="14.125" style="30" customWidth="1"/>
    <col min="3186" max="3186" width="9.125" style="30" customWidth="1"/>
    <col min="3187" max="3187" width="10.5" style="30" bestFit="1" customWidth="1"/>
    <col min="3188" max="3188" width="9.625" style="30" customWidth="1"/>
    <col min="3189" max="3189" width="14.25" style="30" customWidth="1"/>
    <col min="3190" max="3190" width="11.875" style="30" customWidth="1"/>
    <col min="3191" max="3191" width="11" style="30" customWidth="1"/>
    <col min="3192" max="3192" width="11.75" style="30" customWidth="1"/>
    <col min="3193" max="3193" width="11.25" style="30" customWidth="1"/>
    <col min="3194" max="3194" width="9.625" style="30" bestFit="1" customWidth="1"/>
    <col min="3195" max="3195" width="9.625" style="30" customWidth="1"/>
    <col min="3196" max="3196" width="14.125" style="30" customWidth="1"/>
    <col min="3197" max="3197" width="11.125" style="30" customWidth="1"/>
    <col min="3198" max="3198" width="11.25" style="30" customWidth="1"/>
    <col min="3199" max="3199" width="12" style="30" customWidth="1"/>
    <col min="3200" max="3200" width="8.75" style="30" customWidth="1"/>
    <col min="3201" max="3201" width="9.625" style="30" bestFit="1" customWidth="1"/>
    <col min="3202" max="3202" width="9.625" style="30" customWidth="1"/>
    <col min="3203" max="3204" width="11.25" style="30" customWidth="1"/>
    <col min="3205" max="3205" width="12" style="30" customWidth="1"/>
    <col min="3206" max="3207" width="10.625" style="30" customWidth="1"/>
    <col min="3208" max="3208" width="11" style="30" customWidth="1"/>
    <col min="3209" max="3209" width="10.625" style="30" customWidth="1"/>
    <col min="3210" max="3210" width="12.375" style="30" customWidth="1"/>
    <col min="3211" max="3211" width="12" style="30" customWidth="1"/>
    <col min="3212" max="3212" width="11.625" style="30" customWidth="1"/>
    <col min="3213" max="3213" width="10.5" style="30" customWidth="1"/>
    <col min="3214" max="3214" width="8.625" style="30" customWidth="1"/>
    <col min="3215" max="3215" width="11.25" style="30" customWidth="1"/>
    <col min="3216" max="3216" width="9.875" style="30" customWidth="1"/>
    <col min="3217" max="3217" width="11.125" style="30" customWidth="1"/>
    <col min="3218" max="3218" width="11.625" style="30" customWidth="1"/>
    <col min="3219" max="3219" width="12.625" style="30" customWidth="1"/>
    <col min="3220" max="3220" width="11.5" style="30" customWidth="1"/>
    <col min="3221" max="3221" width="9.375" style="30"/>
    <col min="3222" max="3222" width="13.125" style="30" customWidth="1"/>
    <col min="3223" max="3223" width="9.5" style="30" customWidth="1"/>
    <col min="3224" max="3224" width="11.625" style="30" customWidth="1"/>
    <col min="3225" max="3225" width="11.5" style="30" customWidth="1"/>
    <col min="3226" max="3226" width="9.625" style="30" customWidth="1"/>
    <col min="3227" max="3227" width="9.25" style="30" customWidth="1"/>
    <col min="3228" max="3228" width="8.75" style="30" customWidth="1"/>
    <col min="3229" max="3229" width="9" style="30" customWidth="1"/>
    <col min="3230" max="3230" width="8.625" style="30" customWidth="1"/>
    <col min="3231" max="3231" width="11.125" style="30" customWidth="1"/>
    <col min="3232" max="3232" width="11.25" style="30" customWidth="1"/>
    <col min="3233" max="3233" width="11.5" style="30" customWidth="1"/>
    <col min="3234" max="3235" width="9" style="30" customWidth="1"/>
    <col min="3236" max="3236" width="9.875" style="30" customWidth="1"/>
    <col min="3237" max="3237" width="9.25" style="30" customWidth="1"/>
    <col min="3238" max="3238" width="11.125" style="30" customWidth="1"/>
    <col min="3239" max="3239" width="11.375" style="30" customWidth="1"/>
    <col min="3240" max="3240" width="10.875" style="30" customWidth="1"/>
    <col min="3241" max="3241" width="8.375" style="30" customWidth="1"/>
    <col min="3242" max="3242" width="9.125" style="30" customWidth="1"/>
    <col min="3243" max="3244" width="9" style="30" customWidth="1"/>
    <col min="3245" max="3245" width="10.75" style="30" customWidth="1"/>
    <col min="3246" max="3246" width="10.625" style="30" customWidth="1"/>
    <col min="3247" max="3247" width="10.25" style="30" customWidth="1"/>
    <col min="3248" max="3248" width="8.125" style="30" customWidth="1"/>
    <col min="3249" max="3251" width="9" style="30" customWidth="1"/>
    <col min="3252" max="3252" width="11.375" style="30" customWidth="1"/>
    <col min="3253" max="3253" width="11.125" style="30" customWidth="1"/>
    <col min="3254" max="3254" width="14.5" style="30" customWidth="1"/>
    <col min="3255" max="3255" width="10.875" style="30" customWidth="1"/>
    <col min="3256" max="3256" width="8.5" style="30" customWidth="1"/>
    <col min="3257" max="3257" width="10.375" style="30" customWidth="1"/>
    <col min="3258" max="3258" width="9" style="30" customWidth="1"/>
    <col min="3259" max="3259" width="12" style="30" customWidth="1"/>
    <col min="3260" max="3267" width="10.875" style="30" customWidth="1"/>
    <col min="3268" max="3268" width="10.5" style="30" customWidth="1"/>
    <col min="3269" max="3269" width="11.875" style="30" customWidth="1"/>
    <col min="3270" max="3270" width="10.875" style="30" customWidth="1"/>
    <col min="3271" max="3272" width="9" style="30" customWidth="1"/>
    <col min="3273" max="3273" width="12.125" style="30" customWidth="1"/>
    <col min="3274" max="3274" width="9.625" style="30" customWidth="1"/>
    <col min="3275" max="3276" width="9" style="30" customWidth="1"/>
    <col min="3277" max="3277" width="12.625" style="30" customWidth="1"/>
    <col min="3278" max="3278" width="11" style="30" customWidth="1"/>
    <col min="3279" max="3279" width="11.75" style="30" bestFit="1" customWidth="1"/>
    <col min="3280" max="3280" width="11.875" style="30" customWidth="1"/>
    <col min="3281" max="3282" width="9" style="30" customWidth="1"/>
    <col min="3283" max="3283" width="12.25" style="30" customWidth="1"/>
    <col min="3284" max="3284" width="10.875" style="30" customWidth="1"/>
    <col min="3285" max="3285" width="9" style="30" customWidth="1"/>
    <col min="3286" max="3286" width="10.875" style="30" customWidth="1"/>
    <col min="3287" max="3287" width="10.5" style="30" customWidth="1"/>
    <col min="3288" max="3289" width="9" style="30" customWidth="1"/>
    <col min="3290" max="3290" width="12.625" style="30" customWidth="1"/>
    <col min="3291" max="3292" width="9" style="30" customWidth="1"/>
    <col min="3293" max="3293" width="12" style="30" customWidth="1"/>
    <col min="3294" max="3310" width="9" style="30" customWidth="1"/>
    <col min="3311" max="3311" width="12.375" style="30" customWidth="1"/>
    <col min="3312" max="3312" width="12.5" style="30" customWidth="1"/>
    <col min="3313" max="3313" width="11.875" style="30" customWidth="1"/>
    <col min="3314" max="3314" width="11.625" style="30" customWidth="1"/>
    <col min="3315" max="3315" width="12.125" style="30" customWidth="1"/>
    <col min="3316" max="3317" width="10.5" style="30" bestFit="1" customWidth="1"/>
    <col min="3318" max="3318" width="10.625" style="30" bestFit="1" customWidth="1"/>
    <col min="3319" max="3326" width="10.5" style="30" bestFit="1" customWidth="1"/>
    <col min="3327" max="3327" width="10.5" style="30" customWidth="1"/>
    <col min="3328" max="3328" width="10.5" style="30" bestFit="1" customWidth="1"/>
    <col min="3329" max="3329" width="11.5" style="30" customWidth="1"/>
    <col min="3330" max="3330" width="9.5" style="30" bestFit="1" customWidth="1"/>
    <col min="3331" max="3341" width="10.5" style="30" bestFit="1" customWidth="1"/>
    <col min="3342" max="3342" width="12.75" style="30" bestFit="1" customWidth="1"/>
    <col min="3343" max="3347" width="10.5" style="30" bestFit="1" customWidth="1"/>
    <col min="3348" max="3349" width="9.375" style="30"/>
    <col min="3350" max="3350" width="8.5" style="30" customWidth="1"/>
    <col min="3351" max="3351" width="8" style="30" customWidth="1"/>
    <col min="3352" max="3352" width="21.25" style="30" customWidth="1"/>
    <col min="3353" max="3353" width="16.25" style="30" customWidth="1"/>
    <col min="3354" max="3354" width="11.625" style="30" customWidth="1"/>
    <col min="3355" max="3355" width="13.625" style="30" customWidth="1"/>
    <col min="3356" max="3356" width="12.875" style="30" customWidth="1"/>
    <col min="3357" max="3357" width="15.5" style="30" customWidth="1"/>
    <col min="3358" max="3359" width="13.375" style="30" customWidth="1"/>
    <col min="3360" max="3360" width="14.375" style="30" customWidth="1"/>
    <col min="3361" max="3361" width="11.875" style="30" customWidth="1"/>
    <col min="3362" max="3363" width="14.25" style="30" customWidth="1"/>
    <col min="3364" max="3364" width="8.625" style="30" customWidth="1"/>
    <col min="3365" max="3365" width="10.625" style="30" customWidth="1"/>
    <col min="3366" max="3366" width="9.875" style="30" customWidth="1"/>
    <col min="3367" max="3367" width="14" style="30" customWidth="1"/>
    <col min="3368" max="3368" width="10.875" style="30" customWidth="1"/>
    <col min="3369" max="3369" width="12.375" style="30" customWidth="1"/>
    <col min="3370" max="3370" width="12" style="30" customWidth="1"/>
    <col min="3371" max="3371" width="13.625" style="30" customWidth="1"/>
    <col min="3372" max="3372" width="10" style="30" customWidth="1"/>
    <col min="3373" max="3373" width="9.625" style="30" customWidth="1"/>
    <col min="3374" max="3374" width="11.75" style="30" customWidth="1"/>
    <col min="3375" max="3375" width="11.375" style="30" customWidth="1"/>
    <col min="3376" max="3376" width="12.875" style="30" customWidth="1"/>
    <col min="3377" max="3377" width="13" style="30" customWidth="1"/>
    <col min="3378" max="3378" width="8.875" style="30" customWidth="1"/>
    <col min="3379" max="3379" width="13.125" style="30" customWidth="1"/>
    <col min="3380" max="3380" width="9.625" style="30" customWidth="1"/>
    <col min="3381" max="3381" width="12.875" style="30" customWidth="1"/>
    <col min="3382" max="3382" width="11.5" style="30" customWidth="1"/>
    <col min="3383" max="3383" width="9.75" style="30" customWidth="1"/>
    <col min="3384" max="3384" width="13.375" style="30" customWidth="1"/>
    <col min="3385" max="3385" width="12.125" style="30" customWidth="1"/>
    <col min="3386" max="3386" width="10.25" style="30" customWidth="1"/>
    <col min="3387" max="3387" width="11.625" style="30" bestFit="1" customWidth="1"/>
    <col min="3388" max="3388" width="9.875" style="30" customWidth="1"/>
    <col min="3389" max="3389" width="13.375" style="30" customWidth="1"/>
    <col min="3390" max="3390" width="11.5" style="30" customWidth="1"/>
    <col min="3391" max="3391" width="12" style="30" customWidth="1"/>
    <col min="3392" max="3392" width="9.125" style="30" customWidth="1"/>
    <col min="3393" max="3393" width="9" style="30" customWidth="1"/>
    <col min="3394" max="3394" width="12.875" style="30" bestFit="1" customWidth="1"/>
    <col min="3395" max="3396" width="12" style="30" customWidth="1"/>
    <col min="3397" max="3397" width="11.875" style="30" customWidth="1"/>
    <col min="3398" max="3398" width="11" style="30" customWidth="1"/>
    <col min="3399" max="3399" width="11.625" style="30" customWidth="1"/>
    <col min="3400" max="3400" width="8.875" style="30" customWidth="1"/>
    <col min="3401" max="3401" width="11.625" style="30" bestFit="1" customWidth="1"/>
    <col min="3402" max="3402" width="9.625" style="30" customWidth="1"/>
    <col min="3403" max="3403" width="12.125" style="30" customWidth="1"/>
    <col min="3404" max="3404" width="11.875" style="30" customWidth="1"/>
    <col min="3405" max="3405" width="13.375" style="30" customWidth="1"/>
    <col min="3406" max="3406" width="11.5" style="30" customWidth="1"/>
    <col min="3407" max="3407" width="9.25" style="30" customWidth="1"/>
    <col min="3408" max="3408" width="11.625" style="30" bestFit="1" customWidth="1"/>
    <col min="3409" max="3409" width="10.625" style="30" customWidth="1"/>
    <col min="3410" max="3410" width="12" style="30" customWidth="1"/>
    <col min="3411" max="3411" width="11.625" style="30" customWidth="1"/>
    <col min="3412" max="3412" width="14" style="30" customWidth="1"/>
    <col min="3413" max="3413" width="11.125" style="30" customWidth="1"/>
    <col min="3414" max="3414" width="9.75" style="30" customWidth="1"/>
    <col min="3415" max="3415" width="11.625" style="30" bestFit="1" customWidth="1"/>
    <col min="3416" max="3416" width="10.125" style="30" customWidth="1"/>
    <col min="3417" max="3417" width="11.625" style="30" customWidth="1"/>
    <col min="3418" max="3418" width="11.375" style="30" customWidth="1"/>
    <col min="3419" max="3419" width="12.375" style="30" customWidth="1"/>
    <col min="3420" max="3421" width="10.875" style="30" customWidth="1"/>
    <col min="3422" max="3422" width="10.5" style="30" bestFit="1" customWidth="1"/>
    <col min="3423" max="3423" width="9.625" style="30" customWidth="1"/>
    <col min="3424" max="3424" width="11.875" style="30" customWidth="1"/>
    <col min="3425" max="3425" width="11.75" style="30" customWidth="1"/>
    <col min="3426" max="3426" width="14.125" style="30" customWidth="1"/>
    <col min="3427" max="3427" width="13.125" style="30" customWidth="1"/>
    <col min="3428" max="3428" width="8.75" style="30" customWidth="1"/>
    <col min="3429" max="3429" width="11.5" style="30" bestFit="1" customWidth="1"/>
    <col min="3430" max="3430" width="9.625" style="30" customWidth="1"/>
    <col min="3431" max="3431" width="13.625" style="30" customWidth="1"/>
    <col min="3432" max="3432" width="11.5" style="30" customWidth="1"/>
    <col min="3433" max="3433" width="11.75" style="30" customWidth="1"/>
    <col min="3434" max="3434" width="9.875" style="30" customWidth="1"/>
    <col min="3435" max="3435" width="9" style="30" customWidth="1"/>
    <col min="3436" max="3436" width="9.625" style="30" bestFit="1" customWidth="1"/>
    <col min="3437" max="3437" width="12.625" style="30" customWidth="1"/>
    <col min="3438" max="3438" width="12.375" style="30" customWidth="1"/>
    <col min="3439" max="3439" width="11.625" style="30" customWidth="1"/>
    <col min="3440" max="3441" width="14.125" style="30" customWidth="1"/>
    <col min="3442" max="3442" width="9.125" style="30" customWidth="1"/>
    <col min="3443" max="3443" width="10.5" style="30" bestFit="1" customWidth="1"/>
    <col min="3444" max="3444" width="9.625" style="30" customWidth="1"/>
    <col min="3445" max="3445" width="14.25" style="30" customWidth="1"/>
    <col min="3446" max="3446" width="11.875" style="30" customWidth="1"/>
    <col min="3447" max="3447" width="11" style="30" customWidth="1"/>
    <col min="3448" max="3448" width="11.75" style="30" customWidth="1"/>
    <col min="3449" max="3449" width="11.25" style="30" customWidth="1"/>
    <col min="3450" max="3450" width="9.625" style="30" bestFit="1" customWidth="1"/>
    <col min="3451" max="3451" width="9.625" style="30" customWidth="1"/>
    <col min="3452" max="3452" width="14.125" style="30" customWidth="1"/>
    <col min="3453" max="3453" width="11.125" style="30" customWidth="1"/>
    <col min="3454" max="3454" width="11.25" style="30" customWidth="1"/>
    <col min="3455" max="3455" width="12" style="30" customWidth="1"/>
    <col min="3456" max="3456" width="8.75" style="30" customWidth="1"/>
    <col min="3457" max="3457" width="9.625" style="30" bestFit="1" customWidth="1"/>
    <col min="3458" max="3458" width="9.625" style="30" customWidth="1"/>
    <col min="3459" max="3460" width="11.25" style="30" customWidth="1"/>
    <col min="3461" max="3461" width="12" style="30" customWidth="1"/>
    <col min="3462" max="3463" width="10.625" style="30" customWidth="1"/>
    <col min="3464" max="3464" width="11" style="30" customWidth="1"/>
    <col min="3465" max="3465" width="10.625" style="30" customWidth="1"/>
    <col min="3466" max="3466" width="12.375" style="30" customWidth="1"/>
    <col min="3467" max="3467" width="12" style="30" customWidth="1"/>
    <col min="3468" max="3468" width="11.625" style="30" customWidth="1"/>
    <col min="3469" max="3469" width="10.5" style="30" customWidth="1"/>
    <col min="3470" max="3470" width="8.625" style="30" customWidth="1"/>
    <col min="3471" max="3471" width="11.25" style="30" customWidth="1"/>
    <col min="3472" max="3472" width="9.875" style="30" customWidth="1"/>
    <col min="3473" max="3473" width="11.125" style="30" customWidth="1"/>
    <col min="3474" max="3474" width="11.625" style="30" customWidth="1"/>
    <col min="3475" max="3475" width="12.625" style="30" customWidth="1"/>
    <col min="3476" max="3476" width="11.5" style="30" customWidth="1"/>
    <col min="3477" max="3477" width="9.375" style="30"/>
    <col min="3478" max="3478" width="13.125" style="30" customWidth="1"/>
    <col min="3479" max="3479" width="9.5" style="30" customWidth="1"/>
    <col min="3480" max="3480" width="11.625" style="30" customWidth="1"/>
    <col min="3481" max="3481" width="11.5" style="30" customWidth="1"/>
    <col min="3482" max="3482" width="9.625" style="30" customWidth="1"/>
    <col min="3483" max="3483" width="9.25" style="30" customWidth="1"/>
    <col min="3484" max="3484" width="8.75" style="30" customWidth="1"/>
    <col min="3485" max="3485" width="9" style="30" customWidth="1"/>
    <col min="3486" max="3486" width="8.625" style="30" customWidth="1"/>
    <col min="3487" max="3487" width="11.125" style="30" customWidth="1"/>
    <col min="3488" max="3488" width="11.25" style="30" customWidth="1"/>
    <col min="3489" max="3489" width="11.5" style="30" customWidth="1"/>
    <col min="3490" max="3491" width="9" style="30" customWidth="1"/>
    <col min="3492" max="3492" width="9.875" style="30" customWidth="1"/>
    <col min="3493" max="3493" width="9.25" style="30" customWidth="1"/>
    <col min="3494" max="3494" width="11.125" style="30" customWidth="1"/>
    <col min="3495" max="3495" width="11.375" style="30" customWidth="1"/>
    <col min="3496" max="3496" width="10.875" style="30" customWidth="1"/>
    <col min="3497" max="3497" width="8.375" style="30" customWidth="1"/>
    <col min="3498" max="3498" width="9.125" style="30" customWidth="1"/>
    <col min="3499" max="3500" width="9" style="30" customWidth="1"/>
    <col min="3501" max="3501" width="10.75" style="30" customWidth="1"/>
    <col min="3502" max="3502" width="10.625" style="30" customWidth="1"/>
    <col min="3503" max="3503" width="10.25" style="30" customWidth="1"/>
    <col min="3504" max="3504" width="8.125" style="30" customWidth="1"/>
    <col min="3505" max="3507" width="9" style="30" customWidth="1"/>
    <col min="3508" max="3508" width="11.375" style="30" customWidth="1"/>
    <col min="3509" max="3509" width="11.125" style="30" customWidth="1"/>
    <col min="3510" max="3510" width="14.5" style="30" customWidth="1"/>
    <col min="3511" max="3511" width="10.875" style="30" customWidth="1"/>
    <col min="3512" max="3512" width="8.5" style="30" customWidth="1"/>
    <col min="3513" max="3513" width="10.375" style="30" customWidth="1"/>
    <col min="3514" max="3514" width="9" style="30" customWidth="1"/>
    <col min="3515" max="3515" width="12" style="30" customWidth="1"/>
    <col min="3516" max="3523" width="10.875" style="30" customWidth="1"/>
    <col min="3524" max="3524" width="10.5" style="30" customWidth="1"/>
    <col min="3525" max="3525" width="11.875" style="30" customWidth="1"/>
    <col min="3526" max="3526" width="10.875" style="30" customWidth="1"/>
    <col min="3527" max="3528" width="9" style="30" customWidth="1"/>
    <col min="3529" max="3529" width="12.125" style="30" customWidth="1"/>
    <col min="3530" max="3530" width="9.625" style="30" customWidth="1"/>
    <col min="3531" max="3532" width="9" style="30" customWidth="1"/>
    <col min="3533" max="3533" width="12.625" style="30" customWidth="1"/>
    <col min="3534" max="3534" width="11" style="30" customWidth="1"/>
    <col min="3535" max="3535" width="11.75" style="30" bestFit="1" customWidth="1"/>
    <col min="3536" max="3536" width="11.875" style="30" customWidth="1"/>
    <col min="3537" max="3538" width="9" style="30" customWidth="1"/>
    <col min="3539" max="3539" width="12.25" style="30" customWidth="1"/>
    <col min="3540" max="3540" width="10.875" style="30" customWidth="1"/>
    <col min="3541" max="3541" width="9" style="30" customWidth="1"/>
    <col min="3542" max="3542" width="10.875" style="30" customWidth="1"/>
    <col min="3543" max="3543" width="10.5" style="30" customWidth="1"/>
    <col min="3544" max="3545" width="9" style="30" customWidth="1"/>
    <col min="3546" max="3546" width="12.625" style="30" customWidth="1"/>
    <col min="3547" max="3548" width="9" style="30" customWidth="1"/>
    <col min="3549" max="3549" width="12" style="30" customWidth="1"/>
    <col min="3550" max="3566" width="9" style="30" customWidth="1"/>
    <col min="3567" max="3567" width="12.375" style="30" customWidth="1"/>
    <col min="3568" max="3568" width="12.5" style="30" customWidth="1"/>
    <col min="3569" max="3569" width="11.875" style="30" customWidth="1"/>
    <col min="3570" max="3570" width="11.625" style="30" customWidth="1"/>
    <col min="3571" max="3571" width="12.125" style="30" customWidth="1"/>
    <col min="3572" max="3573" width="10.5" style="30" bestFit="1" customWidth="1"/>
    <col min="3574" max="3574" width="10.625" style="30" bestFit="1" customWidth="1"/>
    <col min="3575" max="3582" width="10.5" style="30" bestFit="1" customWidth="1"/>
    <col min="3583" max="3583" width="10.5" style="30" customWidth="1"/>
    <col min="3584" max="3584" width="10.5" style="30" bestFit="1" customWidth="1"/>
    <col min="3585" max="3585" width="11.5" style="30" customWidth="1"/>
    <col min="3586" max="3586" width="9.5" style="30" bestFit="1" customWidth="1"/>
    <col min="3587" max="3597" width="10.5" style="30" bestFit="1" customWidth="1"/>
    <col min="3598" max="3598" width="12.75" style="30" bestFit="1" customWidth="1"/>
    <col min="3599" max="3603" width="10.5" style="30" bestFit="1" customWidth="1"/>
    <col min="3604" max="3605" width="9.375" style="30"/>
    <col min="3606" max="3606" width="8.5" style="30" customWidth="1"/>
    <col min="3607" max="3607" width="8" style="30" customWidth="1"/>
    <col min="3608" max="3608" width="21.25" style="30" customWidth="1"/>
    <col min="3609" max="3609" width="16.25" style="30" customWidth="1"/>
    <col min="3610" max="3610" width="11.625" style="30" customWidth="1"/>
    <col min="3611" max="3611" width="13.625" style="30" customWidth="1"/>
    <col min="3612" max="3612" width="12.875" style="30" customWidth="1"/>
    <col min="3613" max="3613" width="15.5" style="30" customWidth="1"/>
    <col min="3614" max="3615" width="13.375" style="30" customWidth="1"/>
    <col min="3616" max="3616" width="14.375" style="30" customWidth="1"/>
    <col min="3617" max="3617" width="11.875" style="30" customWidth="1"/>
    <col min="3618" max="3619" width="14.25" style="30" customWidth="1"/>
    <col min="3620" max="3620" width="8.625" style="30" customWidth="1"/>
    <col min="3621" max="3621" width="10.625" style="30" customWidth="1"/>
    <col min="3622" max="3622" width="9.875" style="30" customWidth="1"/>
    <col min="3623" max="3623" width="14" style="30" customWidth="1"/>
    <col min="3624" max="3624" width="10.875" style="30" customWidth="1"/>
    <col min="3625" max="3625" width="12.375" style="30" customWidth="1"/>
    <col min="3626" max="3626" width="12" style="30" customWidth="1"/>
    <col min="3627" max="3627" width="13.625" style="30" customWidth="1"/>
    <col min="3628" max="3628" width="10" style="30" customWidth="1"/>
    <col min="3629" max="3629" width="9.625" style="30" customWidth="1"/>
    <col min="3630" max="3630" width="11.75" style="30" customWidth="1"/>
    <col min="3631" max="3631" width="11.375" style="30" customWidth="1"/>
    <col min="3632" max="3632" width="12.875" style="30" customWidth="1"/>
    <col min="3633" max="3633" width="13" style="30" customWidth="1"/>
    <col min="3634" max="3634" width="8.875" style="30" customWidth="1"/>
    <col min="3635" max="3635" width="13.125" style="30" customWidth="1"/>
    <col min="3636" max="3636" width="9.625" style="30" customWidth="1"/>
    <col min="3637" max="3637" width="12.875" style="30" customWidth="1"/>
    <col min="3638" max="3638" width="11.5" style="30" customWidth="1"/>
    <col min="3639" max="3639" width="9.75" style="30" customWidth="1"/>
    <col min="3640" max="3640" width="13.375" style="30" customWidth="1"/>
    <col min="3641" max="3641" width="12.125" style="30" customWidth="1"/>
    <col min="3642" max="3642" width="10.25" style="30" customWidth="1"/>
    <col min="3643" max="3643" width="11.625" style="30" bestFit="1" customWidth="1"/>
    <col min="3644" max="3644" width="9.875" style="30" customWidth="1"/>
    <col min="3645" max="3645" width="13.375" style="30" customWidth="1"/>
    <col min="3646" max="3646" width="11.5" style="30" customWidth="1"/>
    <col min="3647" max="3647" width="12" style="30" customWidth="1"/>
    <col min="3648" max="3648" width="9.125" style="30" customWidth="1"/>
    <col min="3649" max="3649" width="9" style="30" customWidth="1"/>
    <col min="3650" max="3650" width="12.875" style="30" bestFit="1" customWidth="1"/>
    <col min="3651" max="3652" width="12" style="30" customWidth="1"/>
    <col min="3653" max="3653" width="11.875" style="30" customWidth="1"/>
    <col min="3654" max="3654" width="11" style="30" customWidth="1"/>
    <col min="3655" max="3655" width="11.625" style="30" customWidth="1"/>
    <col min="3656" max="3656" width="8.875" style="30" customWidth="1"/>
    <col min="3657" max="3657" width="11.625" style="30" bestFit="1" customWidth="1"/>
    <col min="3658" max="3658" width="9.625" style="30" customWidth="1"/>
    <col min="3659" max="3659" width="12.125" style="30" customWidth="1"/>
    <col min="3660" max="3660" width="11.875" style="30" customWidth="1"/>
    <col min="3661" max="3661" width="13.375" style="30" customWidth="1"/>
    <col min="3662" max="3662" width="11.5" style="30" customWidth="1"/>
    <col min="3663" max="3663" width="9.25" style="30" customWidth="1"/>
    <col min="3664" max="3664" width="11.625" style="30" bestFit="1" customWidth="1"/>
    <col min="3665" max="3665" width="10.625" style="30" customWidth="1"/>
    <col min="3666" max="3666" width="12" style="30" customWidth="1"/>
    <col min="3667" max="3667" width="11.625" style="30" customWidth="1"/>
    <col min="3668" max="3668" width="14" style="30" customWidth="1"/>
    <col min="3669" max="3669" width="11.125" style="30" customWidth="1"/>
    <col min="3670" max="3670" width="9.75" style="30" customWidth="1"/>
    <col min="3671" max="3671" width="11.625" style="30" bestFit="1" customWidth="1"/>
    <col min="3672" max="3672" width="10.125" style="30" customWidth="1"/>
    <col min="3673" max="3673" width="11.625" style="30" customWidth="1"/>
    <col min="3674" max="3674" width="11.375" style="30" customWidth="1"/>
    <col min="3675" max="3675" width="12.375" style="30" customWidth="1"/>
    <col min="3676" max="3677" width="10.875" style="30" customWidth="1"/>
    <col min="3678" max="3678" width="10.5" style="30" bestFit="1" customWidth="1"/>
    <col min="3679" max="3679" width="9.625" style="30" customWidth="1"/>
    <col min="3680" max="3680" width="11.875" style="30" customWidth="1"/>
    <col min="3681" max="3681" width="11.75" style="30" customWidth="1"/>
    <col min="3682" max="3682" width="14.125" style="30" customWidth="1"/>
    <col min="3683" max="3683" width="13.125" style="30" customWidth="1"/>
    <col min="3684" max="3684" width="8.75" style="30" customWidth="1"/>
    <col min="3685" max="3685" width="11.5" style="30" bestFit="1" customWidth="1"/>
    <col min="3686" max="3686" width="9.625" style="30" customWidth="1"/>
    <col min="3687" max="3687" width="13.625" style="30" customWidth="1"/>
    <col min="3688" max="3688" width="11.5" style="30" customWidth="1"/>
    <col min="3689" max="3689" width="11.75" style="30" customWidth="1"/>
    <col min="3690" max="3690" width="9.875" style="30" customWidth="1"/>
    <col min="3691" max="3691" width="9" style="30" customWidth="1"/>
    <col min="3692" max="3692" width="9.625" style="30" bestFit="1" customWidth="1"/>
    <col min="3693" max="3693" width="12.625" style="30" customWidth="1"/>
    <col min="3694" max="3694" width="12.375" style="30" customWidth="1"/>
    <col min="3695" max="3695" width="11.625" style="30" customWidth="1"/>
    <col min="3696" max="3697" width="14.125" style="30" customWidth="1"/>
    <col min="3698" max="3698" width="9.125" style="30" customWidth="1"/>
    <col min="3699" max="3699" width="10.5" style="30" bestFit="1" customWidth="1"/>
    <col min="3700" max="3700" width="9.625" style="30" customWidth="1"/>
    <col min="3701" max="3701" width="14.25" style="30" customWidth="1"/>
    <col min="3702" max="3702" width="11.875" style="30" customWidth="1"/>
    <col min="3703" max="3703" width="11" style="30" customWidth="1"/>
    <col min="3704" max="3704" width="11.75" style="30" customWidth="1"/>
    <col min="3705" max="3705" width="11.25" style="30" customWidth="1"/>
    <col min="3706" max="3706" width="9.625" style="30" bestFit="1" customWidth="1"/>
    <col min="3707" max="3707" width="9.625" style="30" customWidth="1"/>
    <col min="3708" max="3708" width="14.125" style="30" customWidth="1"/>
    <col min="3709" max="3709" width="11.125" style="30" customWidth="1"/>
    <col min="3710" max="3710" width="11.25" style="30" customWidth="1"/>
    <col min="3711" max="3711" width="12" style="30" customWidth="1"/>
    <col min="3712" max="3712" width="8.75" style="30" customWidth="1"/>
    <col min="3713" max="3713" width="9.625" style="30" bestFit="1" customWidth="1"/>
    <col min="3714" max="3714" width="9.625" style="30" customWidth="1"/>
    <col min="3715" max="3716" width="11.25" style="30" customWidth="1"/>
    <col min="3717" max="3717" width="12" style="30" customWidth="1"/>
    <col min="3718" max="3719" width="10.625" style="30" customWidth="1"/>
    <col min="3720" max="3720" width="11" style="30" customWidth="1"/>
    <col min="3721" max="3721" width="10.625" style="30" customWidth="1"/>
    <col min="3722" max="3722" width="12.375" style="30" customWidth="1"/>
    <col min="3723" max="3723" width="12" style="30" customWidth="1"/>
    <col min="3724" max="3724" width="11.625" style="30" customWidth="1"/>
    <col min="3725" max="3725" width="10.5" style="30" customWidth="1"/>
    <col min="3726" max="3726" width="8.625" style="30" customWidth="1"/>
    <col min="3727" max="3727" width="11.25" style="30" customWidth="1"/>
    <col min="3728" max="3728" width="9.875" style="30" customWidth="1"/>
    <col min="3729" max="3729" width="11.125" style="30" customWidth="1"/>
    <col min="3730" max="3730" width="11.625" style="30" customWidth="1"/>
    <col min="3731" max="3731" width="12.625" style="30" customWidth="1"/>
    <col min="3732" max="3732" width="11.5" style="30" customWidth="1"/>
    <col min="3733" max="3733" width="9.375" style="30"/>
    <col min="3734" max="3734" width="13.125" style="30" customWidth="1"/>
    <col min="3735" max="3735" width="9.5" style="30" customWidth="1"/>
    <col min="3736" max="3736" width="11.625" style="30" customWidth="1"/>
    <col min="3737" max="3737" width="11.5" style="30" customWidth="1"/>
    <col min="3738" max="3738" width="9.625" style="30" customWidth="1"/>
    <col min="3739" max="3739" width="9.25" style="30" customWidth="1"/>
    <col min="3740" max="3740" width="8.75" style="30" customWidth="1"/>
    <col min="3741" max="3741" width="9" style="30" customWidth="1"/>
    <col min="3742" max="3742" width="8.625" style="30" customWidth="1"/>
    <col min="3743" max="3743" width="11.125" style="30" customWidth="1"/>
    <col min="3744" max="3744" width="11.25" style="30" customWidth="1"/>
    <col min="3745" max="3745" width="11.5" style="30" customWidth="1"/>
    <col min="3746" max="3747" width="9" style="30" customWidth="1"/>
    <col min="3748" max="3748" width="9.875" style="30" customWidth="1"/>
    <col min="3749" max="3749" width="9.25" style="30" customWidth="1"/>
    <col min="3750" max="3750" width="11.125" style="30" customWidth="1"/>
    <col min="3751" max="3751" width="11.375" style="30" customWidth="1"/>
    <col min="3752" max="3752" width="10.875" style="30" customWidth="1"/>
    <col min="3753" max="3753" width="8.375" style="30" customWidth="1"/>
    <col min="3754" max="3754" width="9.125" style="30" customWidth="1"/>
    <col min="3755" max="3756" width="9" style="30" customWidth="1"/>
    <col min="3757" max="3757" width="10.75" style="30" customWidth="1"/>
    <col min="3758" max="3758" width="10.625" style="30" customWidth="1"/>
    <col min="3759" max="3759" width="10.25" style="30" customWidth="1"/>
    <col min="3760" max="3760" width="8.125" style="30" customWidth="1"/>
    <col min="3761" max="3763" width="9" style="30" customWidth="1"/>
    <col min="3764" max="3764" width="11.375" style="30" customWidth="1"/>
    <col min="3765" max="3765" width="11.125" style="30" customWidth="1"/>
    <col min="3766" max="3766" width="14.5" style="30" customWidth="1"/>
    <col min="3767" max="3767" width="10.875" style="30" customWidth="1"/>
    <col min="3768" max="3768" width="8.5" style="30" customWidth="1"/>
    <col min="3769" max="3769" width="10.375" style="30" customWidth="1"/>
    <col min="3770" max="3770" width="9" style="30" customWidth="1"/>
    <col min="3771" max="3771" width="12" style="30" customWidth="1"/>
    <col min="3772" max="3779" width="10.875" style="30" customWidth="1"/>
    <col min="3780" max="3780" width="10.5" style="30" customWidth="1"/>
    <col min="3781" max="3781" width="11.875" style="30" customWidth="1"/>
    <col min="3782" max="3782" width="10.875" style="30" customWidth="1"/>
    <col min="3783" max="3784" width="9" style="30" customWidth="1"/>
    <col min="3785" max="3785" width="12.125" style="30" customWidth="1"/>
    <col min="3786" max="3786" width="9.625" style="30" customWidth="1"/>
    <col min="3787" max="3788" width="9" style="30" customWidth="1"/>
    <col min="3789" max="3789" width="12.625" style="30" customWidth="1"/>
    <col min="3790" max="3790" width="11" style="30" customWidth="1"/>
    <col min="3791" max="3791" width="11.75" style="30" bestFit="1" customWidth="1"/>
    <col min="3792" max="3792" width="11.875" style="30" customWidth="1"/>
    <col min="3793" max="3794" width="9" style="30" customWidth="1"/>
    <col min="3795" max="3795" width="12.25" style="30" customWidth="1"/>
    <col min="3796" max="3796" width="10.875" style="30" customWidth="1"/>
    <col min="3797" max="3797" width="9" style="30" customWidth="1"/>
    <col min="3798" max="3798" width="10.875" style="30" customWidth="1"/>
    <col min="3799" max="3799" width="10.5" style="30" customWidth="1"/>
    <col min="3800" max="3801" width="9" style="30" customWidth="1"/>
    <col min="3802" max="3802" width="12.625" style="30" customWidth="1"/>
    <col min="3803" max="3804" width="9" style="30" customWidth="1"/>
    <col min="3805" max="3805" width="12" style="30" customWidth="1"/>
    <col min="3806" max="3822" width="9" style="30" customWidth="1"/>
    <col min="3823" max="3823" width="12.375" style="30" customWidth="1"/>
    <col min="3824" max="3824" width="12.5" style="30" customWidth="1"/>
    <col min="3825" max="3825" width="11.875" style="30" customWidth="1"/>
    <col min="3826" max="3826" width="11.625" style="30" customWidth="1"/>
    <col min="3827" max="3827" width="12.125" style="30" customWidth="1"/>
    <col min="3828" max="3829" width="10.5" style="30" bestFit="1" customWidth="1"/>
    <col min="3830" max="3830" width="10.625" style="30" bestFit="1" customWidth="1"/>
    <col min="3831" max="3838" width="10.5" style="30" bestFit="1" customWidth="1"/>
    <col min="3839" max="3839" width="10.5" style="30" customWidth="1"/>
    <col min="3840" max="3840" width="10.5" style="30" bestFit="1" customWidth="1"/>
    <col min="3841" max="3841" width="11.5" style="30" customWidth="1"/>
    <col min="3842" max="3842" width="9.5" style="30" bestFit="1" customWidth="1"/>
    <col min="3843" max="3853" width="10.5" style="30" bestFit="1" customWidth="1"/>
    <col min="3854" max="3854" width="12.75" style="30" bestFit="1" customWidth="1"/>
    <col min="3855" max="3859" width="10.5" style="30" bestFit="1" customWidth="1"/>
    <col min="3860" max="3861" width="9.375" style="30"/>
    <col min="3862" max="3862" width="8.5" style="30" customWidth="1"/>
    <col min="3863" max="3863" width="8" style="30" customWidth="1"/>
    <col min="3864" max="3864" width="21.25" style="30" customWidth="1"/>
    <col min="3865" max="3865" width="16.25" style="30" customWidth="1"/>
    <col min="3866" max="3866" width="11.625" style="30" customWidth="1"/>
    <col min="3867" max="3867" width="13.625" style="30" customWidth="1"/>
    <col min="3868" max="3868" width="12.875" style="30" customWidth="1"/>
    <col min="3869" max="3869" width="15.5" style="30" customWidth="1"/>
    <col min="3870" max="3871" width="13.375" style="30" customWidth="1"/>
    <col min="3872" max="3872" width="14.375" style="30" customWidth="1"/>
    <col min="3873" max="3873" width="11.875" style="30" customWidth="1"/>
    <col min="3874" max="3875" width="14.25" style="30" customWidth="1"/>
    <col min="3876" max="3876" width="8.625" style="30" customWidth="1"/>
    <col min="3877" max="3877" width="10.625" style="30" customWidth="1"/>
    <col min="3878" max="3878" width="9.875" style="30" customWidth="1"/>
    <col min="3879" max="3879" width="14" style="30" customWidth="1"/>
    <col min="3880" max="3880" width="10.875" style="30" customWidth="1"/>
    <col min="3881" max="3881" width="12.375" style="30" customWidth="1"/>
    <col min="3882" max="3882" width="12" style="30" customWidth="1"/>
    <col min="3883" max="3883" width="13.625" style="30" customWidth="1"/>
    <col min="3884" max="3884" width="10" style="30" customWidth="1"/>
    <col min="3885" max="3885" width="9.625" style="30" customWidth="1"/>
    <col min="3886" max="3886" width="11.75" style="30" customWidth="1"/>
    <col min="3887" max="3887" width="11.375" style="30" customWidth="1"/>
    <col min="3888" max="3888" width="12.875" style="30" customWidth="1"/>
    <col min="3889" max="3889" width="13" style="30" customWidth="1"/>
    <col min="3890" max="3890" width="8.875" style="30" customWidth="1"/>
    <col min="3891" max="3891" width="13.125" style="30" customWidth="1"/>
    <col min="3892" max="3892" width="9.625" style="30" customWidth="1"/>
    <col min="3893" max="3893" width="12.875" style="30" customWidth="1"/>
    <col min="3894" max="3894" width="11.5" style="30" customWidth="1"/>
    <col min="3895" max="3895" width="9.75" style="30" customWidth="1"/>
    <col min="3896" max="3896" width="13.375" style="30" customWidth="1"/>
    <col min="3897" max="3897" width="12.125" style="30" customWidth="1"/>
    <col min="3898" max="3898" width="10.25" style="30" customWidth="1"/>
    <col min="3899" max="3899" width="11.625" style="30" bestFit="1" customWidth="1"/>
    <col min="3900" max="3900" width="9.875" style="30" customWidth="1"/>
    <col min="3901" max="3901" width="13.375" style="30" customWidth="1"/>
    <col min="3902" max="3902" width="11.5" style="30" customWidth="1"/>
    <col min="3903" max="3903" width="12" style="30" customWidth="1"/>
    <col min="3904" max="3904" width="9.125" style="30" customWidth="1"/>
    <col min="3905" max="3905" width="9" style="30" customWidth="1"/>
    <col min="3906" max="3906" width="12.875" style="30" bestFit="1" customWidth="1"/>
    <col min="3907" max="3908" width="12" style="30" customWidth="1"/>
    <col min="3909" max="3909" width="11.875" style="30" customWidth="1"/>
    <col min="3910" max="3910" width="11" style="30" customWidth="1"/>
    <col min="3911" max="3911" width="11.625" style="30" customWidth="1"/>
    <col min="3912" max="3912" width="8.875" style="30" customWidth="1"/>
    <col min="3913" max="3913" width="11.625" style="30" bestFit="1" customWidth="1"/>
    <col min="3914" max="3914" width="9.625" style="30" customWidth="1"/>
    <col min="3915" max="3915" width="12.125" style="30" customWidth="1"/>
    <col min="3916" max="3916" width="11.875" style="30" customWidth="1"/>
    <col min="3917" max="3917" width="13.375" style="30" customWidth="1"/>
    <col min="3918" max="3918" width="11.5" style="30" customWidth="1"/>
    <col min="3919" max="3919" width="9.25" style="30" customWidth="1"/>
    <col min="3920" max="3920" width="11.625" style="30" bestFit="1" customWidth="1"/>
    <col min="3921" max="3921" width="10.625" style="30" customWidth="1"/>
    <col min="3922" max="3922" width="12" style="30" customWidth="1"/>
    <col min="3923" max="3923" width="11.625" style="30" customWidth="1"/>
    <col min="3924" max="3924" width="14" style="30" customWidth="1"/>
    <col min="3925" max="3925" width="11.125" style="30" customWidth="1"/>
    <col min="3926" max="3926" width="9.75" style="30" customWidth="1"/>
    <col min="3927" max="3927" width="11.625" style="30" bestFit="1" customWidth="1"/>
    <col min="3928" max="3928" width="10.125" style="30" customWidth="1"/>
    <col min="3929" max="3929" width="11.625" style="30" customWidth="1"/>
    <col min="3930" max="3930" width="11.375" style="30" customWidth="1"/>
    <col min="3931" max="3931" width="12.375" style="30" customWidth="1"/>
    <col min="3932" max="3933" width="10.875" style="30" customWidth="1"/>
    <col min="3934" max="3934" width="10.5" style="30" bestFit="1" customWidth="1"/>
    <col min="3935" max="3935" width="9.625" style="30" customWidth="1"/>
    <col min="3936" max="3936" width="11.875" style="30" customWidth="1"/>
    <col min="3937" max="3937" width="11.75" style="30" customWidth="1"/>
    <col min="3938" max="3938" width="14.125" style="30" customWidth="1"/>
    <col min="3939" max="3939" width="13.125" style="30" customWidth="1"/>
    <col min="3940" max="3940" width="8.75" style="30" customWidth="1"/>
    <col min="3941" max="3941" width="11.5" style="30" bestFit="1" customWidth="1"/>
    <col min="3942" max="3942" width="9.625" style="30" customWidth="1"/>
    <col min="3943" max="3943" width="13.625" style="30" customWidth="1"/>
    <col min="3944" max="3944" width="11.5" style="30" customWidth="1"/>
    <col min="3945" max="3945" width="11.75" style="30" customWidth="1"/>
    <col min="3946" max="3946" width="9.875" style="30" customWidth="1"/>
    <col min="3947" max="3947" width="9" style="30" customWidth="1"/>
    <col min="3948" max="3948" width="9.625" style="30" bestFit="1" customWidth="1"/>
    <col min="3949" max="3949" width="12.625" style="30" customWidth="1"/>
    <col min="3950" max="3950" width="12.375" style="30" customWidth="1"/>
    <col min="3951" max="3951" width="11.625" style="30" customWidth="1"/>
    <col min="3952" max="3953" width="14.125" style="30" customWidth="1"/>
    <col min="3954" max="3954" width="9.125" style="30" customWidth="1"/>
    <col min="3955" max="3955" width="10.5" style="30" bestFit="1" customWidth="1"/>
    <col min="3956" max="3956" width="9.625" style="30" customWidth="1"/>
    <col min="3957" max="3957" width="14.25" style="30" customWidth="1"/>
    <col min="3958" max="3958" width="11.875" style="30" customWidth="1"/>
    <col min="3959" max="3959" width="11" style="30" customWidth="1"/>
    <col min="3960" max="3960" width="11.75" style="30" customWidth="1"/>
    <col min="3961" max="3961" width="11.25" style="30" customWidth="1"/>
    <col min="3962" max="3962" width="9.625" style="30" bestFit="1" customWidth="1"/>
    <col min="3963" max="3963" width="9.625" style="30" customWidth="1"/>
    <col min="3964" max="3964" width="14.125" style="30" customWidth="1"/>
    <col min="3965" max="3965" width="11.125" style="30" customWidth="1"/>
    <col min="3966" max="3966" width="11.25" style="30" customWidth="1"/>
    <col min="3967" max="3967" width="12" style="30" customWidth="1"/>
    <col min="3968" max="3968" width="8.75" style="30" customWidth="1"/>
    <col min="3969" max="3969" width="9.625" style="30" bestFit="1" customWidth="1"/>
    <col min="3970" max="3970" width="9.625" style="30" customWidth="1"/>
    <col min="3971" max="3972" width="11.25" style="30" customWidth="1"/>
    <col min="3973" max="3973" width="12" style="30" customWidth="1"/>
    <col min="3974" max="3975" width="10.625" style="30" customWidth="1"/>
    <col min="3976" max="3976" width="11" style="30" customWidth="1"/>
    <col min="3977" max="3977" width="10.625" style="30" customWidth="1"/>
    <col min="3978" max="3978" width="12.375" style="30" customWidth="1"/>
    <col min="3979" max="3979" width="12" style="30" customWidth="1"/>
    <col min="3980" max="3980" width="11.625" style="30" customWidth="1"/>
    <col min="3981" max="3981" width="10.5" style="30" customWidth="1"/>
    <col min="3982" max="3982" width="8.625" style="30" customWidth="1"/>
    <col min="3983" max="3983" width="11.25" style="30" customWidth="1"/>
    <col min="3984" max="3984" width="9.875" style="30" customWidth="1"/>
    <col min="3985" max="3985" width="11.125" style="30" customWidth="1"/>
    <col min="3986" max="3986" width="11.625" style="30" customWidth="1"/>
    <col min="3987" max="3987" width="12.625" style="30" customWidth="1"/>
    <col min="3988" max="3988" width="11.5" style="30" customWidth="1"/>
    <col min="3989" max="3989" width="9.375" style="30"/>
    <col min="3990" max="3990" width="13.125" style="30" customWidth="1"/>
    <col min="3991" max="3991" width="9.5" style="30" customWidth="1"/>
    <col min="3992" max="3992" width="11.625" style="30" customWidth="1"/>
    <col min="3993" max="3993" width="11.5" style="30" customWidth="1"/>
    <col min="3994" max="3994" width="9.625" style="30" customWidth="1"/>
    <col min="3995" max="3995" width="9.25" style="30" customWidth="1"/>
    <col min="3996" max="3996" width="8.75" style="30" customWidth="1"/>
    <col min="3997" max="3997" width="9" style="30" customWidth="1"/>
    <col min="3998" max="3998" width="8.625" style="30" customWidth="1"/>
    <col min="3999" max="3999" width="11.125" style="30" customWidth="1"/>
    <col min="4000" max="4000" width="11.25" style="30" customWidth="1"/>
    <col min="4001" max="4001" width="11.5" style="30" customWidth="1"/>
    <col min="4002" max="4003" width="9" style="30" customWidth="1"/>
    <col min="4004" max="4004" width="9.875" style="30" customWidth="1"/>
    <col min="4005" max="4005" width="9.25" style="30" customWidth="1"/>
    <col min="4006" max="4006" width="11.125" style="30" customWidth="1"/>
    <col min="4007" max="4007" width="11.375" style="30" customWidth="1"/>
    <col min="4008" max="4008" width="10.875" style="30" customWidth="1"/>
    <col min="4009" max="4009" width="8.375" style="30" customWidth="1"/>
    <col min="4010" max="4010" width="9.125" style="30" customWidth="1"/>
    <col min="4011" max="4012" width="9" style="30" customWidth="1"/>
    <col min="4013" max="4013" width="10.75" style="30" customWidth="1"/>
    <col min="4014" max="4014" width="10.625" style="30" customWidth="1"/>
    <col min="4015" max="4015" width="10.25" style="30" customWidth="1"/>
    <col min="4016" max="4016" width="8.125" style="30" customWidth="1"/>
    <col min="4017" max="4019" width="9" style="30" customWidth="1"/>
    <col min="4020" max="4020" width="11.375" style="30" customWidth="1"/>
    <col min="4021" max="4021" width="11.125" style="30" customWidth="1"/>
    <col min="4022" max="4022" width="14.5" style="30" customWidth="1"/>
    <col min="4023" max="4023" width="10.875" style="30" customWidth="1"/>
    <col min="4024" max="4024" width="8.5" style="30" customWidth="1"/>
    <col min="4025" max="4025" width="10.375" style="30" customWidth="1"/>
    <col min="4026" max="4026" width="9" style="30" customWidth="1"/>
    <col min="4027" max="4027" width="12" style="30" customWidth="1"/>
    <col min="4028" max="4035" width="10.875" style="30" customWidth="1"/>
    <col min="4036" max="4036" width="10.5" style="30" customWidth="1"/>
    <col min="4037" max="4037" width="11.875" style="30" customWidth="1"/>
    <col min="4038" max="4038" width="10.875" style="30" customWidth="1"/>
    <col min="4039" max="4040" width="9" style="30" customWidth="1"/>
    <col min="4041" max="4041" width="12.125" style="30" customWidth="1"/>
    <col min="4042" max="4042" width="9.625" style="30" customWidth="1"/>
    <col min="4043" max="4044" width="9" style="30" customWidth="1"/>
    <col min="4045" max="4045" width="12.625" style="30" customWidth="1"/>
    <col min="4046" max="4046" width="11" style="30" customWidth="1"/>
    <col min="4047" max="4047" width="11.75" style="30" bestFit="1" customWidth="1"/>
    <col min="4048" max="4048" width="11.875" style="30" customWidth="1"/>
    <col min="4049" max="4050" width="9" style="30" customWidth="1"/>
    <col min="4051" max="4051" width="12.25" style="30" customWidth="1"/>
    <col min="4052" max="4052" width="10.875" style="30" customWidth="1"/>
    <col min="4053" max="4053" width="9" style="30" customWidth="1"/>
    <col min="4054" max="4054" width="10.875" style="30" customWidth="1"/>
    <col min="4055" max="4055" width="10.5" style="30" customWidth="1"/>
    <col min="4056" max="4057" width="9" style="30" customWidth="1"/>
    <col min="4058" max="4058" width="12.625" style="30" customWidth="1"/>
    <col min="4059" max="4060" width="9" style="30" customWidth="1"/>
    <col min="4061" max="4061" width="12" style="30" customWidth="1"/>
    <col min="4062" max="4078" width="9" style="30" customWidth="1"/>
    <col min="4079" max="4079" width="12.375" style="30" customWidth="1"/>
    <col min="4080" max="4080" width="12.5" style="30" customWidth="1"/>
    <col min="4081" max="4081" width="11.875" style="30" customWidth="1"/>
    <col min="4082" max="4082" width="11.625" style="30" customWidth="1"/>
    <col min="4083" max="4083" width="12.125" style="30" customWidth="1"/>
    <col min="4084" max="4085" width="10.5" style="30" bestFit="1" customWidth="1"/>
    <col min="4086" max="4086" width="10.625" style="30" bestFit="1" customWidth="1"/>
    <col min="4087" max="4094" width="10.5" style="30" bestFit="1" customWidth="1"/>
    <col min="4095" max="4095" width="10.5" style="30" customWidth="1"/>
    <col min="4096" max="4096" width="10.5" style="30" bestFit="1" customWidth="1"/>
    <col min="4097" max="4097" width="11.5" style="30" customWidth="1"/>
    <col min="4098" max="4098" width="9.5" style="30" bestFit="1" customWidth="1"/>
    <col min="4099" max="4109" width="10.5" style="30" bestFit="1" customWidth="1"/>
    <col min="4110" max="4110" width="12.75" style="30" bestFit="1" customWidth="1"/>
    <col min="4111" max="4115" width="10.5" style="30" bestFit="1" customWidth="1"/>
    <col min="4116" max="4117" width="9.375" style="30"/>
    <col min="4118" max="4118" width="8.5" style="30" customWidth="1"/>
    <col min="4119" max="4119" width="8" style="30" customWidth="1"/>
    <col min="4120" max="4120" width="21.25" style="30" customWidth="1"/>
    <col min="4121" max="4121" width="16.25" style="30" customWidth="1"/>
    <col min="4122" max="4122" width="11.625" style="30" customWidth="1"/>
    <col min="4123" max="4123" width="13.625" style="30" customWidth="1"/>
    <col min="4124" max="4124" width="12.875" style="30" customWidth="1"/>
    <col min="4125" max="4125" width="15.5" style="30" customWidth="1"/>
    <col min="4126" max="4127" width="13.375" style="30" customWidth="1"/>
    <col min="4128" max="4128" width="14.375" style="30" customWidth="1"/>
    <col min="4129" max="4129" width="11.875" style="30" customWidth="1"/>
    <col min="4130" max="4131" width="14.25" style="30" customWidth="1"/>
    <col min="4132" max="4132" width="8.625" style="30" customWidth="1"/>
    <col min="4133" max="4133" width="10.625" style="30" customWidth="1"/>
    <col min="4134" max="4134" width="9.875" style="30" customWidth="1"/>
    <col min="4135" max="4135" width="14" style="30" customWidth="1"/>
    <col min="4136" max="4136" width="10.875" style="30" customWidth="1"/>
    <col min="4137" max="4137" width="12.375" style="30" customWidth="1"/>
    <col min="4138" max="4138" width="12" style="30" customWidth="1"/>
    <col min="4139" max="4139" width="13.625" style="30" customWidth="1"/>
    <col min="4140" max="4140" width="10" style="30" customWidth="1"/>
    <col min="4141" max="4141" width="9.625" style="30" customWidth="1"/>
    <col min="4142" max="4142" width="11.75" style="30" customWidth="1"/>
    <col min="4143" max="4143" width="11.375" style="30" customWidth="1"/>
    <col min="4144" max="4144" width="12.875" style="30" customWidth="1"/>
    <col min="4145" max="4145" width="13" style="30" customWidth="1"/>
    <col min="4146" max="4146" width="8.875" style="30" customWidth="1"/>
    <col min="4147" max="4147" width="13.125" style="30" customWidth="1"/>
    <col min="4148" max="4148" width="9.625" style="30" customWidth="1"/>
    <col min="4149" max="4149" width="12.875" style="30" customWidth="1"/>
    <col min="4150" max="4150" width="11.5" style="30" customWidth="1"/>
    <col min="4151" max="4151" width="9.75" style="30" customWidth="1"/>
    <col min="4152" max="4152" width="13.375" style="30" customWidth="1"/>
    <col min="4153" max="4153" width="12.125" style="30" customWidth="1"/>
    <col min="4154" max="4154" width="10.25" style="30" customWidth="1"/>
    <col min="4155" max="4155" width="11.625" style="30" bestFit="1" customWidth="1"/>
    <col min="4156" max="4156" width="9.875" style="30" customWidth="1"/>
    <col min="4157" max="4157" width="13.375" style="30" customWidth="1"/>
    <col min="4158" max="4158" width="11.5" style="30" customWidth="1"/>
    <col min="4159" max="4159" width="12" style="30" customWidth="1"/>
    <col min="4160" max="4160" width="9.125" style="30" customWidth="1"/>
    <col min="4161" max="4161" width="9" style="30" customWidth="1"/>
    <col min="4162" max="4162" width="12.875" style="30" bestFit="1" customWidth="1"/>
    <col min="4163" max="4164" width="12" style="30" customWidth="1"/>
    <col min="4165" max="4165" width="11.875" style="30" customWidth="1"/>
    <col min="4166" max="4166" width="11" style="30" customWidth="1"/>
    <col min="4167" max="4167" width="11.625" style="30" customWidth="1"/>
    <col min="4168" max="4168" width="8.875" style="30" customWidth="1"/>
    <col min="4169" max="4169" width="11.625" style="30" bestFit="1" customWidth="1"/>
    <col min="4170" max="4170" width="9.625" style="30" customWidth="1"/>
    <col min="4171" max="4171" width="12.125" style="30" customWidth="1"/>
    <col min="4172" max="4172" width="11.875" style="30" customWidth="1"/>
    <col min="4173" max="4173" width="13.375" style="30" customWidth="1"/>
    <col min="4174" max="4174" width="11.5" style="30" customWidth="1"/>
    <col min="4175" max="4175" width="9.25" style="30" customWidth="1"/>
    <col min="4176" max="4176" width="11.625" style="30" bestFit="1" customWidth="1"/>
    <col min="4177" max="4177" width="10.625" style="30" customWidth="1"/>
    <col min="4178" max="4178" width="12" style="30" customWidth="1"/>
    <col min="4179" max="4179" width="11.625" style="30" customWidth="1"/>
    <col min="4180" max="4180" width="14" style="30" customWidth="1"/>
    <col min="4181" max="4181" width="11.125" style="30" customWidth="1"/>
    <col min="4182" max="4182" width="9.75" style="30" customWidth="1"/>
    <col min="4183" max="4183" width="11.625" style="30" bestFit="1" customWidth="1"/>
    <col min="4184" max="4184" width="10.125" style="30" customWidth="1"/>
    <col min="4185" max="4185" width="11.625" style="30" customWidth="1"/>
    <col min="4186" max="4186" width="11.375" style="30" customWidth="1"/>
    <col min="4187" max="4187" width="12.375" style="30" customWidth="1"/>
    <col min="4188" max="4189" width="10.875" style="30" customWidth="1"/>
    <col min="4190" max="4190" width="10.5" style="30" bestFit="1" customWidth="1"/>
    <col min="4191" max="4191" width="9.625" style="30" customWidth="1"/>
    <col min="4192" max="4192" width="11.875" style="30" customWidth="1"/>
    <col min="4193" max="4193" width="11.75" style="30" customWidth="1"/>
    <col min="4194" max="4194" width="14.125" style="30" customWidth="1"/>
    <col min="4195" max="4195" width="13.125" style="30" customWidth="1"/>
    <col min="4196" max="4196" width="8.75" style="30" customWidth="1"/>
    <col min="4197" max="4197" width="11.5" style="30" bestFit="1" customWidth="1"/>
    <col min="4198" max="4198" width="9.625" style="30" customWidth="1"/>
    <col min="4199" max="4199" width="13.625" style="30" customWidth="1"/>
    <col min="4200" max="4200" width="11.5" style="30" customWidth="1"/>
    <col min="4201" max="4201" width="11.75" style="30" customWidth="1"/>
    <col min="4202" max="4202" width="9.875" style="30" customWidth="1"/>
    <col min="4203" max="4203" width="9" style="30" customWidth="1"/>
    <col min="4204" max="4204" width="9.625" style="30" bestFit="1" customWidth="1"/>
    <col min="4205" max="4205" width="12.625" style="30" customWidth="1"/>
    <col min="4206" max="4206" width="12.375" style="30" customWidth="1"/>
    <col min="4207" max="4207" width="11.625" style="30" customWidth="1"/>
    <col min="4208" max="4209" width="14.125" style="30" customWidth="1"/>
    <col min="4210" max="4210" width="9.125" style="30" customWidth="1"/>
    <col min="4211" max="4211" width="10.5" style="30" bestFit="1" customWidth="1"/>
    <col min="4212" max="4212" width="9.625" style="30" customWidth="1"/>
    <col min="4213" max="4213" width="14.25" style="30" customWidth="1"/>
    <col min="4214" max="4214" width="11.875" style="30" customWidth="1"/>
    <col min="4215" max="4215" width="11" style="30" customWidth="1"/>
    <col min="4216" max="4216" width="11.75" style="30" customWidth="1"/>
    <col min="4217" max="4217" width="11.25" style="30" customWidth="1"/>
    <col min="4218" max="4218" width="9.625" style="30" bestFit="1" customWidth="1"/>
    <col min="4219" max="4219" width="9.625" style="30" customWidth="1"/>
    <col min="4220" max="4220" width="14.125" style="30" customWidth="1"/>
    <col min="4221" max="4221" width="11.125" style="30" customWidth="1"/>
    <col min="4222" max="4222" width="11.25" style="30" customWidth="1"/>
    <col min="4223" max="4223" width="12" style="30" customWidth="1"/>
    <col min="4224" max="4224" width="8.75" style="30" customWidth="1"/>
    <col min="4225" max="4225" width="9.625" style="30" bestFit="1" customWidth="1"/>
    <col min="4226" max="4226" width="9.625" style="30" customWidth="1"/>
    <col min="4227" max="4228" width="11.25" style="30" customWidth="1"/>
    <col min="4229" max="4229" width="12" style="30" customWidth="1"/>
    <col min="4230" max="4231" width="10.625" style="30" customWidth="1"/>
    <col min="4232" max="4232" width="11" style="30" customWidth="1"/>
    <col min="4233" max="4233" width="10.625" style="30" customWidth="1"/>
    <col min="4234" max="4234" width="12.375" style="30" customWidth="1"/>
    <col min="4235" max="4235" width="12" style="30" customWidth="1"/>
    <col min="4236" max="4236" width="11.625" style="30" customWidth="1"/>
    <col min="4237" max="4237" width="10.5" style="30" customWidth="1"/>
    <col min="4238" max="4238" width="8.625" style="30" customWidth="1"/>
    <col min="4239" max="4239" width="11.25" style="30" customWidth="1"/>
    <col min="4240" max="4240" width="9.875" style="30" customWidth="1"/>
    <col min="4241" max="4241" width="11.125" style="30" customWidth="1"/>
    <col min="4242" max="4242" width="11.625" style="30" customWidth="1"/>
    <col min="4243" max="4243" width="12.625" style="30" customWidth="1"/>
    <col min="4244" max="4244" width="11.5" style="30" customWidth="1"/>
    <col min="4245" max="4245" width="9.375" style="30"/>
    <col min="4246" max="4246" width="13.125" style="30" customWidth="1"/>
    <col min="4247" max="4247" width="9.5" style="30" customWidth="1"/>
    <col min="4248" max="4248" width="11.625" style="30" customWidth="1"/>
    <col min="4249" max="4249" width="11.5" style="30" customWidth="1"/>
    <col min="4250" max="4250" width="9.625" style="30" customWidth="1"/>
    <col min="4251" max="4251" width="9.25" style="30" customWidth="1"/>
    <col min="4252" max="4252" width="8.75" style="30" customWidth="1"/>
    <col min="4253" max="4253" width="9" style="30" customWidth="1"/>
    <col min="4254" max="4254" width="8.625" style="30" customWidth="1"/>
    <col min="4255" max="4255" width="11.125" style="30" customWidth="1"/>
    <col min="4256" max="4256" width="11.25" style="30" customWidth="1"/>
    <col min="4257" max="4257" width="11.5" style="30" customWidth="1"/>
    <col min="4258" max="4259" width="9" style="30" customWidth="1"/>
    <col min="4260" max="4260" width="9.875" style="30" customWidth="1"/>
    <col min="4261" max="4261" width="9.25" style="30" customWidth="1"/>
    <col min="4262" max="4262" width="11.125" style="30" customWidth="1"/>
    <col min="4263" max="4263" width="11.375" style="30" customWidth="1"/>
    <col min="4264" max="4264" width="10.875" style="30" customWidth="1"/>
    <col min="4265" max="4265" width="8.375" style="30" customWidth="1"/>
    <col min="4266" max="4266" width="9.125" style="30" customWidth="1"/>
    <col min="4267" max="4268" width="9" style="30" customWidth="1"/>
    <col min="4269" max="4269" width="10.75" style="30" customWidth="1"/>
    <col min="4270" max="4270" width="10.625" style="30" customWidth="1"/>
    <col min="4271" max="4271" width="10.25" style="30" customWidth="1"/>
    <col min="4272" max="4272" width="8.125" style="30" customWidth="1"/>
    <col min="4273" max="4275" width="9" style="30" customWidth="1"/>
    <col min="4276" max="4276" width="11.375" style="30" customWidth="1"/>
    <col min="4277" max="4277" width="11.125" style="30" customWidth="1"/>
    <col min="4278" max="4278" width="14.5" style="30" customWidth="1"/>
    <col min="4279" max="4279" width="10.875" style="30" customWidth="1"/>
    <col min="4280" max="4280" width="8.5" style="30" customWidth="1"/>
    <col min="4281" max="4281" width="10.375" style="30" customWidth="1"/>
    <col min="4282" max="4282" width="9" style="30" customWidth="1"/>
    <col min="4283" max="4283" width="12" style="30" customWidth="1"/>
    <col min="4284" max="4291" width="10.875" style="30" customWidth="1"/>
    <col min="4292" max="4292" width="10.5" style="30" customWidth="1"/>
    <col min="4293" max="4293" width="11.875" style="30" customWidth="1"/>
    <col min="4294" max="4294" width="10.875" style="30" customWidth="1"/>
    <col min="4295" max="4296" width="9" style="30" customWidth="1"/>
    <col min="4297" max="4297" width="12.125" style="30" customWidth="1"/>
    <col min="4298" max="4298" width="9.625" style="30" customWidth="1"/>
    <col min="4299" max="4300" width="9" style="30" customWidth="1"/>
    <col min="4301" max="4301" width="12.625" style="30" customWidth="1"/>
    <col min="4302" max="4302" width="11" style="30" customWidth="1"/>
    <col min="4303" max="4303" width="11.75" style="30" bestFit="1" customWidth="1"/>
    <col min="4304" max="4304" width="11.875" style="30" customWidth="1"/>
    <col min="4305" max="4306" width="9" style="30" customWidth="1"/>
    <col min="4307" max="4307" width="12.25" style="30" customWidth="1"/>
    <col min="4308" max="4308" width="10.875" style="30" customWidth="1"/>
    <col min="4309" max="4309" width="9" style="30" customWidth="1"/>
    <col min="4310" max="4310" width="10.875" style="30" customWidth="1"/>
    <col min="4311" max="4311" width="10.5" style="30" customWidth="1"/>
    <col min="4312" max="4313" width="9" style="30" customWidth="1"/>
    <col min="4314" max="4314" width="12.625" style="30" customWidth="1"/>
    <col min="4315" max="4316" width="9" style="30" customWidth="1"/>
    <col min="4317" max="4317" width="12" style="30" customWidth="1"/>
    <col min="4318" max="4334" width="9" style="30" customWidth="1"/>
    <col min="4335" max="4335" width="12.375" style="30" customWidth="1"/>
    <col min="4336" max="4336" width="12.5" style="30" customWidth="1"/>
    <col min="4337" max="4337" width="11.875" style="30" customWidth="1"/>
    <col min="4338" max="4338" width="11.625" style="30" customWidth="1"/>
    <col min="4339" max="4339" width="12.125" style="30" customWidth="1"/>
    <col min="4340" max="4341" width="10.5" style="30" bestFit="1" customWidth="1"/>
    <col min="4342" max="4342" width="10.625" style="30" bestFit="1" customWidth="1"/>
    <col min="4343" max="4350" width="10.5" style="30" bestFit="1" customWidth="1"/>
    <col min="4351" max="4351" width="10.5" style="30" customWidth="1"/>
    <col min="4352" max="4352" width="10.5" style="30" bestFit="1" customWidth="1"/>
    <col min="4353" max="4353" width="11.5" style="30" customWidth="1"/>
    <col min="4354" max="4354" width="9.5" style="30" bestFit="1" customWidth="1"/>
    <col min="4355" max="4365" width="10.5" style="30" bestFit="1" customWidth="1"/>
    <col min="4366" max="4366" width="12.75" style="30" bestFit="1" customWidth="1"/>
    <col min="4367" max="4371" width="10.5" style="30" bestFit="1" customWidth="1"/>
    <col min="4372" max="4373" width="9.375" style="30"/>
    <col min="4374" max="4374" width="8.5" style="30" customWidth="1"/>
    <col min="4375" max="4375" width="8" style="30" customWidth="1"/>
    <col min="4376" max="4376" width="21.25" style="30" customWidth="1"/>
    <col min="4377" max="4377" width="16.25" style="30" customWidth="1"/>
    <col min="4378" max="4378" width="11.625" style="30" customWidth="1"/>
    <col min="4379" max="4379" width="13.625" style="30" customWidth="1"/>
    <col min="4380" max="4380" width="12.875" style="30" customWidth="1"/>
    <col min="4381" max="4381" width="15.5" style="30" customWidth="1"/>
    <col min="4382" max="4383" width="13.375" style="30" customWidth="1"/>
    <col min="4384" max="4384" width="14.375" style="30" customWidth="1"/>
    <col min="4385" max="4385" width="11.875" style="30" customWidth="1"/>
    <col min="4386" max="4387" width="14.25" style="30" customWidth="1"/>
    <col min="4388" max="4388" width="8.625" style="30" customWidth="1"/>
    <col min="4389" max="4389" width="10.625" style="30" customWidth="1"/>
    <col min="4390" max="4390" width="9.875" style="30" customWidth="1"/>
    <col min="4391" max="4391" width="14" style="30" customWidth="1"/>
    <col min="4392" max="4392" width="10.875" style="30" customWidth="1"/>
    <col min="4393" max="4393" width="12.375" style="30" customWidth="1"/>
    <col min="4394" max="4394" width="12" style="30" customWidth="1"/>
    <col min="4395" max="4395" width="13.625" style="30" customWidth="1"/>
    <col min="4396" max="4396" width="10" style="30" customWidth="1"/>
    <col min="4397" max="4397" width="9.625" style="30" customWidth="1"/>
    <col min="4398" max="4398" width="11.75" style="30" customWidth="1"/>
    <col min="4399" max="4399" width="11.375" style="30" customWidth="1"/>
    <col min="4400" max="4400" width="12.875" style="30" customWidth="1"/>
    <col min="4401" max="4401" width="13" style="30" customWidth="1"/>
    <col min="4402" max="4402" width="8.875" style="30" customWidth="1"/>
    <col min="4403" max="4403" width="13.125" style="30" customWidth="1"/>
    <col min="4404" max="4404" width="9.625" style="30" customWidth="1"/>
    <col min="4405" max="4405" width="12.875" style="30" customWidth="1"/>
    <col min="4406" max="4406" width="11.5" style="30" customWidth="1"/>
    <col min="4407" max="4407" width="9.75" style="30" customWidth="1"/>
    <col min="4408" max="4408" width="13.375" style="30" customWidth="1"/>
    <col min="4409" max="4409" width="12.125" style="30" customWidth="1"/>
    <col min="4410" max="4410" width="10.25" style="30" customWidth="1"/>
    <col min="4411" max="4411" width="11.625" style="30" bestFit="1" customWidth="1"/>
    <col min="4412" max="4412" width="9.875" style="30" customWidth="1"/>
    <col min="4413" max="4413" width="13.375" style="30" customWidth="1"/>
    <col min="4414" max="4414" width="11.5" style="30" customWidth="1"/>
    <col min="4415" max="4415" width="12" style="30" customWidth="1"/>
    <col min="4416" max="4416" width="9.125" style="30" customWidth="1"/>
    <col min="4417" max="4417" width="9" style="30" customWidth="1"/>
    <col min="4418" max="4418" width="12.875" style="30" bestFit="1" customWidth="1"/>
    <col min="4419" max="4420" width="12" style="30" customWidth="1"/>
    <col min="4421" max="4421" width="11.875" style="30" customWidth="1"/>
    <col min="4422" max="4422" width="11" style="30" customWidth="1"/>
    <col min="4423" max="4423" width="11.625" style="30" customWidth="1"/>
    <col min="4424" max="4424" width="8.875" style="30" customWidth="1"/>
    <col min="4425" max="4425" width="11.625" style="30" bestFit="1" customWidth="1"/>
    <col min="4426" max="4426" width="9.625" style="30" customWidth="1"/>
    <col min="4427" max="4427" width="12.125" style="30" customWidth="1"/>
    <col min="4428" max="4428" width="11.875" style="30" customWidth="1"/>
    <col min="4429" max="4429" width="13.375" style="30" customWidth="1"/>
    <col min="4430" max="4430" width="11.5" style="30" customWidth="1"/>
    <col min="4431" max="4431" width="9.25" style="30" customWidth="1"/>
    <col min="4432" max="4432" width="11.625" style="30" bestFit="1" customWidth="1"/>
    <col min="4433" max="4433" width="10.625" style="30" customWidth="1"/>
    <col min="4434" max="4434" width="12" style="30" customWidth="1"/>
    <col min="4435" max="4435" width="11.625" style="30" customWidth="1"/>
    <col min="4436" max="4436" width="14" style="30" customWidth="1"/>
    <col min="4437" max="4437" width="11.125" style="30" customWidth="1"/>
    <col min="4438" max="4438" width="9.75" style="30" customWidth="1"/>
    <col min="4439" max="4439" width="11.625" style="30" bestFit="1" customWidth="1"/>
    <col min="4440" max="4440" width="10.125" style="30" customWidth="1"/>
    <col min="4441" max="4441" width="11.625" style="30" customWidth="1"/>
    <col min="4442" max="4442" width="11.375" style="30" customWidth="1"/>
    <col min="4443" max="4443" width="12.375" style="30" customWidth="1"/>
    <col min="4444" max="4445" width="10.875" style="30" customWidth="1"/>
    <col min="4446" max="4446" width="10.5" style="30" bestFit="1" customWidth="1"/>
    <col min="4447" max="4447" width="9.625" style="30" customWidth="1"/>
    <col min="4448" max="4448" width="11.875" style="30" customWidth="1"/>
    <col min="4449" max="4449" width="11.75" style="30" customWidth="1"/>
    <col min="4450" max="4450" width="14.125" style="30" customWidth="1"/>
    <col min="4451" max="4451" width="13.125" style="30" customWidth="1"/>
    <col min="4452" max="4452" width="8.75" style="30" customWidth="1"/>
    <col min="4453" max="4453" width="11.5" style="30" bestFit="1" customWidth="1"/>
    <col min="4454" max="4454" width="9.625" style="30" customWidth="1"/>
    <col min="4455" max="4455" width="13.625" style="30" customWidth="1"/>
    <col min="4456" max="4456" width="11.5" style="30" customWidth="1"/>
    <col min="4457" max="4457" width="11.75" style="30" customWidth="1"/>
    <col min="4458" max="4458" width="9.875" style="30" customWidth="1"/>
    <col min="4459" max="4459" width="9" style="30" customWidth="1"/>
    <col min="4460" max="4460" width="9.625" style="30" bestFit="1" customWidth="1"/>
    <col min="4461" max="4461" width="12.625" style="30" customWidth="1"/>
    <col min="4462" max="4462" width="12.375" style="30" customWidth="1"/>
    <col min="4463" max="4463" width="11.625" style="30" customWidth="1"/>
    <col min="4464" max="4465" width="14.125" style="30" customWidth="1"/>
    <col min="4466" max="4466" width="9.125" style="30" customWidth="1"/>
    <col min="4467" max="4467" width="10.5" style="30" bestFit="1" customWidth="1"/>
    <col min="4468" max="4468" width="9.625" style="30" customWidth="1"/>
    <col min="4469" max="4469" width="14.25" style="30" customWidth="1"/>
    <col min="4470" max="4470" width="11.875" style="30" customWidth="1"/>
    <col min="4471" max="4471" width="11" style="30" customWidth="1"/>
    <col min="4472" max="4472" width="11.75" style="30" customWidth="1"/>
    <col min="4473" max="4473" width="11.25" style="30" customWidth="1"/>
    <col min="4474" max="4474" width="9.625" style="30" bestFit="1" customWidth="1"/>
    <col min="4475" max="4475" width="9.625" style="30" customWidth="1"/>
    <col min="4476" max="4476" width="14.125" style="30" customWidth="1"/>
    <col min="4477" max="4477" width="11.125" style="30" customWidth="1"/>
    <col min="4478" max="4478" width="11.25" style="30" customWidth="1"/>
    <col min="4479" max="4479" width="12" style="30" customWidth="1"/>
    <col min="4480" max="4480" width="8.75" style="30" customWidth="1"/>
    <col min="4481" max="4481" width="9.625" style="30" bestFit="1" customWidth="1"/>
    <col min="4482" max="4482" width="9.625" style="30" customWidth="1"/>
    <col min="4483" max="4484" width="11.25" style="30" customWidth="1"/>
    <col min="4485" max="4485" width="12" style="30" customWidth="1"/>
    <col min="4486" max="4487" width="10.625" style="30" customWidth="1"/>
    <col min="4488" max="4488" width="11" style="30" customWidth="1"/>
    <col min="4489" max="4489" width="10.625" style="30" customWidth="1"/>
    <col min="4490" max="4490" width="12.375" style="30" customWidth="1"/>
    <col min="4491" max="4491" width="12" style="30" customWidth="1"/>
    <col min="4492" max="4492" width="11.625" style="30" customWidth="1"/>
    <col min="4493" max="4493" width="10.5" style="30" customWidth="1"/>
    <col min="4494" max="4494" width="8.625" style="30" customWidth="1"/>
    <col min="4495" max="4495" width="11.25" style="30" customWidth="1"/>
    <col min="4496" max="4496" width="9.875" style="30" customWidth="1"/>
    <col min="4497" max="4497" width="11.125" style="30" customWidth="1"/>
    <col min="4498" max="4498" width="11.625" style="30" customWidth="1"/>
    <col min="4499" max="4499" width="12.625" style="30" customWidth="1"/>
    <col min="4500" max="4500" width="11.5" style="30" customWidth="1"/>
    <col min="4501" max="4501" width="9.375" style="30"/>
    <col min="4502" max="4502" width="13.125" style="30" customWidth="1"/>
    <col min="4503" max="4503" width="9.5" style="30" customWidth="1"/>
    <col min="4504" max="4504" width="11.625" style="30" customWidth="1"/>
    <col min="4505" max="4505" width="11.5" style="30" customWidth="1"/>
    <col min="4506" max="4506" width="9.625" style="30" customWidth="1"/>
    <col min="4507" max="4507" width="9.25" style="30" customWidth="1"/>
    <col min="4508" max="4508" width="8.75" style="30" customWidth="1"/>
    <col min="4509" max="4509" width="9" style="30" customWidth="1"/>
    <col min="4510" max="4510" width="8.625" style="30" customWidth="1"/>
    <col min="4511" max="4511" width="11.125" style="30" customWidth="1"/>
    <col min="4512" max="4512" width="11.25" style="30" customWidth="1"/>
    <col min="4513" max="4513" width="11.5" style="30" customWidth="1"/>
    <col min="4514" max="4515" width="9" style="30" customWidth="1"/>
    <col min="4516" max="4516" width="9.875" style="30" customWidth="1"/>
    <col min="4517" max="4517" width="9.25" style="30" customWidth="1"/>
    <col min="4518" max="4518" width="11.125" style="30" customWidth="1"/>
    <col min="4519" max="4519" width="11.375" style="30" customWidth="1"/>
    <col min="4520" max="4520" width="10.875" style="30" customWidth="1"/>
    <col min="4521" max="4521" width="8.375" style="30" customWidth="1"/>
    <col min="4522" max="4522" width="9.125" style="30" customWidth="1"/>
    <col min="4523" max="4524" width="9" style="30" customWidth="1"/>
    <col min="4525" max="4525" width="10.75" style="30" customWidth="1"/>
    <col min="4526" max="4526" width="10.625" style="30" customWidth="1"/>
    <col min="4527" max="4527" width="10.25" style="30" customWidth="1"/>
    <col min="4528" max="4528" width="8.125" style="30" customWidth="1"/>
    <col min="4529" max="4531" width="9" style="30" customWidth="1"/>
    <col min="4532" max="4532" width="11.375" style="30" customWidth="1"/>
    <col min="4533" max="4533" width="11.125" style="30" customWidth="1"/>
    <col min="4534" max="4534" width="14.5" style="30" customWidth="1"/>
    <col min="4535" max="4535" width="10.875" style="30" customWidth="1"/>
    <col min="4536" max="4536" width="8.5" style="30" customWidth="1"/>
    <col min="4537" max="4537" width="10.375" style="30" customWidth="1"/>
    <col min="4538" max="4538" width="9" style="30" customWidth="1"/>
    <col min="4539" max="4539" width="12" style="30" customWidth="1"/>
    <col min="4540" max="4547" width="10.875" style="30" customWidth="1"/>
    <col min="4548" max="4548" width="10.5" style="30" customWidth="1"/>
    <col min="4549" max="4549" width="11.875" style="30" customWidth="1"/>
    <col min="4550" max="4550" width="10.875" style="30" customWidth="1"/>
    <col min="4551" max="4552" width="9" style="30" customWidth="1"/>
    <col min="4553" max="4553" width="12.125" style="30" customWidth="1"/>
    <col min="4554" max="4554" width="9.625" style="30" customWidth="1"/>
    <col min="4555" max="4556" width="9" style="30" customWidth="1"/>
    <col min="4557" max="4557" width="12.625" style="30" customWidth="1"/>
    <col min="4558" max="4558" width="11" style="30" customWidth="1"/>
    <col min="4559" max="4559" width="11.75" style="30" bestFit="1" customWidth="1"/>
    <col min="4560" max="4560" width="11.875" style="30" customWidth="1"/>
    <col min="4561" max="4562" width="9" style="30" customWidth="1"/>
    <col min="4563" max="4563" width="12.25" style="30" customWidth="1"/>
    <col min="4564" max="4564" width="10.875" style="30" customWidth="1"/>
    <col min="4565" max="4565" width="9" style="30" customWidth="1"/>
    <col min="4566" max="4566" width="10.875" style="30" customWidth="1"/>
    <col min="4567" max="4567" width="10.5" style="30" customWidth="1"/>
    <col min="4568" max="4569" width="9" style="30" customWidth="1"/>
    <col min="4570" max="4570" width="12.625" style="30" customWidth="1"/>
    <col min="4571" max="4572" width="9" style="30" customWidth="1"/>
    <col min="4573" max="4573" width="12" style="30" customWidth="1"/>
    <col min="4574" max="4590" width="9" style="30" customWidth="1"/>
    <col min="4591" max="4591" width="12.375" style="30" customWidth="1"/>
    <col min="4592" max="4592" width="12.5" style="30" customWidth="1"/>
    <col min="4593" max="4593" width="11.875" style="30" customWidth="1"/>
    <col min="4594" max="4594" width="11.625" style="30" customWidth="1"/>
    <col min="4595" max="4595" width="12.125" style="30" customWidth="1"/>
    <col min="4596" max="4597" width="10.5" style="30" bestFit="1" customWidth="1"/>
    <col min="4598" max="4598" width="10.625" style="30" bestFit="1" customWidth="1"/>
    <col min="4599" max="4606" width="10.5" style="30" bestFit="1" customWidth="1"/>
    <col min="4607" max="4607" width="10.5" style="30" customWidth="1"/>
    <col min="4608" max="4608" width="10.5" style="30" bestFit="1" customWidth="1"/>
    <col min="4609" max="4609" width="11.5" style="30" customWidth="1"/>
    <col min="4610" max="4610" width="9.5" style="30" bestFit="1" customWidth="1"/>
    <col min="4611" max="4621" width="10.5" style="30" bestFit="1" customWidth="1"/>
    <col min="4622" max="4622" width="12.75" style="30" bestFit="1" customWidth="1"/>
    <col min="4623" max="4627" width="10.5" style="30" bestFit="1" customWidth="1"/>
    <col min="4628" max="4629" width="9.375" style="30"/>
    <col min="4630" max="4630" width="8.5" style="30" customWidth="1"/>
    <col min="4631" max="4631" width="8" style="30" customWidth="1"/>
    <col min="4632" max="4632" width="21.25" style="30" customWidth="1"/>
    <col min="4633" max="4633" width="16.25" style="30" customWidth="1"/>
    <col min="4634" max="4634" width="11.625" style="30" customWidth="1"/>
    <col min="4635" max="4635" width="13.625" style="30" customWidth="1"/>
    <col min="4636" max="4636" width="12.875" style="30" customWidth="1"/>
    <col min="4637" max="4637" width="15.5" style="30" customWidth="1"/>
    <col min="4638" max="4639" width="13.375" style="30" customWidth="1"/>
    <col min="4640" max="4640" width="14.375" style="30" customWidth="1"/>
    <col min="4641" max="4641" width="11.875" style="30" customWidth="1"/>
    <col min="4642" max="4643" width="14.25" style="30" customWidth="1"/>
    <col min="4644" max="4644" width="8.625" style="30" customWidth="1"/>
    <col min="4645" max="4645" width="10.625" style="30" customWidth="1"/>
    <col min="4646" max="4646" width="9.875" style="30" customWidth="1"/>
    <col min="4647" max="4647" width="14" style="30" customWidth="1"/>
    <col min="4648" max="4648" width="10.875" style="30" customWidth="1"/>
    <col min="4649" max="4649" width="12.375" style="30" customWidth="1"/>
    <col min="4650" max="4650" width="12" style="30" customWidth="1"/>
    <col min="4651" max="4651" width="13.625" style="30" customWidth="1"/>
    <col min="4652" max="4652" width="10" style="30" customWidth="1"/>
    <col min="4653" max="4653" width="9.625" style="30" customWidth="1"/>
    <col min="4654" max="4654" width="11.75" style="30" customWidth="1"/>
    <col min="4655" max="4655" width="11.375" style="30" customWidth="1"/>
    <col min="4656" max="4656" width="12.875" style="30" customWidth="1"/>
    <col min="4657" max="4657" width="13" style="30" customWidth="1"/>
    <col min="4658" max="4658" width="8.875" style="30" customWidth="1"/>
    <col min="4659" max="4659" width="13.125" style="30" customWidth="1"/>
    <col min="4660" max="4660" width="9.625" style="30" customWidth="1"/>
    <col min="4661" max="4661" width="12.875" style="30" customWidth="1"/>
    <col min="4662" max="4662" width="11.5" style="30" customWidth="1"/>
    <col min="4663" max="4663" width="9.75" style="30" customWidth="1"/>
    <col min="4664" max="4664" width="13.375" style="30" customWidth="1"/>
    <col min="4665" max="4665" width="12.125" style="30" customWidth="1"/>
    <col min="4666" max="4666" width="10.25" style="30" customWidth="1"/>
    <col min="4667" max="4667" width="11.625" style="30" bestFit="1" customWidth="1"/>
    <col min="4668" max="4668" width="9.875" style="30" customWidth="1"/>
    <col min="4669" max="4669" width="13.375" style="30" customWidth="1"/>
    <col min="4670" max="4670" width="11.5" style="30" customWidth="1"/>
    <col min="4671" max="4671" width="12" style="30" customWidth="1"/>
    <col min="4672" max="4672" width="9.125" style="30" customWidth="1"/>
    <col min="4673" max="4673" width="9" style="30" customWidth="1"/>
    <col min="4674" max="4674" width="12.875" style="30" bestFit="1" customWidth="1"/>
    <col min="4675" max="4676" width="12" style="30" customWidth="1"/>
    <col min="4677" max="4677" width="11.875" style="30" customWidth="1"/>
    <col min="4678" max="4678" width="11" style="30" customWidth="1"/>
    <col min="4679" max="4679" width="11.625" style="30" customWidth="1"/>
    <col min="4680" max="4680" width="8.875" style="30" customWidth="1"/>
    <col min="4681" max="4681" width="11.625" style="30" bestFit="1" customWidth="1"/>
    <col min="4682" max="4682" width="9.625" style="30" customWidth="1"/>
    <col min="4683" max="4683" width="12.125" style="30" customWidth="1"/>
    <col min="4684" max="4684" width="11.875" style="30" customWidth="1"/>
    <col min="4685" max="4685" width="13.375" style="30" customWidth="1"/>
    <col min="4686" max="4686" width="11.5" style="30" customWidth="1"/>
    <col min="4687" max="4687" width="9.25" style="30" customWidth="1"/>
    <col min="4688" max="4688" width="11.625" style="30" bestFit="1" customWidth="1"/>
    <col min="4689" max="4689" width="10.625" style="30" customWidth="1"/>
    <col min="4690" max="4690" width="12" style="30" customWidth="1"/>
    <col min="4691" max="4691" width="11.625" style="30" customWidth="1"/>
    <col min="4692" max="4692" width="14" style="30" customWidth="1"/>
    <col min="4693" max="4693" width="11.125" style="30" customWidth="1"/>
    <col min="4694" max="4694" width="9.75" style="30" customWidth="1"/>
    <col min="4695" max="4695" width="11.625" style="30" bestFit="1" customWidth="1"/>
    <col min="4696" max="4696" width="10.125" style="30" customWidth="1"/>
    <col min="4697" max="4697" width="11.625" style="30" customWidth="1"/>
    <col min="4698" max="4698" width="11.375" style="30" customWidth="1"/>
    <col min="4699" max="4699" width="12.375" style="30" customWidth="1"/>
    <col min="4700" max="4701" width="10.875" style="30" customWidth="1"/>
    <col min="4702" max="4702" width="10.5" style="30" bestFit="1" customWidth="1"/>
    <col min="4703" max="4703" width="9.625" style="30" customWidth="1"/>
    <col min="4704" max="4704" width="11.875" style="30" customWidth="1"/>
    <col min="4705" max="4705" width="11.75" style="30" customWidth="1"/>
    <col min="4706" max="4706" width="14.125" style="30" customWidth="1"/>
    <col min="4707" max="4707" width="13.125" style="30" customWidth="1"/>
    <col min="4708" max="4708" width="8.75" style="30" customWidth="1"/>
    <col min="4709" max="4709" width="11.5" style="30" bestFit="1" customWidth="1"/>
    <col min="4710" max="4710" width="9.625" style="30" customWidth="1"/>
    <col min="4711" max="4711" width="13.625" style="30" customWidth="1"/>
    <col min="4712" max="4712" width="11.5" style="30" customWidth="1"/>
    <col min="4713" max="4713" width="11.75" style="30" customWidth="1"/>
    <col min="4714" max="4714" width="9.875" style="30" customWidth="1"/>
    <col min="4715" max="4715" width="9" style="30" customWidth="1"/>
    <col min="4716" max="4716" width="9.625" style="30" bestFit="1" customWidth="1"/>
    <col min="4717" max="4717" width="12.625" style="30" customWidth="1"/>
    <col min="4718" max="4718" width="12.375" style="30" customWidth="1"/>
    <col min="4719" max="4719" width="11.625" style="30" customWidth="1"/>
    <col min="4720" max="4721" width="14.125" style="30" customWidth="1"/>
    <col min="4722" max="4722" width="9.125" style="30" customWidth="1"/>
    <col min="4723" max="4723" width="10.5" style="30" bestFit="1" customWidth="1"/>
    <col min="4724" max="4724" width="9.625" style="30" customWidth="1"/>
    <col min="4725" max="4725" width="14.25" style="30" customWidth="1"/>
    <col min="4726" max="4726" width="11.875" style="30" customWidth="1"/>
    <col min="4727" max="4727" width="11" style="30" customWidth="1"/>
    <col min="4728" max="4728" width="11.75" style="30" customWidth="1"/>
    <col min="4729" max="4729" width="11.25" style="30" customWidth="1"/>
    <col min="4730" max="4730" width="9.625" style="30" bestFit="1" customWidth="1"/>
    <col min="4731" max="4731" width="9.625" style="30" customWidth="1"/>
    <col min="4732" max="4732" width="14.125" style="30" customWidth="1"/>
    <col min="4733" max="4733" width="11.125" style="30" customWidth="1"/>
    <col min="4734" max="4734" width="11.25" style="30" customWidth="1"/>
    <col min="4735" max="4735" width="12" style="30" customWidth="1"/>
    <col min="4736" max="4736" width="8.75" style="30" customWidth="1"/>
    <col min="4737" max="4737" width="9.625" style="30" bestFit="1" customWidth="1"/>
    <col min="4738" max="4738" width="9.625" style="30" customWidth="1"/>
    <col min="4739" max="4740" width="11.25" style="30" customWidth="1"/>
    <col min="4741" max="4741" width="12" style="30" customWidth="1"/>
    <col min="4742" max="4743" width="10.625" style="30" customWidth="1"/>
    <col min="4744" max="4744" width="11" style="30" customWidth="1"/>
    <col min="4745" max="4745" width="10.625" style="30" customWidth="1"/>
    <col min="4746" max="4746" width="12.375" style="30" customWidth="1"/>
    <col min="4747" max="4747" width="12" style="30" customWidth="1"/>
    <col min="4748" max="4748" width="11.625" style="30" customWidth="1"/>
    <col min="4749" max="4749" width="10.5" style="30" customWidth="1"/>
    <col min="4750" max="4750" width="8.625" style="30" customWidth="1"/>
    <col min="4751" max="4751" width="11.25" style="30" customWidth="1"/>
    <col min="4752" max="4752" width="9.875" style="30" customWidth="1"/>
    <col min="4753" max="4753" width="11.125" style="30" customWidth="1"/>
    <col min="4754" max="4754" width="11.625" style="30" customWidth="1"/>
    <col min="4755" max="4755" width="12.625" style="30" customWidth="1"/>
    <col min="4756" max="4756" width="11.5" style="30" customWidth="1"/>
    <col min="4757" max="4757" width="9.375" style="30"/>
    <col min="4758" max="4758" width="13.125" style="30" customWidth="1"/>
    <col min="4759" max="4759" width="9.5" style="30" customWidth="1"/>
    <col min="4760" max="4760" width="11.625" style="30" customWidth="1"/>
    <col min="4761" max="4761" width="11.5" style="30" customWidth="1"/>
    <col min="4762" max="4762" width="9.625" style="30" customWidth="1"/>
    <col min="4763" max="4763" width="9.25" style="30" customWidth="1"/>
    <col min="4764" max="4764" width="8.75" style="30" customWidth="1"/>
    <col min="4765" max="4765" width="9" style="30" customWidth="1"/>
    <col min="4766" max="4766" width="8.625" style="30" customWidth="1"/>
    <col min="4767" max="4767" width="11.125" style="30" customWidth="1"/>
    <col min="4768" max="4768" width="11.25" style="30" customWidth="1"/>
    <col min="4769" max="4769" width="11.5" style="30" customWidth="1"/>
    <col min="4770" max="4771" width="9" style="30" customWidth="1"/>
    <col min="4772" max="4772" width="9.875" style="30" customWidth="1"/>
    <col min="4773" max="4773" width="9.25" style="30" customWidth="1"/>
    <col min="4774" max="4774" width="11.125" style="30" customWidth="1"/>
    <col min="4775" max="4775" width="11.375" style="30" customWidth="1"/>
    <col min="4776" max="4776" width="10.875" style="30" customWidth="1"/>
    <col min="4777" max="4777" width="8.375" style="30" customWidth="1"/>
    <col min="4778" max="4778" width="9.125" style="30" customWidth="1"/>
    <col min="4779" max="4780" width="9" style="30" customWidth="1"/>
    <col min="4781" max="4781" width="10.75" style="30" customWidth="1"/>
    <col min="4782" max="4782" width="10.625" style="30" customWidth="1"/>
    <col min="4783" max="4783" width="10.25" style="30" customWidth="1"/>
    <col min="4784" max="4784" width="8.125" style="30" customWidth="1"/>
    <col min="4785" max="4787" width="9" style="30" customWidth="1"/>
    <col min="4788" max="4788" width="11.375" style="30" customWidth="1"/>
    <col min="4789" max="4789" width="11.125" style="30" customWidth="1"/>
    <col min="4790" max="4790" width="14.5" style="30" customWidth="1"/>
    <col min="4791" max="4791" width="10.875" style="30" customWidth="1"/>
    <col min="4792" max="4792" width="8.5" style="30" customWidth="1"/>
    <col min="4793" max="4793" width="10.375" style="30" customWidth="1"/>
    <col min="4794" max="4794" width="9" style="30" customWidth="1"/>
    <col min="4795" max="4795" width="12" style="30" customWidth="1"/>
    <col min="4796" max="4803" width="10.875" style="30" customWidth="1"/>
    <col min="4804" max="4804" width="10.5" style="30" customWidth="1"/>
    <col min="4805" max="4805" width="11.875" style="30" customWidth="1"/>
    <col min="4806" max="4806" width="10.875" style="30" customWidth="1"/>
    <col min="4807" max="4808" width="9" style="30" customWidth="1"/>
    <col min="4809" max="4809" width="12.125" style="30" customWidth="1"/>
    <col min="4810" max="4810" width="9.625" style="30" customWidth="1"/>
    <col min="4811" max="4812" width="9" style="30" customWidth="1"/>
    <col min="4813" max="4813" width="12.625" style="30" customWidth="1"/>
    <col min="4814" max="4814" width="11" style="30" customWidth="1"/>
    <col min="4815" max="4815" width="11.75" style="30" bestFit="1" customWidth="1"/>
    <col min="4816" max="4816" width="11.875" style="30" customWidth="1"/>
    <col min="4817" max="4818" width="9" style="30" customWidth="1"/>
    <col min="4819" max="4819" width="12.25" style="30" customWidth="1"/>
    <col min="4820" max="4820" width="10.875" style="30" customWidth="1"/>
    <col min="4821" max="4821" width="9" style="30" customWidth="1"/>
    <col min="4822" max="4822" width="10.875" style="30" customWidth="1"/>
    <col min="4823" max="4823" width="10.5" style="30" customWidth="1"/>
    <col min="4824" max="4825" width="9" style="30" customWidth="1"/>
    <col min="4826" max="4826" width="12.625" style="30" customWidth="1"/>
    <col min="4827" max="4828" width="9" style="30" customWidth="1"/>
    <col min="4829" max="4829" width="12" style="30" customWidth="1"/>
    <col min="4830" max="4846" width="9" style="30" customWidth="1"/>
    <col min="4847" max="4847" width="12.375" style="30" customWidth="1"/>
    <col min="4848" max="4848" width="12.5" style="30" customWidth="1"/>
    <col min="4849" max="4849" width="11.875" style="30" customWidth="1"/>
    <col min="4850" max="4850" width="11.625" style="30" customWidth="1"/>
    <col min="4851" max="4851" width="12.125" style="30" customWidth="1"/>
    <col min="4852" max="4853" width="10.5" style="30" bestFit="1" customWidth="1"/>
    <col min="4854" max="4854" width="10.625" style="30" bestFit="1" customWidth="1"/>
    <col min="4855" max="4862" width="10.5" style="30" bestFit="1" customWidth="1"/>
    <col min="4863" max="4863" width="10.5" style="30" customWidth="1"/>
    <col min="4864" max="4864" width="10.5" style="30" bestFit="1" customWidth="1"/>
    <col min="4865" max="4865" width="11.5" style="30" customWidth="1"/>
    <col min="4866" max="4866" width="9.5" style="30" bestFit="1" customWidth="1"/>
    <col min="4867" max="4877" width="10.5" style="30" bestFit="1" customWidth="1"/>
    <col min="4878" max="4878" width="12.75" style="30" bestFit="1" customWidth="1"/>
    <col min="4879" max="4883" width="10.5" style="30" bestFit="1" customWidth="1"/>
    <col min="4884" max="4885" width="9.375" style="30"/>
    <col min="4886" max="4886" width="8.5" style="30" customWidth="1"/>
    <col min="4887" max="4887" width="8" style="30" customWidth="1"/>
    <col min="4888" max="4888" width="21.25" style="30" customWidth="1"/>
    <col min="4889" max="4889" width="16.25" style="30" customWidth="1"/>
    <col min="4890" max="4890" width="11.625" style="30" customWidth="1"/>
    <col min="4891" max="4891" width="13.625" style="30" customWidth="1"/>
    <col min="4892" max="4892" width="12.875" style="30" customWidth="1"/>
    <col min="4893" max="4893" width="15.5" style="30" customWidth="1"/>
    <col min="4894" max="4895" width="13.375" style="30" customWidth="1"/>
    <col min="4896" max="4896" width="14.375" style="30" customWidth="1"/>
    <col min="4897" max="4897" width="11.875" style="30" customWidth="1"/>
    <col min="4898" max="4899" width="14.25" style="30" customWidth="1"/>
    <col min="4900" max="4900" width="8.625" style="30" customWidth="1"/>
    <col min="4901" max="4901" width="10.625" style="30" customWidth="1"/>
    <col min="4902" max="4902" width="9.875" style="30" customWidth="1"/>
    <col min="4903" max="4903" width="14" style="30" customWidth="1"/>
    <col min="4904" max="4904" width="10.875" style="30" customWidth="1"/>
    <col min="4905" max="4905" width="12.375" style="30" customWidth="1"/>
    <col min="4906" max="4906" width="12" style="30" customWidth="1"/>
    <col min="4907" max="4907" width="13.625" style="30" customWidth="1"/>
    <col min="4908" max="4908" width="10" style="30" customWidth="1"/>
    <col min="4909" max="4909" width="9.625" style="30" customWidth="1"/>
    <col min="4910" max="4910" width="11.75" style="30" customWidth="1"/>
    <col min="4911" max="4911" width="11.375" style="30" customWidth="1"/>
    <col min="4912" max="4912" width="12.875" style="30" customWidth="1"/>
    <col min="4913" max="4913" width="13" style="30" customWidth="1"/>
    <col min="4914" max="4914" width="8.875" style="30" customWidth="1"/>
    <col min="4915" max="4915" width="13.125" style="30" customWidth="1"/>
    <col min="4916" max="4916" width="9.625" style="30" customWidth="1"/>
    <col min="4917" max="4917" width="12.875" style="30" customWidth="1"/>
    <col min="4918" max="4918" width="11.5" style="30" customWidth="1"/>
    <col min="4919" max="4919" width="9.75" style="30" customWidth="1"/>
    <col min="4920" max="4920" width="13.375" style="30" customWidth="1"/>
    <col min="4921" max="4921" width="12.125" style="30" customWidth="1"/>
    <col min="4922" max="4922" width="10.25" style="30" customWidth="1"/>
    <col min="4923" max="4923" width="11.625" style="30" bestFit="1" customWidth="1"/>
    <col min="4924" max="4924" width="9.875" style="30" customWidth="1"/>
    <col min="4925" max="4925" width="13.375" style="30" customWidth="1"/>
    <col min="4926" max="4926" width="11.5" style="30" customWidth="1"/>
    <col min="4927" max="4927" width="12" style="30" customWidth="1"/>
    <col min="4928" max="4928" width="9.125" style="30" customWidth="1"/>
    <col min="4929" max="4929" width="9" style="30" customWidth="1"/>
    <col min="4930" max="4930" width="12.875" style="30" bestFit="1" customWidth="1"/>
    <col min="4931" max="4932" width="12" style="30" customWidth="1"/>
    <col min="4933" max="4933" width="11.875" style="30" customWidth="1"/>
    <col min="4934" max="4934" width="11" style="30" customWidth="1"/>
    <col min="4935" max="4935" width="11.625" style="30" customWidth="1"/>
    <col min="4936" max="4936" width="8.875" style="30" customWidth="1"/>
    <col min="4937" max="4937" width="11.625" style="30" bestFit="1" customWidth="1"/>
    <col min="4938" max="4938" width="9.625" style="30" customWidth="1"/>
    <col min="4939" max="4939" width="12.125" style="30" customWidth="1"/>
    <col min="4940" max="4940" width="11.875" style="30" customWidth="1"/>
    <col min="4941" max="4941" width="13.375" style="30" customWidth="1"/>
    <col min="4942" max="4942" width="11.5" style="30" customWidth="1"/>
    <col min="4943" max="4943" width="9.25" style="30" customWidth="1"/>
    <col min="4944" max="4944" width="11.625" style="30" bestFit="1" customWidth="1"/>
    <col min="4945" max="4945" width="10.625" style="30" customWidth="1"/>
    <col min="4946" max="4946" width="12" style="30" customWidth="1"/>
    <col min="4947" max="4947" width="11.625" style="30" customWidth="1"/>
    <col min="4948" max="4948" width="14" style="30" customWidth="1"/>
    <col min="4949" max="4949" width="11.125" style="30" customWidth="1"/>
    <col min="4950" max="4950" width="9.75" style="30" customWidth="1"/>
    <col min="4951" max="4951" width="11.625" style="30" bestFit="1" customWidth="1"/>
    <col min="4952" max="4952" width="10.125" style="30" customWidth="1"/>
    <col min="4953" max="4953" width="11.625" style="30" customWidth="1"/>
    <col min="4954" max="4954" width="11.375" style="30" customWidth="1"/>
    <col min="4955" max="4955" width="12.375" style="30" customWidth="1"/>
    <col min="4956" max="4957" width="10.875" style="30" customWidth="1"/>
    <col min="4958" max="4958" width="10.5" style="30" bestFit="1" customWidth="1"/>
    <col min="4959" max="4959" width="9.625" style="30" customWidth="1"/>
    <col min="4960" max="4960" width="11.875" style="30" customWidth="1"/>
    <col min="4961" max="4961" width="11.75" style="30" customWidth="1"/>
    <col min="4962" max="4962" width="14.125" style="30" customWidth="1"/>
    <col min="4963" max="4963" width="13.125" style="30" customWidth="1"/>
    <col min="4964" max="4964" width="8.75" style="30" customWidth="1"/>
    <col min="4965" max="4965" width="11.5" style="30" bestFit="1" customWidth="1"/>
    <col min="4966" max="4966" width="9.625" style="30" customWidth="1"/>
    <col min="4967" max="4967" width="13.625" style="30" customWidth="1"/>
    <col min="4968" max="4968" width="11.5" style="30" customWidth="1"/>
    <col min="4969" max="4969" width="11.75" style="30" customWidth="1"/>
    <col min="4970" max="4970" width="9.875" style="30" customWidth="1"/>
    <col min="4971" max="4971" width="9" style="30" customWidth="1"/>
    <col min="4972" max="4972" width="9.625" style="30" bestFit="1" customWidth="1"/>
    <col min="4973" max="4973" width="12.625" style="30" customWidth="1"/>
    <col min="4974" max="4974" width="12.375" style="30" customWidth="1"/>
    <col min="4975" max="4975" width="11.625" style="30" customWidth="1"/>
    <col min="4976" max="4977" width="14.125" style="30" customWidth="1"/>
    <col min="4978" max="4978" width="9.125" style="30" customWidth="1"/>
    <col min="4979" max="4979" width="10.5" style="30" bestFit="1" customWidth="1"/>
    <col min="4980" max="4980" width="9.625" style="30" customWidth="1"/>
    <col min="4981" max="4981" width="14.25" style="30" customWidth="1"/>
    <col min="4982" max="4982" width="11.875" style="30" customWidth="1"/>
    <col min="4983" max="4983" width="11" style="30" customWidth="1"/>
    <col min="4984" max="4984" width="11.75" style="30" customWidth="1"/>
    <col min="4985" max="4985" width="11.25" style="30" customWidth="1"/>
    <col min="4986" max="4986" width="9.625" style="30" bestFit="1" customWidth="1"/>
    <col min="4987" max="4987" width="9.625" style="30" customWidth="1"/>
    <col min="4988" max="4988" width="14.125" style="30" customWidth="1"/>
    <col min="4989" max="4989" width="11.125" style="30" customWidth="1"/>
    <col min="4990" max="4990" width="11.25" style="30" customWidth="1"/>
    <col min="4991" max="4991" width="12" style="30" customWidth="1"/>
    <col min="4992" max="4992" width="8.75" style="30" customWidth="1"/>
    <col min="4993" max="4993" width="9.625" style="30" bestFit="1" customWidth="1"/>
    <col min="4994" max="4994" width="9.625" style="30" customWidth="1"/>
    <col min="4995" max="4996" width="11.25" style="30" customWidth="1"/>
    <col min="4997" max="4997" width="12" style="30" customWidth="1"/>
    <col min="4998" max="4999" width="10.625" style="30" customWidth="1"/>
    <col min="5000" max="5000" width="11" style="30" customWidth="1"/>
    <col min="5001" max="5001" width="10.625" style="30" customWidth="1"/>
    <col min="5002" max="5002" width="12.375" style="30" customWidth="1"/>
    <col min="5003" max="5003" width="12" style="30" customWidth="1"/>
    <col min="5004" max="5004" width="11.625" style="30" customWidth="1"/>
    <col min="5005" max="5005" width="10.5" style="30" customWidth="1"/>
    <col min="5006" max="5006" width="8.625" style="30" customWidth="1"/>
    <col min="5007" max="5007" width="11.25" style="30" customWidth="1"/>
    <col min="5008" max="5008" width="9.875" style="30" customWidth="1"/>
    <col min="5009" max="5009" width="11.125" style="30" customWidth="1"/>
    <col min="5010" max="5010" width="11.625" style="30" customWidth="1"/>
    <col min="5011" max="5011" width="12.625" style="30" customWidth="1"/>
    <col min="5012" max="5012" width="11.5" style="30" customWidth="1"/>
    <col min="5013" max="5013" width="9.375" style="30"/>
    <col min="5014" max="5014" width="13.125" style="30" customWidth="1"/>
    <col min="5015" max="5015" width="9.5" style="30" customWidth="1"/>
    <col min="5016" max="5016" width="11.625" style="30" customWidth="1"/>
    <col min="5017" max="5017" width="11.5" style="30" customWidth="1"/>
    <col min="5018" max="5018" width="9.625" style="30" customWidth="1"/>
    <col min="5019" max="5019" width="9.25" style="30" customWidth="1"/>
    <col min="5020" max="5020" width="8.75" style="30" customWidth="1"/>
    <col min="5021" max="5021" width="9" style="30" customWidth="1"/>
    <col min="5022" max="5022" width="8.625" style="30" customWidth="1"/>
    <col min="5023" max="5023" width="11.125" style="30" customWidth="1"/>
    <col min="5024" max="5024" width="11.25" style="30" customWidth="1"/>
    <col min="5025" max="5025" width="11.5" style="30" customWidth="1"/>
    <col min="5026" max="5027" width="9" style="30" customWidth="1"/>
    <col min="5028" max="5028" width="9.875" style="30" customWidth="1"/>
    <col min="5029" max="5029" width="9.25" style="30" customWidth="1"/>
    <col min="5030" max="5030" width="11.125" style="30" customWidth="1"/>
    <col min="5031" max="5031" width="11.375" style="30" customWidth="1"/>
    <col min="5032" max="5032" width="10.875" style="30" customWidth="1"/>
    <col min="5033" max="5033" width="8.375" style="30" customWidth="1"/>
    <col min="5034" max="5034" width="9.125" style="30" customWidth="1"/>
    <col min="5035" max="5036" width="9" style="30" customWidth="1"/>
    <col min="5037" max="5037" width="10.75" style="30" customWidth="1"/>
    <col min="5038" max="5038" width="10.625" style="30" customWidth="1"/>
    <col min="5039" max="5039" width="10.25" style="30" customWidth="1"/>
    <col min="5040" max="5040" width="8.125" style="30" customWidth="1"/>
    <col min="5041" max="5043" width="9" style="30" customWidth="1"/>
    <col min="5044" max="5044" width="11.375" style="30" customWidth="1"/>
    <col min="5045" max="5045" width="11.125" style="30" customWidth="1"/>
    <col min="5046" max="5046" width="14.5" style="30" customWidth="1"/>
    <col min="5047" max="5047" width="10.875" style="30" customWidth="1"/>
    <col min="5048" max="5048" width="8.5" style="30" customWidth="1"/>
    <col min="5049" max="5049" width="10.375" style="30" customWidth="1"/>
    <col min="5050" max="5050" width="9" style="30" customWidth="1"/>
    <col min="5051" max="5051" width="12" style="30" customWidth="1"/>
    <col min="5052" max="5059" width="10.875" style="30" customWidth="1"/>
    <col min="5060" max="5060" width="10.5" style="30" customWidth="1"/>
    <col min="5061" max="5061" width="11.875" style="30" customWidth="1"/>
    <col min="5062" max="5062" width="10.875" style="30" customWidth="1"/>
    <col min="5063" max="5064" width="9" style="30" customWidth="1"/>
    <col min="5065" max="5065" width="12.125" style="30" customWidth="1"/>
    <col min="5066" max="5066" width="9.625" style="30" customWidth="1"/>
    <col min="5067" max="5068" width="9" style="30" customWidth="1"/>
    <col min="5069" max="5069" width="12.625" style="30" customWidth="1"/>
    <col min="5070" max="5070" width="11" style="30" customWidth="1"/>
    <col min="5071" max="5071" width="11.75" style="30" bestFit="1" customWidth="1"/>
    <col min="5072" max="5072" width="11.875" style="30" customWidth="1"/>
    <col min="5073" max="5074" width="9" style="30" customWidth="1"/>
    <col min="5075" max="5075" width="12.25" style="30" customWidth="1"/>
    <col min="5076" max="5076" width="10.875" style="30" customWidth="1"/>
    <col min="5077" max="5077" width="9" style="30" customWidth="1"/>
    <col min="5078" max="5078" width="10.875" style="30" customWidth="1"/>
    <col min="5079" max="5079" width="10.5" style="30" customWidth="1"/>
    <col min="5080" max="5081" width="9" style="30" customWidth="1"/>
    <col min="5082" max="5082" width="12.625" style="30" customWidth="1"/>
    <col min="5083" max="5084" width="9" style="30" customWidth="1"/>
    <col min="5085" max="5085" width="12" style="30" customWidth="1"/>
    <col min="5086" max="5102" width="9" style="30" customWidth="1"/>
    <col min="5103" max="5103" width="12.375" style="30" customWidth="1"/>
    <col min="5104" max="5104" width="12.5" style="30" customWidth="1"/>
    <col min="5105" max="5105" width="11.875" style="30" customWidth="1"/>
    <col min="5106" max="5106" width="11.625" style="30" customWidth="1"/>
    <col min="5107" max="5107" width="12.125" style="30" customWidth="1"/>
    <col min="5108" max="5109" width="10.5" style="30" bestFit="1" customWidth="1"/>
    <col min="5110" max="5110" width="10.625" style="30" bestFit="1" customWidth="1"/>
    <col min="5111" max="5118" width="10.5" style="30" bestFit="1" customWidth="1"/>
    <col min="5119" max="5119" width="10.5" style="30" customWidth="1"/>
    <col min="5120" max="5120" width="10.5" style="30" bestFit="1" customWidth="1"/>
    <col min="5121" max="5121" width="11.5" style="30" customWidth="1"/>
    <col min="5122" max="5122" width="9.5" style="30" bestFit="1" customWidth="1"/>
    <col min="5123" max="5133" width="10.5" style="30" bestFit="1" customWidth="1"/>
    <col min="5134" max="5134" width="12.75" style="30" bestFit="1" customWidth="1"/>
    <col min="5135" max="5139" width="10.5" style="30" bestFit="1" customWidth="1"/>
    <col min="5140" max="5141" width="9.375" style="30"/>
    <col min="5142" max="5142" width="8.5" style="30" customWidth="1"/>
    <col min="5143" max="5143" width="8" style="30" customWidth="1"/>
    <col min="5144" max="5144" width="21.25" style="30" customWidth="1"/>
    <col min="5145" max="5145" width="16.25" style="30" customWidth="1"/>
    <col min="5146" max="5146" width="11.625" style="30" customWidth="1"/>
    <col min="5147" max="5147" width="13.625" style="30" customWidth="1"/>
    <col min="5148" max="5148" width="12.875" style="30" customWidth="1"/>
    <col min="5149" max="5149" width="15.5" style="30" customWidth="1"/>
    <col min="5150" max="5151" width="13.375" style="30" customWidth="1"/>
    <col min="5152" max="5152" width="14.375" style="30" customWidth="1"/>
    <col min="5153" max="5153" width="11.875" style="30" customWidth="1"/>
    <col min="5154" max="5155" width="14.25" style="30" customWidth="1"/>
    <col min="5156" max="5156" width="8.625" style="30" customWidth="1"/>
    <col min="5157" max="5157" width="10.625" style="30" customWidth="1"/>
    <col min="5158" max="5158" width="9.875" style="30" customWidth="1"/>
    <col min="5159" max="5159" width="14" style="30" customWidth="1"/>
    <col min="5160" max="5160" width="10.875" style="30" customWidth="1"/>
    <col min="5161" max="5161" width="12.375" style="30" customWidth="1"/>
    <col min="5162" max="5162" width="12" style="30" customWidth="1"/>
    <col min="5163" max="5163" width="13.625" style="30" customWidth="1"/>
    <col min="5164" max="5164" width="10" style="30" customWidth="1"/>
    <col min="5165" max="5165" width="9.625" style="30" customWidth="1"/>
    <col min="5166" max="5166" width="11.75" style="30" customWidth="1"/>
    <col min="5167" max="5167" width="11.375" style="30" customWidth="1"/>
    <col min="5168" max="5168" width="12.875" style="30" customWidth="1"/>
    <col min="5169" max="5169" width="13" style="30" customWidth="1"/>
    <col min="5170" max="5170" width="8.875" style="30" customWidth="1"/>
    <col min="5171" max="5171" width="13.125" style="30" customWidth="1"/>
    <col min="5172" max="5172" width="9.625" style="30" customWidth="1"/>
    <col min="5173" max="5173" width="12.875" style="30" customWidth="1"/>
    <col min="5174" max="5174" width="11.5" style="30" customWidth="1"/>
    <col min="5175" max="5175" width="9.75" style="30" customWidth="1"/>
    <col min="5176" max="5176" width="13.375" style="30" customWidth="1"/>
    <col min="5177" max="5177" width="12.125" style="30" customWidth="1"/>
    <col min="5178" max="5178" width="10.25" style="30" customWidth="1"/>
    <col min="5179" max="5179" width="11.625" style="30" bestFit="1" customWidth="1"/>
    <col min="5180" max="5180" width="9.875" style="30" customWidth="1"/>
    <col min="5181" max="5181" width="13.375" style="30" customWidth="1"/>
    <col min="5182" max="5182" width="11.5" style="30" customWidth="1"/>
    <col min="5183" max="5183" width="12" style="30" customWidth="1"/>
    <col min="5184" max="5184" width="9.125" style="30" customWidth="1"/>
    <col min="5185" max="5185" width="9" style="30" customWidth="1"/>
    <col min="5186" max="5186" width="12.875" style="30" bestFit="1" customWidth="1"/>
    <col min="5187" max="5188" width="12" style="30" customWidth="1"/>
    <col min="5189" max="5189" width="11.875" style="30" customWidth="1"/>
    <col min="5190" max="5190" width="11" style="30" customWidth="1"/>
    <col min="5191" max="5191" width="11.625" style="30" customWidth="1"/>
    <col min="5192" max="5192" width="8.875" style="30" customWidth="1"/>
    <col min="5193" max="5193" width="11.625" style="30" bestFit="1" customWidth="1"/>
    <col min="5194" max="5194" width="9.625" style="30" customWidth="1"/>
    <col min="5195" max="5195" width="12.125" style="30" customWidth="1"/>
    <col min="5196" max="5196" width="11.875" style="30" customWidth="1"/>
    <col min="5197" max="5197" width="13.375" style="30" customWidth="1"/>
    <col min="5198" max="5198" width="11.5" style="30" customWidth="1"/>
    <col min="5199" max="5199" width="9.25" style="30" customWidth="1"/>
    <col min="5200" max="5200" width="11.625" style="30" bestFit="1" customWidth="1"/>
    <col min="5201" max="5201" width="10.625" style="30" customWidth="1"/>
    <col min="5202" max="5202" width="12" style="30" customWidth="1"/>
    <col min="5203" max="5203" width="11.625" style="30" customWidth="1"/>
    <col min="5204" max="5204" width="14" style="30" customWidth="1"/>
    <col min="5205" max="5205" width="11.125" style="30" customWidth="1"/>
    <col min="5206" max="5206" width="9.75" style="30" customWidth="1"/>
    <col min="5207" max="5207" width="11.625" style="30" bestFit="1" customWidth="1"/>
    <col min="5208" max="5208" width="10.125" style="30" customWidth="1"/>
    <col min="5209" max="5209" width="11.625" style="30" customWidth="1"/>
    <col min="5210" max="5210" width="11.375" style="30" customWidth="1"/>
    <col min="5211" max="5211" width="12.375" style="30" customWidth="1"/>
    <col min="5212" max="5213" width="10.875" style="30" customWidth="1"/>
    <col min="5214" max="5214" width="10.5" style="30" bestFit="1" customWidth="1"/>
    <col min="5215" max="5215" width="9.625" style="30" customWidth="1"/>
    <col min="5216" max="5216" width="11.875" style="30" customWidth="1"/>
    <col min="5217" max="5217" width="11.75" style="30" customWidth="1"/>
    <col min="5218" max="5218" width="14.125" style="30" customWidth="1"/>
    <col min="5219" max="5219" width="13.125" style="30" customWidth="1"/>
    <col min="5220" max="5220" width="8.75" style="30" customWidth="1"/>
    <col min="5221" max="5221" width="11.5" style="30" bestFit="1" customWidth="1"/>
    <col min="5222" max="5222" width="9.625" style="30" customWidth="1"/>
    <col min="5223" max="5223" width="13.625" style="30" customWidth="1"/>
    <col min="5224" max="5224" width="11.5" style="30" customWidth="1"/>
    <col min="5225" max="5225" width="11.75" style="30" customWidth="1"/>
    <col min="5226" max="5226" width="9.875" style="30" customWidth="1"/>
    <col min="5227" max="5227" width="9" style="30" customWidth="1"/>
    <col min="5228" max="5228" width="9.625" style="30" bestFit="1" customWidth="1"/>
    <col min="5229" max="5229" width="12.625" style="30" customWidth="1"/>
    <col min="5230" max="5230" width="12.375" style="30" customWidth="1"/>
    <col min="5231" max="5231" width="11.625" style="30" customWidth="1"/>
    <col min="5232" max="5233" width="14.125" style="30" customWidth="1"/>
    <col min="5234" max="5234" width="9.125" style="30" customWidth="1"/>
    <col min="5235" max="5235" width="10.5" style="30" bestFit="1" customWidth="1"/>
    <col min="5236" max="5236" width="9.625" style="30" customWidth="1"/>
    <col min="5237" max="5237" width="14.25" style="30" customWidth="1"/>
    <col min="5238" max="5238" width="11.875" style="30" customWidth="1"/>
    <col min="5239" max="5239" width="11" style="30" customWidth="1"/>
    <col min="5240" max="5240" width="11.75" style="30" customWidth="1"/>
    <col min="5241" max="5241" width="11.25" style="30" customWidth="1"/>
    <col min="5242" max="5242" width="9.625" style="30" bestFit="1" customWidth="1"/>
    <col min="5243" max="5243" width="9.625" style="30" customWidth="1"/>
    <col min="5244" max="5244" width="14.125" style="30" customWidth="1"/>
    <col min="5245" max="5245" width="11.125" style="30" customWidth="1"/>
    <col min="5246" max="5246" width="11.25" style="30" customWidth="1"/>
    <col min="5247" max="5247" width="12" style="30" customWidth="1"/>
    <col min="5248" max="5248" width="8.75" style="30" customWidth="1"/>
    <col min="5249" max="5249" width="9.625" style="30" bestFit="1" customWidth="1"/>
    <col min="5250" max="5250" width="9.625" style="30" customWidth="1"/>
    <col min="5251" max="5252" width="11.25" style="30" customWidth="1"/>
    <col min="5253" max="5253" width="12" style="30" customWidth="1"/>
    <col min="5254" max="5255" width="10.625" style="30" customWidth="1"/>
    <col min="5256" max="5256" width="11" style="30" customWidth="1"/>
    <col min="5257" max="5257" width="10.625" style="30" customWidth="1"/>
    <col min="5258" max="5258" width="12.375" style="30" customWidth="1"/>
    <col min="5259" max="5259" width="12" style="30" customWidth="1"/>
    <col min="5260" max="5260" width="11.625" style="30" customWidth="1"/>
    <col min="5261" max="5261" width="10.5" style="30" customWidth="1"/>
    <col min="5262" max="5262" width="8.625" style="30" customWidth="1"/>
    <col min="5263" max="5263" width="11.25" style="30" customWidth="1"/>
    <col min="5264" max="5264" width="9.875" style="30" customWidth="1"/>
    <col min="5265" max="5265" width="11.125" style="30" customWidth="1"/>
    <col min="5266" max="5266" width="11.625" style="30" customWidth="1"/>
    <col min="5267" max="5267" width="12.625" style="30" customWidth="1"/>
    <col min="5268" max="5268" width="11.5" style="30" customWidth="1"/>
    <col min="5269" max="5269" width="9.375" style="30"/>
    <col min="5270" max="5270" width="13.125" style="30" customWidth="1"/>
    <col min="5271" max="5271" width="9.5" style="30" customWidth="1"/>
    <col min="5272" max="5272" width="11.625" style="30" customWidth="1"/>
    <col min="5273" max="5273" width="11.5" style="30" customWidth="1"/>
    <col min="5274" max="5274" width="9.625" style="30" customWidth="1"/>
    <col min="5275" max="5275" width="9.25" style="30" customWidth="1"/>
    <col min="5276" max="5276" width="8.75" style="30" customWidth="1"/>
    <col min="5277" max="5277" width="9" style="30" customWidth="1"/>
    <col min="5278" max="5278" width="8.625" style="30" customWidth="1"/>
    <col min="5279" max="5279" width="11.125" style="30" customWidth="1"/>
    <col min="5280" max="5280" width="11.25" style="30" customWidth="1"/>
    <col min="5281" max="5281" width="11.5" style="30" customWidth="1"/>
    <col min="5282" max="5283" width="9" style="30" customWidth="1"/>
    <col min="5284" max="5284" width="9.875" style="30" customWidth="1"/>
    <col min="5285" max="5285" width="9.25" style="30" customWidth="1"/>
    <col min="5286" max="5286" width="11.125" style="30" customWidth="1"/>
    <col min="5287" max="5287" width="11.375" style="30" customWidth="1"/>
    <col min="5288" max="5288" width="10.875" style="30" customWidth="1"/>
    <col min="5289" max="5289" width="8.375" style="30" customWidth="1"/>
    <col min="5290" max="5290" width="9.125" style="30" customWidth="1"/>
    <col min="5291" max="5292" width="9" style="30" customWidth="1"/>
    <col min="5293" max="5293" width="10.75" style="30" customWidth="1"/>
    <col min="5294" max="5294" width="10.625" style="30" customWidth="1"/>
    <col min="5295" max="5295" width="10.25" style="30" customWidth="1"/>
    <col min="5296" max="5296" width="8.125" style="30" customWidth="1"/>
    <col min="5297" max="5299" width="9" style="30" customWidth="1"/>
    <col min="5300" max="5300" width="11.375" style="30" customWidth="1"/>
    <col min="5301" max="5301" width="11.125" style="30" customWidth="1"/>
    <col min="5302" max="5302" width="14.5" style="30" customWidth="1"/>
    <col min="5303" max="5303" width="10.875" style="30" customWidth="1"/>
    <col min="5304" max="5304" width="8.5" style="30" customWidth="1"/>
    <col min="5305" max="5305" width="10.375" style="30" customWidth="1"/>
    <col min="5306" max="5306" width="9" style="30" customWidth="1"/>
    <col min="5307" max="5307" width="12" style="30" customWidth="1"/>
    <col min="5308" max="5315" width="10.875" style="30" customWidth="1"/>
    <col min="5316" max="5316" width="10.5" style="30" customWidth="1"/>
    <col min="5317" max="5317" width="11.875" style="30" customWidth="1"/>
    <col min="5318" max="5318" width="10.875" style="30" customWidth="1"/>
    <col min="5319" max="5320" width="9" style="30" customWidth="1"/>
    <col min="5321" max="5321" width="12.125" style="30" customWidth="1"/>
    <col min="5322" max="5322" width="9.625" style="30" customWidth="1"/>
    <col min="5323" max="5324" width="9" style="30" customWidth="1"/>
    <col min="5325" max="5325" width="12.625" style="30" customWidth="1"/>
    <col min="5326" max="5326" width="11" style="30" customWidth="1"/>
    <col min="5327" max="5327" width="11.75" style="30" bestFit="1" customWidth="1"/>
    <col min="5328" max="5328" width="11.875" style="30" customWidth="1"/>
    <col min="5329" max="5330" width="9" style="30" customWidth="1"/>
    <col min="5331" max="5331" width="12.25" style="30" customWidth="1"/>
    <col min="5332" max="5332" width="10.875" style="30" customWidth="1"/>
    <col min="5333" max="5333" width="9" style="30" customWidth="1"/>
    <col min="5334" max="5334" width="10.875" style="30" customWidth="1"/>
    <col min="5335" max="5335" width="10.5" style="30" customWidth="1"/>
    <col min="5336" max="5337" width="9" style="30" customWidth="1"/>
    <col min="5338" max="5338" width="12.625" style="30" customWidth="1"/>
    <col min="5339" max="5340" width="9" style="30" customWidth="1"/>
    <col min="5341" max="5341" width="12" style="30" customWidth="1"/>
    <col min="5342" max="5358" width="9" style="30" customWidth="1"/>
    <col min="5359" max="5359" width="12.375" style="30" customWidth="1"/>
    <col min="5360" max="5360" width="12.5" style="30" customWidth="1"/>
    <col min="5361" max="5361" width="11.875" style="30" customWidth="1"/>
    <col min="5362" max="5362" width="11.625" style="30" customWidth="1"/>
    <col min="5363" max="5363" width="12.125" style="30" customWidth="1"/>
    <col min="5364" max="5365" width="10.5" style="30" bestFit="1" customWidth="1"/>
    <col min="5366" max="5366" width="10.625" style="30" bestFit="1" customWidth="1"/>
    <col min="5367" max="5374" width="10.5" style="30" bestFit="1" customWidth="1"/>
    <col min="5375" max="5375" width="10.5" style="30" customWidth="1"/>
    <col min="5376" max="5376" width="10.5" style="30" bestFit="1" customWidth="1"/>
    <col min="5377" max="5377" width="11.5" style="30" customWidth="1"/>
    <col min="5378" max="5378" width="9.5" style="30" bestFit="1" customWidth="1"/>
    <col min="5379" max="5389" width="10.5" style="30" bestFit="1" customWidth="1"/>
    <col min="5390" max="5390" width="12.75" style="30" bestFit="1" customWidth="1"/>
    <col min="5391" max="5395" width="10.5" style="30" bestFit="1" customWidth="1"/>
    <col min="5396" max="5397" width="9.375" style="30"/>
    <col min="5398" max="5398" width="8.5" style="30" customWidth="1"/>
    <col min="5399" max="5399" width="8" style="30" customWidth="1"/>
    <col min="5400" max="5400" width="21.25" style="30" customWidth="1"/>
    <col min="5401" max="5401" width="16.25" style="30" customWidth="1"/>
    <col min="5402" max="5402" width="11.625" style="30" customWidth="1"/>
    <col min="5403" max="5403" width="13.625" style="30" customWidth="1"/>
    <col min="5404" max="5404" width="12.875" style="30" customWidth="1"/>
    <col min="5405" max="5405" width="15.5" style="30" customWidth="1"/>
    <col min="5406" max="5407" width="13.375" style="30" customWidth="1"/>
    <col min="5408" max="5408" width="14.375" style="30" customWidth="1"/>
    <col min="5409" max="5409" width="11.875" style="30" customWidth="1"/>
    <col min="5410" max="5411" width="14.25" style="30" customWidth="1"/>
    <col min="5412" max="5412" width="8.625" style="30" customWidth="1"/>
    <col min="5413" max="5413" width="10.625" style="30" customWidth="1"/>
    <col min="5414" max="5414" width="9.875" style="30" customWidth="1"/>
    <col min="5415" max="5415" width="14" style="30" customWidth="1"/>
    <col min="5416" max="5416" width="10.875" style="30" customWidth="1"/>
    <col min="5417" max="5417" width="12.375" style="30" customWidth="1"/>
    <col min="5418" max="5418" width="12" style="30" customWidth="1"/>
    <col min="5419" max="5419" width="13.625" style="30" customWidth="1"/>
    <col min="5420" max="5420" width="10" style="30" customWidth="1"/>
    <col min="5421" max="5421" width="9.625" style="30" customWidth="1"/>
    <col min="5422" max="5422" width="11.75" style="30" customWidth="1"/>
    <col min="5423" max="5423" width="11.375" style="30" customWidth="1"/>
    <col min="5424" max="5424" width="12.875" style="30" customWidth="1"/>
    <col min="5425" max="5425" width="13" style="30" customWidth="1"/>
    <col min="5426" max="5426" width="8.875" style="30" customWidth="1"/>
    <col min="5427" max="5427" width="13.125" style="30" customWidth="1"/>
    <col min="5428" max="5428" width="9.625" style="30" customWidth="1"/>
    <col min="5429" max="5429" width="12.875" style="30" customWidth="1"/>
    <col min="5430" max="5430" width="11.5" style="30" customWidth="1"/>
    <col min="5431" max="5431" width="9.75" style="30" customWidth="1"/>
    <col min="5432" max="5432" width="13.375" style="30" customWidth="1"/>
    <col min="5433" max="5433" width="12.125" style="30" customWidth="1"/>
    <col min="5434" max="5434" width="10.25" style="30" customWidth="1"/>
    <col min="5435" max="5435" width="11.625" style="30" bestFit="1" customWidth="1"/>
    <col min="5436" max="5436" width="9.875" style="30" customWidth="1"/>
    <col min="5437" max="5437" width="13.375" style="30" customWidth="1"/>
    <col min="5438" max="5438" width="11.5" style="30" customWidth="1"/>
    <col min="5439" max="5439" width="12" style="30" customWidth="1"/>
    <col min="5440" max="5440" width="9.125" style="30" customWidth="1"/>
    <col min="5441" max="5441" width="9" style="30" customWidth="1"/>
    <col min="5442" max="5442" width="12.875" style="30" bestFit="1" customWidth="1"/>
    <col min="5443" max="5444" width="12" style="30" customWidth="1"/>
    <col min="5445" max="5445" width="11.875" style="30" customWidth="1"/>
    <col min="5446" max="5446" width="11" style="30" customWidth="1"/>
    <col min="5447" max="5447" width="11.625" style="30" customWidth="1"/>
    <col min="5448" max="5448" width="8.875" style="30" customWidth="1"/>
    <col min="5449" max="5449" width="11.625" style="30" bestFit="1" customWidth="1"/>
    <col min="5450" max="5450" width="9.625" style="30" customWidth="1"/>
    <col min="5451" max="5451" width="12.125" style="30" customWidth="1"/>
    <col min="5452" max="5452" width="11.875" style="30" customWidth="1"/>
    <col min="5453" max="5453" width="13.375" style="30" customWidth="1"/>
    <col min="5454" max="5454" width="11.5" style="30" customWidth="1"/>
    <col min="5455" max="5455" width="9.25" style="30" customWidth="1"/>
    <col min="5456" max="5456" width="11.625" style="30" bestFit="1" customWidth="1"/>
    <col min="5457" max="5457" width="10.625" style="30" customWidth="1"/>
    <col min="5458" max="5458" width="12" style="30" customWidth="1"/>
    <col min="5459" max="5459" width="11.625" style="30" customWidth="1"/>
    <col min="5460" max="5460" width="14" style="30" customWidth="1"/>
    <col min="5461" max="5461" width="11.125" style="30" customWidth="1"/>
    <col min="5462" max="5462" width="9.75" style="30" customWidth="1"/>
    <col min="5463" max="5463" width="11.625" style="30" bestFit="1" customWidth="1"/>
    <col min="5464" max="5464" width="10.125" style="30" customWidth="1"/>
    <col min="5465" max="5465" width="11.625" style="30" customWidth="1"/>
    <col min="5466" max="5466" width="11.375" style="30" customWidth="1"/>
    <col min="5467" max="5467" width="12.375" style="30" customWidth="1"/>
    <col min="5468" max="5469" width="10.875" style="30" customWidth="1"/>
    <col min="5470" max="5470" width="10.5" style="30" bestFit="1" customWidth="1"/>
    <col min="5471" max="5471" width="9.625" style="30" customWidth="1"/>
    <col min="5472" max="5472" width="11.875" style="30" customWidth="1"/>
    <col min="5473" max="5473" width="11.75" style="30" customWidth="1"/>
    <col min="5474" max="5474" width="14.125" style="30" customWidth="1"/>
    <col min="5475" max="5475" width="13.125" style="30" customWidth="1"/>
    <col min="5476" max="5476" width="8.75" style="30" customWidth="1"/>
    <col min="5477" max="5477" width="11.5" style="30" bestFit="1" customWidth="1"/>
    <col min="5478" max="5478" width="9.625" style="30" customWidth="1"/>
    <col min="5479" max="5479" width="13.625" style="30" customWidth="1"/>
    <col min="5480" max="5480" width="11.5" style="30" customWidth="1"/>
    <col min="5481" max="5481" width="11.75" style="30" customWidth="1"/>
    <col min="5482" max="5482" width="9.875" style="30" customWidth="1"/>
    <col min="5483" max="5483" width="9" style="30" customWidth="1"/>
    <col min="5484" max="5484" width="9.625" style="30" bestFit="1" customWidth="1"/>
    <col min="5485" max="5485" width="12.625" style="30" customWidth="1"/>
    <col min="5486" max="5486" width="12.375" style="30" customWidth="1"/>
    <col min="5487" max="5487" width="11.625" style="30" customWidth="1"/>
    <col min="5488" max="5489" width="14.125" style="30" customWidth="1"/>
    <col min="5490" max="5490" width="9.125" style="30" customWidth="1"/>
    <col min="5491" max="5491" width="10.5" style="30" bestFit="1" customWidth="1"/>
    <col min="5492" max="5492" width="9.625" style="30" customWidth="1"/>
    <col min="5493" max="5493" width="14.25" style="30" customWidth="1"/>
    <col min="5494" max="5494" width="11.875" style="30" customWidth="1"/>
    <col min="5495" max="5495" width="11" style="30" customWidth="1"/>
    <col min="5496" max="5496" width="11.75" style="30" customWidth="1"/>
    <col min="5497" max="5497" width="11.25" style="30" customWidth="1"/>
    <col min="5498" max="5498" width="9.625" style="30" bestFit="1" customWidth="1"/>
    <col min="5499" max="5499" width="9.625" style="30" customWidth="1"/>
    <col min="5500" max="5500" width="14.125" style="30" customWidth="1"/>
    <col min="5501" max="5501" width="11.125" style="30" customWidth="1"/>
    <col min="5502" max="5502" width="11.25" style="30" customWidth="1"/>
    <col min="5503" max="5503" width="12" style="30" customWidth="1"/>
    <col min="5504" max="5504" width="8.75" style="30" customWidth="1"/>
    <col min="5505" max="5505" width="9.625" style="30" bestFit="1" customWidth="1"/>
    <col min="5506" max="5506" width="9.625" style="30" customWidth="1"/>
    <col min="5507" max="5508" width="11.25" style="30" customWidth="1"/>
    <col min="5509" max="5509" width="12" style="30" customWidth="1"/>
    <col min="5510" max="5511" width="10.625" style="30" customWidth="1"/>
    <col min="5512" max="5512" width="11" style="30" customWidth="1"/>
    <col min="5513" max="5513" width="10.625" style="30" customWidth="1"/>
    <col min="5514" max="5514" width="12.375" style="30" customWidth="1"/>
    <col min="5515" max="5515" width="12" style="30" customWidth="1"/>
    <col min="5516" max="5516" width="11.625" style="30" customWidth="1"/>
    <col min="5517" max="5517" width="10.5" style="30" customWidth="1"/>
    <col min="5518" max="5518" width="8.625" style="30" customWidth="1"/>
    <col min="5519" max="5519" width="11.25" style="30" customWidth="1"/>
    <col min="5520" max="5520" width="9.875" style="30" customWidth="1"/>
    <col min="5521" max="5521" width="11.125" style="30" customWidth="1"/>
    <col min="5522" max="5522" width="11.625" style="30" customWidth="1"/>
    <col min="5523" max="5523" width="12.625" style="30" customWidth="1"/>
    <col min="5524" max="5524" width="11.5" style="30" customWidth="1"/>
    <col min="5525" max="5525" width="9.375" style="30"/>
    <col min="5526" max="5526" width="13.125" style="30" customWidth="1"/>
    <col min="5527" max="5527" width="9.5" style="30" customWidth="1"/>
    <col min="5528" max="5528" width="11.625" style="30" customWidth="1"/>
    <col min="5529" max="5529" width="11.5" style="30" customWidth="1"/>
    <col min="5530" max="5530" width="9.625" style="30" customWidth="1"/>
    <col min="5531" max="5531" width="9.25" style="30" customWidth="1"/>
    <col min="5532" max="5532" width="8.75" style="30" customWidth="1"/>
    <col min="5533" max="5533" width="9" style="30" customWidth="1"/>
    <col min="5534" max="5534" width="8.625" style="30" customWidth="1"/>
    <col min="5535" max="5535" width="11.125" style="30" customWidth="1"/>
    <col min="5536" max="5536" width="11.25" style="30" customWidth="1"/>
    <col min="5537" max="5537" width="11.5" style="30" customWidth="1"/>
    <col min="5538" max="5539" width="9" style="30" customWidth="1"/>
    <col min="5540" max="5540" width="9.875" style="30" customWidth="1"/>
    <col min="5541" max="5541" width="9.25" style="30" customWidth="1"/>
    <col min="5542" max="5542" width="11.125" style="30" customWidth="1"/>
    <col min="5543" max="5543" width="11.375" style="30" customWidth="1"/>
    <col min="5544" max="5544" width="10.875" style="30" customWidth="1"/>
    <col min="5545" max="5545" width="8.375" style="30" customWidth="1"/>
    <col min="5546" max="5546" width="9.125" style="30" customWidth="1"/>
    <col min="5547" max="5548" width="9" style="30" customWidth="1"/>
    <col min="5549" max="5549" width="10.75" style="30" customWidth="1"/>
    <col min="5550" max="5550" width="10.625" style="30" customWidth="1"/>
    <col min="5551" max="5551" width="10.25" style="30" customWidth="1"/>
    <col min="5552" max="5552" width="8.125" style="30" customWidth="1"/>
    <col min="5553" max="5555" width="9" style="30" customWidth="1"/>
    <col min="5556" max="5556" width="11.375" style="30" customWidth="1"/>
    <col min="5557" max="5557" width="11.125" style="30" customWidth="1"/>
    <col min="5558" max="5558" width="14.5" style="30" customWidth="1"/>
    <col min="5559" max="5559" width="10.875" style="30" customWidth="1"/>
    <col min="5560" max="5560" width="8.5" style="30" customWidth="1"/>
    <col min="5561" max="5561" width="10.375" style="30" customWidth="1"/>
    <col min="5562" max="5562" width="9" style="30" customWidth="1"/>
    <col min="5563" max="5563" width="12" style="30" customWidth="1"/>
    <col min="5564" max="5571" width="10.875" style="30" customWidth="1"/>
    <col min="5572" max="5572" width="10.5" style="30" customWidth="1"/>
    <col min="5573" max="5573" width="11.875" style="30" customWidth="1"/>
    <col min="5574" max="5574" width="10.875" style="30" customWidth="1"/>
    <col min="5575" max="5576" width="9" style="30" customWidth="1"/>
    <col min="5577" max="5577" width="12.125" style="30" customWidth="1"/>
    <col min="5578" max="5578" width="9.625" style="30" customWidth="1"/>
    <col min="5579" max="5580" width="9" style="30" customWidth="1"/>
    <col min="5581" max="5581" width="12.625" style="30" customWidth="1"/>
    <col min="5582" max="5582" width="11" style="30" customWidth="1"/>
    <col min="5583" max="5583" width="11.75" style="30" bestFit="1" customWidth="1"/>
    <col min="5584" max="5584" width="11.875" style="30" customWidth="1"/>
    <col min="5585" max="5586" width="9" style="30" customWidth="1"/>
    <col min="5587" max="5587" width="12.25" style="30" customWidth="1"/>
    <col min="5588" max="5588" width="10.875" style="30" customWidth="1"/>
    <col min="5589" max="5589" width="9" style="30" customWidth="1"/>
    <col min="5590" max="5590" width="10.875" style="30" customWidth="1"/>
    <col min="5591" max="5591" width="10.5" style="30" customWidth="1"/>
    <col min="5592" max="5593" width="9" style="30" customWidth="1"/>
    <col min="5594" max="5594" width="12.625" style="30" customWidth="1"/>
    <col min="5595" max="5596" width="9" style="30" customWidth="1"/>
    <col min="5597" max="5597" width="12" style="30" customWidth="1"/>
    <col min="5598" max="5614" width="9" style="30" customWidth="1"/>
    <col min="5615" max="5615" width="12.375" style="30" customWidth="1"/>
    <col min="5616" max="5616" width="12.5" style="30" customWidth="1"/>
    <col min="5617" max="5617" width="11.875" style="30" customWidth="1"/>
    <col min="5618" max="5618" width="11.625" style="30" customWidth="1"/>
    <col min="5619" max="5619" width="12.125" style="30" customWidth="1"/>
    <col min="5620" max="5621" width="10.5" style="30" bestFit="1" customWidth="1"/>
    <col min="5622" max="5622" width="10.625" style="30" bestFit="1" customWidth="1"/>
    <col min="5623" max="5630" width="10.5" style="30" bestFit="1" customWidth="1"/>
    <col min="5631" max="5631" width="10.5" style="30" customWidth="1"/>
    <col min="5632" max="5632" width="10.5" style="30" bestFit="1" customWidth="1"/>
    <col min="5633" max="5633" width="11.5" style="30" customWidth="1"/>
    <col min="5634" max="5634" width="9.5" style="30" bestFit="1" customWidth="1"/>
    <col min="5635" max="5645" width="10.5" style="30" bestFit="1" customWidth="1"/>
    <col min="5646" max="5646" width="12.75" style="30" bestFit="1" customWidth="1"/>
    <col min="5647" max="5651" width="10.5" style="30" bestFit="1" customWidth="1"/>
    <col min="5652" max="5653" width="9.375" style="30"/>
    <col min="5654" max="5654" width="8.5" style="30" customWidth="1"/>
    <col min="5655" max="5655" width="8" style="30" customWidth="1"/>
    <col min="5656" max="5656" width="21.25" style="30" customWidth="1"/>
    <col min="5657" max="5657" width="16.25" style="30" customWidth="1"/>
    <col min="5658" max="5658" width="11.625" style="30" customWidth="1"/>
    <col min="5659" max="5659" width="13.625" style="30" customWidth="1"/>
    <col min="5660" max="5660" width="12.875" style="30" customWidth="1"/>
    <col min="5661" max="5661" width="15.5" style="30" customWidth="1"/>
    <col min="5662" max="5663" width="13.375" style="30" customWidth="1"/>
    <col min="5664" max="5664" width="14.375" style="30" customWidth="1"/>
    <col min="5665" max="5665" width="11.875" style="30" customWidth="1"/>
    <col min="5666" max="5667" width="14.25" style="30" customWidth="1"/>
    <col min="5668" max="5668" width="8.625" style="30" customWidth="1"/>
    <col min="5669" max="5669" width="10.625" style="30" customWidth="1"/>
    <col min="5670" max="5670" width="9.875" style="30" customWidth="1"/>
    <col min="5671" max="5671" width="14" style="30" customWidth="1"/>
    <col min="5672" max="5672" width="10.875" style="30" customWidth="1"/>
    <col min="5673" max="5673" width="12.375" style="30" customWidth="1"/>
    <col min="5674" max="5674" width="12" style="30" customWidth="1"/>
    <col min="5675" max="5675" width="13.625" style="30" customWidth="1"/>
    <col min="5676" max="5676" width="10" style="30" customWidth="1"/>
    <col min="5677" max="5677" width="9.625" style="30" customWidth="1"/>
    <col min="5678" max="5678" width="11.75" style="30" customWidth="1"/>
    <col min="5679" max="5679" width="11.375" style="30" customWidth="1"/>
    <col min="5680" max="5680" width="12.875" style="30" customWidth="1"/>
    <col min="5681" max="5681" width="13" style="30" customWidth="1"/>
    <col min="5682" max="5682" width="8.875" style="30" customWidth="1"/>
    <col min="5683" max="5683" width="13.125" style="30" customWidth="1"/>
    <col min="5684" max="5684" width="9.625" style="30" customWidth="1"/>
    <col min="5685" max="5685" width="12.875" style="30" customWidth="1"/>
    <col min="5686" max="5686" width="11.5" style="30" customWidth="1"/>
    <col min="5687" max="5687" width="9.75" style="30" customWidth="1"/>
    <col min="5688" max="5688" width="13.375" style="30" customWidth="1"/>
    <col min="5689" max="5689" width="12.125" style="30" customWidth="1"/>
    <col min="5690" max="5690" width="10.25" style="30" customWidth="1"/>
    <col min="5691" max="5691" width="11.625" style="30" bestFit="1" customWidth="1"/>
    <col min="5692" max="5692" width="9.875" style="30" customWidth="1"/>
    <col min="5693" max="5693" width="13.375" style="30" customWidth="1"/>
    <col min="5694" max="5694" width="11.5" style="30" customWidth="1"/>
    <col min="5695" max="5695" width="12" style="30" customWidth="1"/>
    <col min="5696" max="5696" width="9.125" style="30" customWidth="1"/>
    <col min="5697" max="5697" width="9" style="30" customWidth="1"/>
    <col min="5698" max="5698" width="12.875" style="30" bestFit="1" customWidth="1"/>
    <col min="5699" max="5700" width="12" style="30" customWidth="1"/>
    <col min="5701" max="5701" width="11.875" style="30" customWidth="1"/>
    <col min="5702" max="5702" width="11" style="30" customWidth="1"/>
    <col min="5703" max="5703" width="11.625" style="30" customWidth="1"/>
    <col min="5704" max="5704" width="8.875" style="30" customWidth="1"/>
    <col min="5705" max="5705" width="11.625" style="30" bestFit="1" customWidth="1"/>
    <col min="5706" max="5706" width="9.625" style="30" customWidth="1"/>
    <col min="5707" max="5707" width="12.125" style="30" customWidth="1"/>
    <col min="5708" max="5708" width="11.875" style="30" customWidth="1"/>
    <col min="5709" max="5709" width="13.375" style="30" customWidth="1"/>
    <col min="5710" max="5710" width="11.5" style="30" customWidth="1"/>
    <col min="5711" max="5711" width="9.25" style="30" customWidth="1"/>
    <col min="5712" max="5712" width="11.625" style="30" bestFit="1" customWidth="1"/>
    <col min="5713" max="5713" width="10.625" style="30" customWidth="1"/>
    <col min="5714" max="5714" width="12" style="30" customWidth="1"/>
    <col min="5715" max="5715" width="11.625" style="30" customWidth="1"/>
    <col min="5716" max="5716" width="14" style="30" customWidth="1"/>
    <col min="5717" max="5717" width="11.125" style="30" customWidth="1"/>
    <col min="5718" max="5718" width="9.75" style="30" customWidth="1"/>
    <col min="5719" max="5719" width="11.625" style="30" bestFit="1" customWidth="1"/>
    <col min="5720" max="5720" width="10.125" style="30" customWidth="1"/>
    <col min="5721" max="5721" width="11.625" style="30" customWidth="1"/>
    <col min="5722" max="5722" width="11.375" style="30" customWidth="1"/>
    <col min="5723" max="5723" width="12.375" style="30" customWidth="1"/>
    <col min="5724" max="5725" width="10.875" style="30" customWidth="1"/>
    <col min="5726" max="5726" width="10.5" style="30" bestFit="1" customWidth="1"/>
    <col min="5727" max="5727" width="9.625" style="30" customWidth="1"/>
    <col min="5728" max="5728" width="11.875" style="30" customWidth="1"/>
    <col min="5729" max="5729" width="11.75" style="30" customWidth="1"/>
    <col min="5730" max="5730" width="14.125" style="30" customWidth="1"/>
    <col min="5731" max="5731" width="13.125" style="30" customWidth="1"/>
    <col min="5732" max="5732" width="8.75" style="30" customWidth="1"/>
    <col min="5733" max="5733" width="11.5" style="30" bestFit="1" customWidth="1"/>
    <col min="5734" max="5734" width="9.625" style="30" customWidth="1"/>
    <col min="5735" max="5735" width="13.625" style="30" customWidth="1"/>
    <col min="5736" max="5736" width="11.5" style="30" customWidth="1"/>
    <col min="5737" max="5737" width="11.75" style="30" customWidth="1"/>
    <col min="5738" max="5738" width="9.875" style="30" customWidth="1"/>
    <col min="5739" max="5739" width="9" style="30" customWidth="1"/>
    <col min="5740" max="5740" width="9.625" style="30" bestFit="1" customWidth="1"/>
    <col min="5741" max="5741" width="12.625" style="30" customWidth="1"/>
    <col min="5742" max="5742" width="12.375" style="30" customWidth="1"/>
    <col min="5743" max="5743" width="11.625" style="30" customWidth="1"/>
    <col min="5744" max="5745" width="14.125" style="30" customWidth="1"/>
    <col min="5746" max="5746" width="9.125" style="30" customWidth="1"/>
    <col min="5747" max="5747" width="10.5" style="30" bestFit="1" customWidth="1"/>
    <col min="5748" max="5748" width="9.625" style="30" customWidth="1"/>
    <col min="5749" max="5749" width="14.25" style="30" customWidth="1"/>
    <col min="5750" max="5750" width="11.875" style="30" customWidth="1"/>
    <col min="5751" max="5751" width="11" style="30" customWidth="1"/>
    <col min="5752" max="5752" width="11.75" style="30" customWidth="1"/>
    <col min="5753" max="5753" width="11.25" style="30" customWidth="1"/>
    <col min="5754" max="5754" width="9.625" style="30" bestFit="1" customWidth="1"/>
    <col min="5755" max="5755" width="9.625" style="30" customWidth="1"/>
    <col min="5756" max="5756" width="14.125" style="30" customWidth="1"/>
    <col min="5757" max="5757" width="11.125" style="30" customWidth="1"/>
    <col min="5758" max="5758" width="11.25" style="30" customWidth="1"/>
    <col min="5759" max="5759" width="12" style="30" customWidth="1"/>
    <col min="5760" max="5760" width="8.75" style="30" customWidth="1"/>
    <col min="5761" max="5761" width="9.625" style="30" bestFit="1" customWidth="1"/>
    <col min="5762" max="5762" width="9.625" style="30" customWidth="1"/>
    <col min="5763" max="5764" width="11.25" style="30" customWidth="1"/>
    <col min="5765" max="5765" width="12" style="30" customWidth="1"/>
    <col min="5766" max="5767" width="10.625" style="30" customWidth="1"/>
    <col min="5768" max="5768" width="11" style="30" customWidth="1"/>
    <col min="5769" max="5769" width="10.625" style="30" customWidth="1"/>
    <col min="5770" max="5770" width="12.375" style="30" customWidth="1"/>
    <col min="5771" max="5771" width="12" style="30" customWidth="1"/>
    <col min="5772" max="5772" width="11.625" style="30" customWidth="1"/>
    <col min="5773" max="5773" width="10.5" style="30" customWidth="1"/>
    <col min="5774" max="5774" width="8.625" style="30" customWidth="1"/>
    <col min="5775" max="5775" width="11.25" style="30" customWidth="1"/>
    <col min="5776" max="5776" width="9.875" style="30" customWidth="1"/>
    <col min="5777" max="5777" width="11.125" style="30" customWidth="1"/>
    <col min="5778" max="5778" width="11.625" style="30" customWidth="1"/>
    <col min="5779" max="5779" width="12.625" style="30" customWidth="1"/>
    <col min="5780" max="5780" width="11.5" style="30" customWidth="1"/>
    <col min="5781" max="5781" width="9.375" style="30"/>
    <col min="5782" max="5782" width="13.125" style="30" customWidth="1"/>
    <col min="5783" max="5783" width="9.5" style="30" customWidth="1"/>
    <col min="5784" max="5784" width="11.625" style="30" customWidth="1"/>
    <col min="5785" max="5785" width="11.5" style="30" customWidth="1"/>
    <col min="5786" max="5786" width="9.625" style="30" customWidth="1"/>
    <col min="5787" max="5787" width="9.25" style="30" customWidth="1"/>
    <col min="5788" max="5788" width="8.75" style="30" customWidth="1"/>
    <col min="5789" max="5789" width="9" style="30" customWidth="1"/>
    <col min="5790" max="5790" width="8.625" style="30" customWidth="1"/>
    <col min="5791" max="5791" width="11.125" style="30" customWidth="1"/>
    <col min="5792" max="5792" width="11.25" style="30" customWidth="1"/>
    <col min="5793" max="5793" width="11.5" style="30" customWidth="1"/>
    <col min="5794" max="5795" width="9" style="30" customWidth="1"/>
    <col min="5796" max="5796" width="9.875" style="30" customWidth="1"/>
    <col min="5797" max="5797" width="9.25" style="30" customWidth="1"/>
    <col min="5798" max="5798" width="11.125" style="30" customWidth="1"/>
    <col min="5799" max="5799" width="11.375" style="30" customWidth="1"/>
    <col min="5800" max="5800" width="10.875" style="30" customWidth="1"/>
    <col min="5801" max="5801" width="8.375" style="30" customWidth="1"/>
    <col min="5802" max="5802" width="9.125" style="30" customWidth="1"/>
    <col min="5803" max="5804" width="9" style="30" customWidth="1"/>
    <col min="5805" max="5805" width="10.75" style="30" customWidth="1"/>
    <col min="5806" max="5806" width="10.625" style="30" customWidth="1"/>
    <col min="5807" max="5807" width="10.25" style="30" customWidth="1"/>
    <col min="5808" max="5808" width="8.125" style="30" customWidth="1"/>
    <col min="5809" max="5811" width="9" style="30" customWidth="1"/>
    <col min="5812" max="5812" width="11.375" style="30" customWidth="1"/>
    <col min="5813" max="5813" width="11.125" style="30" customWidth="1"/>
    <col min="5814" max="5814" width="14.5" style="30" customWidth="1"/>
    <col min="5815" max="5815" width="10.875" style="30" customWidth="1"/>
    <col min="5816" max="5816" width="8.5" style="30" customWidth="1"/>
    <col min="5817" max="5817" width="10.375" style="30" customWidth="1"/>
    <col min="5818" max="5818" width="9" style="30" customWidth="1"/>
    <col min="5819" max="5819" width="12" style="30" customWidth="1"/>
    <col min="5820" max="5827" width="10.875" style="30" customWidth="1"/>
    <col min="5828" max="5828" width="10.5" style="30" customWidth="1"/>
    <col min="5829" max="5829" width="11.875" style="30" customWidth="1"/>
    <col min="5830" max="5830" width="10.875" style="30" customWidth="1"/>
    <col min="5831" max="5832" width="9" style="30" customWidth="1"/>
    <col min="5833" max="5833" width="12.125" style="30" customWidth="1"/>
    <col min="5834" max="5834" width="9.625" style="30" customWidth="1"/>
    <col min="5835" max="5836" width="9" style="30" customWidth="1"/>
    <col min="5837" max="5837" width="12.625" style="30" customWidth="1"/>
    <col min="5838" max="5838" width="11" style="30" customWidth="1"/>
    <col min="5839" max="5839" width="11.75" style="30" bestFit="1" customWidth="1"/>
    <col min="5840" max="5840" width="11.875" style="30" customWidth="1"/>
    <col min="5841" max="5842" width="9" style="30" customWidth="1"/>
    <col min="5843" max="5843" width="12.25" style="30" customWidth="1"/>
    <col min="5844" max="5844" width="10.875" style="30" customWidth="1"/>
    <col min="5845" max="5845" width="9" style="30" customWidth="1"/>
    <col min="5846" max="5846" width="10.875" style="30" customWidth="1"/>
    <col min="5847" max="5847" width="10.5" style="30" customWidth="1"/>
    <col min="5848" max="5849" width="9" style="30" customWidth="1"/>
    <col min="5850" max="5850" width="12.625" style="30" customWidth="1"/>
    <col min="5851" max="5852" width="9" style="30" customWidth="1"/>
    <col min="5853" max="5853" width="12" style="30" customWidth="1"/>
    <col min="5854" max="5870" width="9" style="30" customWidth="1"/>
    <col min="5871" max="5871" width="12.375" style="30" customWidth="1"/>
    <col min="5872" max="5872" width="12.5" style="30" customWidth="1"/>
    <col min="5873" max="5873" width="11.875" style="30" customWidth="1"/>
    <col min="5874" max="5874" width="11.625" style="30" customWidth="1"/>
    <col min="5875" max="5875" width="12.125" style="30" customWidth="1"/>
    <col min="5876" max="5877" width="10.5" style="30" bestFit="1" customWidth="1"/>
    <col min="5878" max="5878" width="10.625" style="30" bestFit="1" customWidth="1"/>
    <col min="5879" max="5886" width="10.5" style="30" bestFit="1" customWidth="1"/>
    <col min="5887" max="5887" width="10.5" style="30" customWidth="1"/>
    <col min="5888" max="5888" width="10.5" style="30" bestFit="1" customWidth="1"/>
    <col min="5889" max="5889" width="11.5" style="30" customWidth="1"/>
    <col min="5890" max="5890" width="9.5" style="30" bestFit="1" customWidth="1"/>
    <col min="5891" max="5901" width="10.5" style="30" bestFit="1" customWidth="1"/>
    <col min="5902" max="5902" width="12.75" style="30" bestFit="1" customWidth="1"/>
    <col min="5903" max="5907" width="10.5" style="30" bestFit="1" customWidth="1"/>
    <col min="5908" max="5909" width="9.375" style="30"/>
    <col min="5910" max="5910" width="8.5" style="30" customWidth="1"/>
    <col min="5911" max="5911" width="8" style="30" customWidth="1"/>
    <col min="5912" max="5912" width="21.25" style="30" customWidth="1"/>
    <col min="5913" max="5913" width="16.25" style="30" customWidth="1"/>
    <col min="5914" max="5914" width="11.625" style="30" customWidth="1"/>
    <col min="5915" max="5915" width="13.625" style="30" customWidth="1"/>
    <col min="5916" max="5916" width="12.875" style="30" customWidth="1"/>
    <col min="5917" max="5917" width="15.5" style="30" customWidth="1"/>
    <col min="5918" max="5919" width="13.375" style="30" customWidth="1"/>
    <col min="5920" max="5920" width="14.375" style="30" customWidth="1"/>
    <col min="5921" max="5921" width="11.875" style="30" customWidth="1"/>
    <col min="5922" max="5923" width="14.25" style="30" customWidth="1"/>
    <col min="5924" max="5924" width="8.625" style="30" customWidth="1"/>
    <col min="5925" max="5925" width="10.625" style="30" customWidth="1"/>
    <col min="5926" max="5926" width="9.875" style="30" customWidth="1"/>
    <col min="5927" max="5927" width="14" style="30" customWidth="1"/>
    <col min="5928" max="5928" width="10.875" style="30" customWidth="1"/>
    <col min="5929" max="5929" width="12.375" style="30" customWidth="1"/>
    <col min="5930" max="5930" width="12" style="30" customWidth="1"/>
    <col min="5931" max="5931" width="13.625" style="30" customWidth="1"/>
    <col min="5932" max="5932" width="10" style="30" customWidth="1"/>
    <col min="5933" max="5933" width="9.625" style="30" customWidth="1"/>
    <col min="5934" max="5934" width="11.75" style="30" customWidth="1"/>
    <col min="5935" max="5935" width="11.375" style="30" customWidth="1"/>
    <col min="5936" max="5936" width="12.875" style="30" customWidth="1"/>
    <col min="5937" max="5937" width="13" style="30" customWidth="1"/>
    <col min="5938" max="5938" width="8.875" style="30" customWidth="1"/>
    <col min="5939" max="5939" width="13.125" style="30" customWidth="1"/>
    <col min="5940" max="5940" width="9.625" style="30" customWidth="1"/>
    <col min="5941" max="5941" width="12.875" style="30" customWidth="1"/>
    <col min="5942" max="5942" width="11.5" style="30" customWidth="1"/>
    <col min="5943" max="5943" width="9.75" style="30" customWidth="1"/>
    <col min="5944" max="5944" width="13.375" style="30" customWidth="1"/>
    <col min="5945" max="5945" width="12.125" style="30" customWidth="1"/>
    <col min="5946" max="5946" width="10.25" style="30" customWidth="1"/>
    <col min="5947" max="5947" width="11.625" style="30" bestFit="1" customWidth="1"/>
    <col min="5948" max="5948" width="9.875" style="30" customWidth="1"/>
    <col min="5949" max="5949" width="13.375" style="30" customWidth="1"/>
    <col min="5950" max="5950" width="11.5" style="30" customWidth="1"/>
    <col min="5951" max="5951" width="12" style="30" customWidth="1"/>
    <col min="5952" max="5952" width="9.125" style="30" customWidth="1"/>
    <col min="5953" max="5953" width="9" style="30" customWidth="1"/>
    <col min="5954" max="5954" width="12.875" style="30" bestFit="1" customWidth="1"/>
    <col min="5955" max="5956" width="12" style="30" customWidth="1"/>
    <col min="5957" max="5957" width="11.875" style="30" customWidth="1"/>
    <col min="5958" max="5958" width="11" style="30" customWidth="1"/>
    <col min="5959" max="5959" width="11.625" style="30" customWidth="1"/>
    <col min="5960" max="5960" width="8.875" style="30" customWidth="1"/>
    <col min="5961" max="5961" width="11.625" style="30" bestFit="1" customWidth="1"/>
    <col min="5962" max="5962" width="9.625" style="30" customWidth="1"/>
    <col min="5963" max="5963" width="12.125" style="30" customWidth="1"/>
    <col min="5964" max="5964" width="11.875" style="30" customWidth="1"/>
    <col min="5965" max="5965" width="13.375" style="30" customWidth="1"/>
    <col min="5966" max="5966" width="11.5" style="30" customWidth="1"/>
    <col min="5967" max="5967" width="9.25" style="30" customWidth="1"/>
    <col min="5968" max="5968" width="11.625" style="30" bestFit="1" customWidth="1"/>
    <col min="5969" max="5969" width="10.625" style="30" customWidth="1"/>
    <col min="5970" max="5970" width="12" style="30" customWidth="1"/>
    <col min="5971" max="5971" width="11.625" style="30" customWidth="1"/>
    <col min="5972" max="5972" width="14" style="30" customWidth="1"/>
    <col min="5973" max="5973" width="11.125" style="30" customWidth="1"/>
    <col min="5974" max="5974" width="9.75" style="30" customWidth="1"/>
    <col min="5975" max="5975" width="11.625" style="30" bestFit="1" customWidth="1"/>
    <col min="5976" max="5976" width="10.125" style="30" customWidth="1"/>
    <col min="5977" max="5977" width="11.625" style="30" customWidth="1"/>
    <col min="5978" max="5978" width="11.375" style="30" customWidth="1"/>
    <col min="5979" max="5979" width="12.375" style="30" customWidth="1"/>
    <col min="5980" max="5981" width="10.875" style="30" customWidth="1"/>
    <col min="5982" max="5982" width="10.5" style="30" bestFit="1" customWidth="1"/>
    <col min="5983" max="5983" width="9.625" style="30" customWidth="1"/>
    <col min="5984" max="5984" width="11.875" style="30" customWidth="1"/>
    <col min="5985" max="5985" width="11.75" style="30" customWidth="1"/>
    <col min="5986" max="5986" width="14.125" style="30" customWidth="1"/>
    <col min="5987" max="5987" width="13.125" style="30" customWidth="1"/>
    <col min="5988" max="5988" width="8.75" style="30" customWidth="1"/>
    <col min="5989" max="5989" width="11.5" style="30" bestFit="1" customWidth="1"/>
    <col min="5990" max="5990" width="9.625" style="30" customWidth="1"/>
    <col min="5991" max="5991" width="13.625" style="30" customWidth="1"/>
    <col min="5992" max="5992" width="11.5" style="30" customWidth="1"/>
    <col min="5993" max="5993" width="11.75" style="30" customWidth="1"/>
    <col min="5994" max="5994" width="9.875" style="30" customWidth="1"/>
    <col min="5995" max="5995" width="9" style="30" customWidth="1"/>
    <col min="5996" max="5996" width="9.625" style="30" bestFit="1" customWidth="1"/>
    <col min="5997" max="5997" width="12.625" style="30" customWidth="1"/>
    <col min="5998" max="5998" width="12.375" style="30" customWidth="1"/>
    <col min="5999" max="5999" width="11.625" style="30" customWidth="1"/>
    <col min="6000" max="6001" width="14.125" style="30" customWidth="1"/>
    <col min="6002" max="6002" width="9.125" style="30" customWidth="1"/>
    <col min="6003" max="6003" width="10.5" style="30" bestFit="1" customWidth="1"/>
    <col min="6004" max="6004" width="9.625" style="30" customWidth="1"/>
    <col min="6005" max="6005" width="14.25" style="30" customWidth="1"/>
    <col min="6006" max="6006" width="11.875" style="30" customWidth="1"/>
    <col min="6007" max="6007" width="11" style="30" customWidth="1"/>
    <col min="6008" max="6008" width="11.75" style="30" customWidth="1"/>
    <col min="6009" max="6009" width="11.25" style="30" customWidth="1"/>
    <col min="6010" max="6010" width="9.625" style="30" bestFit="1" customWidth="1"/>
    <col min="6011" max="6011" width="9.625" style="30" customWidth="1"/>
    <col min="6012" max="6012" width="14.125" style="30" customWidth="1"/>
    <col min="6013" max="6013" width="11.125" style="30" customWidth="1"/>
    <col min="6014" max="6014" width="11.25" style="30" customWidth="1"/>
    <col min="6015" max="6015" width="12" style="30" customWidth="1"/>
    <col min="6016" max="6016" width="8.75" style="30" customWidth="1"/>
    <col min="6017" max="6017" width="9.625" style="30" bestFit="1" customWidth="1"/>
    <col min="6018" max="6018" width="9.625" style="30" customWidth="1"/>
    <col min="6019" max="6020" width="11.25" style="30" customWidth="1"/>
    <col min="6021" max="6021" width="12" style="30" customWidth="1"/>
    <col min="6022" max="6023" width="10.625" style="30" customWidth="1"/>
    <col min="6024" max="6024" width="11" style="30" customWidth="1"/>
    <col min="6025" max="6025" width="10.625" style="30" customWidth="1"/>
    <col min="6026" max="6026" width="12.375" style="30" customWidth="1"/>
    <col min="6027" max="6027" width="12" style="30" customWidth="1"/>
    <col min="6028" max="6028" width="11.625" style="30" customWidth="1"/>
    <col min="6029" max="6029" width="10.5" style="30" customWidth="1"/>
    <col min="6030" max="6030" width="8.625" style="30" customWidth="1"/>
    <col min="6031" max="6031" width="11.25" style="30" customWidth="1"/>
    <col min="6032" max="6032" width="9.875" style="30" customWidth="1"/>
    <col min="6033" max="6033" width="11.125" style="30" customWidth="1"/>
    <col min="6034" max="6034" width="11.625" style="30" customWidth="1"/>
    <col min="6035" max="6035" width="12.625" style="30" customWidth="1"/>
    <col min="6036" max="6036" width="11.5" style="30" customWidth="1"/>
    <col min="6037" max="6037" width="9.375" style="30"/>
    <col min="6038" max="6038" width="13.125" style="30" customWidth="1"/>
    <col min="6039" max="6039" width="9.5" style="30" customWidth="1"/>
    <col min="6040" max="6040" width="11.625" style="30" customWidth="1"/>
    <col min="6041" max="6041" width="11.5" style="30" customWidth="1"/>
    <col min="6042" max="6042" width="9.625" style="30" customWidth="1"/>
    <col min="6043" max="6043" width="9.25" style="30" customWidth="1"/>
    <col min="6044" max="6044" width="8.75" style="30" customWidth="1"/>
    <col min="6045" max="6045" width="9" style="30" customWidth="1"/>
    <col min="6046" max="6046" width="8.625" style="30" customWidth="1"/>
    <col min="6047" max="6047" width="11.125" style="30" customWidth="1"/>
    <col min="6048" max="6048" width="11.25" style="30" customWidth="1"/>
    <col min="6049" max="6049" width="11.5" style="30" customWidth="1"/>
    <col min="6050" max="6051" width="9" style="30" customWidth="1"/>
    <col min="6052" max="6052" width="9.875" style="30" customWidth="1"/>
    <col min="6053" max="6053" width="9.25" style="30" customWidth="1"/>
    <col min="6054" max="6054" width="11.125" style="30" customWidth="1"/>
    <col min="6055" max="6055" width="11.375" style="30" customWidth="1"/>
    <col min="6056" max="6056" width="10.875" style="30" customWidth="1"/>
    <col min="6057" max="6057" width="8.375" style="30" customWidth="1"/>
    <col min="6058" max="6058" width="9.125" style="30" customWidth="1"/>
    <col min="6059" max="6060" width="9" style="30" customWidth="1"/>
    <col min="6061" max="6061" width="10.75" style="30" customWidth="1"/>
    <col min="6062" max="6062" width="10.625" style="30" customWidth="1"/>
    <col min="6063" max="6063" width="10.25" style="30" customWidth="1"/>
    <col min="6064" max="6064" width="8.125" style="30" customWidth="1"/>
    <col min="6065" max="6067" width="9" style="30" customWidth="1"/>
    <col min="6068" max="6068" width="11.375" style="30" customWidth="1"/>
    <col min="6069" max="6069" width="11.125" style="30" customWidth="1"/>
    <col min="6070" max="6070" width="14.5" style="30" customWidth="1"/>
    <col min="6071" max="6071" width="10.875" style="30" customWidth="1"/>
    <col min="6072" max="6072" width="8.5" style="30" customWidth="1"/>
    <col min="6073" max="6073" width="10.375" style="30" customWidth="1"/>
    <col min="6074" max="6074" width="9" style="30" customWidth="1"/>
    <col min="6075" max="6075" width="12" style="30" customWidth="1"/>
    <col min="6076" max="6083" width="10.875" style="30" customWidth="1"/>
    <col min="6084" max="6084" width="10.5" style="30" customWidth="1"/>
    <col min="6085" max="6085" width="11.875" style="30" customWidth="1"/>
    <col min="6086" max="6086" width="10.875" style="30" customWidth="1"/>
    <col min="6087" max="6088" width="9" style="30" customWidth="1"/>
    <col min="6089" max="6089" width="12.125" style="30" customWidth="1"/>
    <col min="6090" max="6090" width="9.625" style="30" customWidth="1"/>
    <col min="6091" max="6092" width="9" style="30" customWidth="1"/>
    <col min="6093" max="6093" width="12.625" style="30" customWidth="1"/>
    <col min="6094" max="6094" width="11" style="30" customWidth="1"/>
    <col min="6095" max="6095" width="11.75" style="30" bestFit="1" customWidth="1"/>
    <col min="6096" max="6096" width="11.875" style="30" customWidth="1"/>
    <col min="6097" max="6098" width="9" style="30" customWidth="1"/>
    <col min="6099" max="6099" width="12.25" style="30" customWidth="1"/>
    <col min="6100" max="6100" width="10.875" style="30" customWidth="1"/>
    <col min="6101" max="6101" width="9" style="30" customWidth="1"/>
    <col min="6102" max="6102" width="10.875" style="30" customWidth="1"/>
    <col min="6103" max="6103" width="10.5" style="30" customWidth="1"/>
    <col min="6104" max="6105" width="9" style="30" customWidth="1"/>
    <col min="6106" max="6106" width="12.625" style="30" customWidth="1"/>
    <col min="6107" max="6108" width="9" style="30" customWidth="1"/>
    <col min="6109" max="6109" width="12" style="30" customWidth="1"/>
    <col min="6110" max="6126" width="9" style="30" customWidth="1"/>
    <col min="6127" max="6127" width="12.375" style="30" customWidth="1"/>
    <col min="6128" max="6128" width="12.5" style="30" customWidth="1"/>
    <col min="6129" max="6129" width="11.875" style="30" customWidth="1"/>
    <col min="6130" max="6130" width="11.625" style="30" customWidth="1"/>
    <col min="6131" max="6131" width="12.125" style="30" customWidth="1"/>
    <col min="6132" max="6133" width="10.5" style="30" bestFit="1" customWidth="1"/>
    <col min="6134" max="6134" width="10.625" style="30" bestFit="1" customWidth="1"/>
    <col min="6135" max="6142" width="10.5" style="30" bestFit="1" customWidth="1"/>
    <col min="6143" max="6143" width="10.5" style="30" customWidth="1"/>
    <col min="6144" max="6144" width="10.5" style="30" bestFit="1" customWidth="1"/>
    <col min="6145" max="6145" width="11.5" style="30" customWidth="1"/>
    <col min="6146" max="6146" width="9.5" style="30" bestFit="1" customWidth="1"/>
    <col min="6147" max="6157" width="10.5" style="30" bestFit="1" customWidth="1"/>
    <col min="6158" max="6158" width="12.75" style="30" bestFit="1" customWidth="1"/>
    <col min="6159" max="6163" width="10.5" style="30" bestFit="1" customWidth="1"/>
    <col min="6164" max="6165" width="9.375" style="30"/>
    <col min="6166" max="6166" width="8.5" style="30" customWidth="1"/>
    <col min="6167" max="6167" width="8" style="30" customWidth="1"/>
    <col min="6168" max="6168" width="21.25" style="30" customWidth="1"/>
    <col min="6169" max="6169" width="16.25" style="30" customWidth="1"/>
    <col min="6170" max="6170" width="11.625" style="30" customWidth="1"/>
    <col min="6171" max="6171" width="13.625" style="30" customWidth="1"/>
    <col min="6172" max="6172" width="12.875" style="30" customWidth="1"/>
    <col min="6173" max="6173" width="15.5" style="30" customWidth="1"/>
    <col min="6174" max="6175" width="13.375" style="30" customWidth="1"/>
    <col min="6176" max="6176" width="14.375" style="30" customWidth="1"/>
    <col min="6177" max="6177" width="11.875" style="30" customWidth="1"/>
    <col min="6178" max="6179" width="14.25" style="30" customWidth="1"/>
    <col min="6180" max="6180" width="8.625" style="30" customWidth="1"/>
    <col min="6181" max="6181" width="10.625" style="30" customWidth="1"/>
    <col min="6182" max="6182" width="9.875" style="30" customWidth="1"/>
    <col min="6183" max="6183" width="14" style="30" customWidth="1"/>
    <col min="6184" max="6184" width="10.875" style="30" customWidth="1"/>
    <col min="6185" max="6185" width="12.375" style="30" customWidth="1"/>
    <col min="6186" max="6186" width="12" style="30" customWidth="1"/>
    <col min="6187" max="6187" width="13.625" style="30" customWidth="1"/>
    <col min="6188" max="6188" width="10" style="30" customWidth="1"/>
    <col min="6189" max="6189" width="9.625" style="30" customWidth="1"/>
    <col min="6190" max="6190" width="11.75" style="30" customWidth="1"/>
    <col min="6191" max="6191" width="11.375" style="30" customWidth="1"/>
    <col min="6192" max="6192" width="12.875" style="30" customWidth="1"/>
    <col min="6193" max="6193" width="13" style="30" customWidth="1"/>
    <col min="6194" max="6194" width="8.875" style="30" customWidth="1"/>
    <col min="6195" max="6195" width="13.125" style="30" customWidth="1"/>
    <col min="6196" max="6196" width="9.625" style="30" customWidth="1"/>
    <col min="6197" max="6197" width="12.875" style="30" customWidth="1"/>
    <col min="6198" max="6198" width="11.5" style="30" customWidth="1"/>
    <col min="6199" max="6199" width="9.75" style="30" customWidth="1"/>
    <col min="6200" max="6200" width="13.375" style="30" customWidth="1"/>
    <col min="6201" max="6201" width="12.125" style="30" customWidth="1"/>
    <col min="6202" max="6202" width="10.25" style="30" customWidth="1"/>
    <col min="6203" max="6203" width="11.625" style="30" bestFit="1" customWidth="1"/>
    <col min="6204" max="6204" width="9.875" style="30" customWidth="1"/>
    <col min="6205" max="6205" width="13.375" style="30" customWidth="1"/>
    <col min="6206" max="6206" width="11.5" style="30" customWidth="1"/>
    <col min="6207" max="6207" width="12" style="30" customWidth="1"/>
    <col min="6208" max="6208" width="9.125" style="30" customWidth="1"/>
    <col min="6209" max="6209" width="9" style="30" customWidth="1"/>
    <col min="6210" max="6210" width="12.875" style="30" bestFit="1" customWidth="1"/>
    <col min="6211" max="6212" width="12" style="30" customWidth="1"/>
    <col min="6213" max="6213" width="11.875" style="30" customWidth="1"/>
    <col min="6214" max="6214" width="11" style="30" customWidth="1"/>
    <col min="6215" max="6215" width="11.625" style="30" customWidth="1"/>
    <col min="6216" max="6216" width="8.875" style="30" customWidth="1"/>
    <col min="6217" max="6217" width="11.625" style="30" bestFit="1" customWidth="1"/>
    <col min="6218" max="6218" width="9.625" style="30" customWidth="1"/>
    <col min="6219" max="6219" width="12.125" style="30" customWidth="1"/>
    <col min="6220" max="6220" width="11.875" style="30" customWidth="1"/>
    <col min="6221" max="6221" width="13.375" style="30" customWidth="1"/>
    <col min="6222" max="6222" width="11.5" style="30" customWidth="1"/>
    <col min="6223" max="6223" width="9.25" style="30" customWidth="1"/>
    <col min="6224" max="6224" width="11.625" style="30" bestFit="1" customWidth="1"/>
    <col min="6225" max="6225" width="10.625" style="30" customWidth="1"/>
    <col min="6226" max="6226" width="12" style="30" customWidth="1"/>
    <col min="6227" max="6227" width="11.625" style="30" customWidth="1"/>
    <col min="6228" max="6228" width="14" style="30" customWidth="1"/>
    <col min="6229" max="6229" width="11.125" style="30" customWidth="1"/>
    <col min="6230" max="6230" width="9.75" style="30" customWidth="1"/>
    <col min="6231" max="6231" width="11.625" style="30" bestFit="1" customWidth="1"/>
    <col min="6232" max="6232" width="10.125" style="30" customWidth="1"/>
    <col min="6233" max="6233" width="11.625" style="30" customWidth="1"/>
    <col min="6234" max="6234" width="11.375" style="30" customWidth="1"/>
    <col min="6235" max="6235" width="12.375" style="30" customWidth="1"/>
    <col min="6236" max="6237" width="10.875" style="30" customWidth="1"/>
    <col min="6238" max="6238" width="10.5" style="30" bestFit="1" customWidth="1"/>
    <col min="6239" max="6239" width="9.625" style="30" customWidth="1"/>
    <col min="6240" max="6240" width="11.875" style="30" customWidth="1"/>
    <col min="6241" max="6241" width="11.75" style="30" customWidth="1"/>
    <col min="6242" max="6242" width="14.125" style="30" customWidth="1"/>
    <col min="6243" max="6243" width="13.125" style="30" customWidth="1"/>
    <col min="6244" max="6244" width="8.75" style="30" customWidth="1"/>
    <col min="6245" max="6245" width="11.5" style="30" bestFit="1" customWidth="1"/>
    <col min="6246" max="6246" width="9.625" style="30" customWidth="1"/>
    <col min="6247" max="6247" width="13.625" style="30" customWidth="1"/>
    <col min="6248" max="6248" width="11.5" style="30" customWidth="1"/>
    <col min="6249" max="6249" width="11.75" style="30" customWidth="1"/>
    <col min="6250" max="6250" width="9.875" style="30" customWidth="1"/>
    <col min="6251" max="6251" width="9" style="30" customWidth="1"/>
    <col min="6252" max="6252" width="9.625" style="30" bestFit="1" customWidth="1"/>
    <col min="6253" max="6253" width="12.625" style="30" customWidth="1"/>
    <col min="6254" max="6254" width="12.375" style="30" customWidth="1"/>
    <col min="6255" max="6255" width="11.625" style="30" customWidth="1"/>
    <col min="6256" max="6257" width="14.125" style="30" customWidth="1"/>
    <col min="6258" max="6258" width="9.125" style="30" customWidth="1"/>
    <col min="6259" max="6259" width="10.5" style="30" bestFit="1" customWidth="1"/>
    <col min="6260" max="6260" width="9.625" style="30" customWidth="1"/>
    <col min="6261" max="6261" width="14.25" style="30" customWidth="1"/>
    <col min="6262" max="6262" width="11.875" style="30" customWidth="1"/>
    <col min="6263" max="6263" width="11" style="30" customWidth="1"/>
    <col min="6264" max="6264" width="11.75" style="30" customWidth="1"/>
    <col min="6265" max="6265" width="11.25" style="30" customWidth="1"/>
    <col min="6266" max="6266" width="9.625" style="30" bestFit="1" customWidth="1"/>
    <col min="6267" max="6267" width="9.625" style="30" customWidth="1"/>
    <col min="6268" max="6268" width="14.125" style="30" customWidth="1"/>
    <col min="6269" max="6269" width="11.125" style="30" customWidth="1"/>
    <col min="6270" max="6270" width="11.25" style="30" customWidth="1"/>
    <col min="6271" max="6271" width="12" style="30" customWidth="1"/>
    <col min="6272" max="6272" width="8.75" style="30" customWidth="1"/>
    <col min="6273" max="6273" width="9.625" style="30" bestFit="1" customWidth="1"/>
    <col min="6274" max="6274" width="9.625" style="30" customWidth="1"/>
    <col min="6275" max="6276" width="11.25" style="30" customWidth="1"/>
    <col min="6277" max="6277" width="12" style="30" customWidth="1"/>
    <col min="6278" max="6279" width="10.625" style="30" customWidth="1"/>
    <col min="6280" max="6280" width="11" style="30" customWidth="1"/>
    <col min="6281" max="6281" width="10.625" style="30" customWidth="1"/>
    <col min="6282" max="6282" width="12.375" style="30" customWidth="1"/>
    <col min="6283" max="6283" width="12" style="30" customWidth="1"/>
    <col min="6284" max="6284" width="11.625" style="30" customWidth="1"/>
    <col min="6285" max="6285" width="10.5" style="30" customWidth="1"/>
    <col min="6286" max="6286" width="8.625" style="30" customWidth="1"/>
    <col min="6287" max="6287" width="11.25" style="30" customWidth="1"/>
    <col min="6288" max="6288" width="9.875" style="30" customWidth="1"/>
    <col min="6289" max="6289" width="11.125" style="30" customWidth="1"/>
    <col min="6290" max="6290" width="11.625" style="30" customWidth="1"/>
    <col min="6291" max="6291" width="12.625" style="30" customWidth="1"/>
    <col min="6292" max="6292" width="11.5" style="30" customWidth="1"/>
    <col min="6293" max="6293" width="9.375" style="30"/>
    <col min="6294" max="6294" width="13.125" style="30" customWidth="1"/>
    <col min="6295" max="6295" width="9.5" style="30" customWidth="1"/>
    <col min="6296" max="6296" width="11.625" style="30" customWidth="1"/>
    <col min="6297" max="6297" width="11.5" style="30" customWidth="1"/>
    <col min="6298" max="6298" width="9.625" style="30" customWidth="1"/>
    <col min="6299" max="6299" width="9.25" style="30" customWidth="1"/>
    <col min="6300" max="6300" width="8.75" style="30" customWidth="1"/>
    <col min="6301" max="6301" width="9" style="30" customWidth="1"/>
    <col min="6302" max="6302" width="8.625" style="30" customWidth="1"/>
    <col min="6303" max="6303" width="11.125" style="30" customWidth="1"/>
    <col min="6304" max="6304" width="11.25" style="30" customWidth="1"/>
    <col min="6305" max="6305" width="11.5" style="30" customWidth="1"/>
    <col min="6306" max="6307" width="9" style="30" customWidth="1"/>
    <col min="6308" max="6308" width="9.875" style="30" customWidth="1"/>
    <col min="6309" max="6309" width="9.25" style="30" customWidth="1"/>
    <col min="6310" max="6310" width="11.125" style="30" customWidth="1"/>
    <col min="6311" max="6311" width="11.375" style="30" customWidth="1"/>
    <col min="6312" max="6312" width="10.875" style="30" customWidth="1"/>
    <col min="6313" max="6313" width="8.375" style="30" customWidth="1"/>
    <col min="6314" max="6314" width="9.125" style="30" customWidth="1"/>
    <col min="6315" max="6316" width="9" style="30" customWidth="1"/>
    <col min="6317" max="6317" width="10.75" style="30" customWidth="1"/>
    <col min="6318" max="6318" width="10.625" style="30" customWidth="1"/>
    <col min="6319" max="6319" width="10.25" style="30" customWidth="1"/>
    <col min="6320" max="6320" width="8.125" style="30" customWidth="1"/>
    <col min="6321" max="6323" width="9" style="30" customWidth="1"/>
    <col min="6324" max="6324" width="11.375" style="30" customWidth="1"/>
    <col min="6325" max="6325" width="11.125" style="30" customWidth="1"/>
    <col min="6326" max="6326" width="14.5" style="30" customWidth="1"/>
    <col min="6327" max="6327" width="10.875" style="30" customWidth="1"/>
    <col min="6328" max="6328" width="8.5" style="30" customWidth="1"/>
    <col min="6329" max="6329" width="10.375" style="30" customWidth="1"/>
    <col min="6330" max="6330" width="9" style="30" customWidth="1"/>
    <col min="6331" max="6331" width="12" style="30" customWidth="1"/>
    <col min="6332" max="6339" width="10.875" style="30" customWidth="1"/>
    <col min="6340" max="6340" width="10.5" style="30" customWidth="1"/>
    <col min="6341" max="6341" width="11.875" style="30" customWidth="1"/>
    <col min="6342" max="6342" width="10.875" style="30" customWidth="1"/>
    <col min="6343" max="6344" width="9" style="30" customWidth="1"/>
    <col min="6345" max="6345" width="12.125" style="30" customWidth="1"/>
    <col min="6346" max="6346" width="9.625" style="30" customWidth="1"/>
    <col min="6347" max="6348" width="9" style="30" customWidth="1"/>
    <col min="6349" max="6349" width="12.625" style="30" customWidth="1"/>
    <col min="6350" max="6350" width="11" style="30" customWidth="1"/>
    <col min="6351" max="6351" width="11.75" style="30" bestFit="1" customWidth="1"/>
    <col min="6352" max="6352" width="11.875" style="30" customWidth="1"/>
    <col min="6353" max="6354" width="9" style="30" customWidth="1"/>
    <col min="6355" max="6355" width="12.25" style="30" customWidth="1"/>
    <col min="6356" max="6356" width="10.875" style="30" customWidth="1"/>
    <col min="6357" max="6357" width="9" style="30" customWidth="1"/>
    <col min="6358" max="6358" width="10.875" style="30" customWidth="1"/>
    <col min="6359" max="6359" width="10.5" style="30" customWidth="1"/>
    <col min="6360" max="6361" width="9" style="30" customWidth="1"/>
    <col min="6362" max="6362" width="12.625" style="30" customWidth="1"/>
    <col min="6363" max="6364" width="9" style="30" customWidth="1"/>
    <col min="6365" max="6365" width="12" style="30" customWidth="1"/>
    <col min="6366" max="6382" width="9" style="30" customWidth="1"/>
    <col min="6383" max="6383" width="12.375" style="30" customWidth="1"/>
    <col min="6384" max="6384" width="12.5" style="30" customWidth="1"/>
    <col min="6385" max="6385" width="11.875" style="30" customWidth="1"/>
    <col min="6386" max="6386" width="11.625" style="30" customWidth="1"/>
    <col min="6387" max="6387" width="12.125" style="30" customWidth="1"/>
    <col min="6388" max="6389" width="10.5" style="30" bestFit="1" customWidth="1"/>
    <col min="6390" max="6390" width="10.625" style="30" bestFit="1" customWidth="1"/>
    <col min="6391" max="6398" width="10.5" style="30" bestFit="1" customWidth="1"/>
    <col min="6399" max="6399" width="10.5" style="30" customWidth="1"/>
    <col min="6400" max="6400" width="10.5" style="30" bestFit="1" customWidth="1"/>
    <col min="6401" max="6401" width="11.5" style="30" customWidth="1"/>
    <col min="6402" max="6402" width="9.5" style="30" bestFit="1" customWidth="1"/>
    <col min="6403" max="6413" width="10.5" style="30" bestFit="1" customWidth="1"/>
    <col min="6414" max="6414" width="12.75" style="30" bestFit="1" customWidth="1"/>
    <col min="6415" max="6419" width="10.5" style="30" bestFit="1" customWidth="1"/>
    <col min="6420" max="6421" width="9.375" style="30"/>
    <col min="6422" max="6422" width="8.5" style="30" customWidth="1"/>
    <col min="6423" max="6423" width="8" style="30" customWidth="1"/>
    <col min="6424" max="6424" width="21.25" style="30" customWidth="1"/>
    <col min="6425" max="6425" width="16.25" style="30" customWidth="1"/>
    <col min="6426" max="6426" width="11.625" style="30" customWidth="1"/>
    <col min="6427" max="6427" width="13.625" style="30" customWidth="1"/>
    <col min="6428" max="6428" width="12.875" style="30" customWidth="1"/>
    <col min="6429" max="6429" width="15.5" style="30" customWidth="1"/>
    <col min="6430" max="6431" width="13.375" style="30" customWidth="1"/>
    <col min="6432" max="6432" width="14.375" style="30" customWidth="1"/>
    <col min="6433" max="6433" width="11.875" style="30" customWidth="1"/>
    <col min="6434" max="6435" width="14.25" style="30" customWidth="1"/>
    <col min="6436" max="6436" width="8.625" style="30" customWidth="1"/>
    <col min="6437" max="6437" width="10.625" style="30" customWidth="1"/>
    <col min="6438" max="6438" width="9.875" style="30" customWidth="1"/>
    <col min="6439" max="6439" width="14" style="30" customWidth="1"/>
    <col min="6440" max="6440" width="10.875" style="30" customWidth="1"/>
    <col min="6441" max="6441" width="12.375" style="30" customWidth="1"/>
    <col min="6442" max="6442" width="12" style="30" customWidth="1"/>
    <col min="6443" max="6443" width="13.625" style="30" customWidth="1"/>
    <col min="6444" max="6444" width="10" style="30" customWidth="1"/>
    <col min="6445" max="6445" width="9.625" style="30" customWidth="1"/>
    <col min="6446" max="6446" width="11.75" style="30" customWidth="1"/>
    <col min="6447" max="6447" width="11.375" style="30" customWidth="1"/>
    <col min="6448" max="6448" width="12.875" style="30" customWidth="1"/>
    <col min="6449" max="6449" width="13" style="30" customWidth="1"/>
    <col min="6450" max="6450" width="8.875" style="30" customWidth="1"/>
    <col min="6451" max="6451" width="13.125" style="30" customWidth="1"/>
    <col min="6452" max="6452" width="9.625" style="30" customWidth="1"/>
    <col min="6453" max="6453" width="12.875" style="30" customWidth="1"/>
    <col min="6454" max="6454" width="11.5" style="30" customWidth="1"/>
    <col min="6455" max="6455" width="9.75" style="30" customWidth="1"/>
    <col min="6456" max="6456" width="13.375" style="30" customWidth="1"/>
    <col min="6457" max="6457" width="12.125" style="30" customWidth="1"/>
    <col min="6458" max="6458" width="10.25" style="30" customWidth="1"/>
    <col min="6459" max="6459" width="11.625" style="30" bestFit="1" customWidth="1"/>
    <col min="6460" max="6460" width="9.875" style="30" customWidth="1"/>
    <col min="6461" max="6461" width="13.375" style="30" customWidth="1"/>
    <col min="6462" max="6462" width="11.5" style="30" customWidth="1"/>
    <col min="6463" max="6463" width="12" style="30" customWidth="1"/>
    <col min="6464" max="6464" width="9.125" style="30" customWidth="1"/>
    <col min="6465" max="6465" width="9" style="30" customWidth="1"/>
    <col min="6466" max="6466" width="12.875" style="30" bestFit="1" customWidth="1"/>
    <col min="6467" max="6468" width="12" style="30" customWidth="1"/>
    <col min="6469" max="6469" width="11.875" style="30" customWidth="1"/>
    <col min="6470" max="6470" width="11" style="30" customWidth="1"/>
    <col min="6471" max="6471" width="11.625" style="30" customWidth="1"/>
    <col min="6472" max="6472" width="8.875" style="30" customWidth="1"/>
    <col min="6473" max="6473" width="11.625" style="30" bestFit="1" customWidth="1"/>
    <col min="6474" max="6474" width="9.625" style="30" customWidth="1"/>
    <col min="6475" max="6475" width="12.125" style="30" customWidth="1"/>
    <col min="6476" max="6476" width="11.875" style="30" customWidth="1"/>
    <col min="6477" max="6477" width="13.375" style="30" customWidth="1"/>
    <col min="6478" max="6478" width="11.5" style="30" customWidth="1"/>
    <col min="6479" max="6479" width="9.25" style="30" customWidth="1"/>
    <col min="6480" max="6480" width="11.625" style="30" bestFit="1" customWidth="1"/>
    <col min="6481" max="6481" width="10.625" style="30" customWidth="1"/>
    <col min="6482" max="6482" width="12" style="30" customWidth="1"/>
    <col min="6483" max="6483" width="11.625" style="30" customWidth="1"/>
    <col min="6484" max="6484" width="14" style="30" customWidth="1"/>
    <col min="6485" max="6485" width="11.125" style="30" customWidth="1"/>
    <col min="6486" max="6486" width="9.75" style="30" customWidth="1"/>
    <col min="6487" max="6487" width="11.625" style="30" bestFit="1" customWidth="1"/>
    <col min="6488" max="6488" width="10.125" style="30" customWidth="1"/>
    <col min="6489" max="6489" width="11.625" style="30" customWidth="1"/>
    <col min="6490" max="6490" width="11.375" style="30" customWidth="1"/>
    <col min="6491" max="6491" width="12.375" style="30" customWidth="1"/>
    <col min="6492" max="6493" width="10.875" style="30" customWidth="1"/>
    <col min="6494" max="6494" width="10.5" style="30" bestFit="1" customWidth="1"/>
    <col min="6495" max="6495" width="9.625" style="30" customWidth="1"/>
    <col min="6496" max="6496" width="11.875" style="30" customWidth="1"/>
    <col min="6497" max="6497" width="11.75" style="30" customWidth="1"/>
    <col min="6498" max="6498" width="14.125" style="30" customWidth="1"/>
    <col min="6499" max="6499" width="13.125" style="30" customWidth="1"/>
    <col min="6500" max="6500" width="8.75" style="30" customWidth="1"/>
    <col min="6501" max="6501" width="11.5" style="30" bestFit="1" customWidth="1"/>
    <col min="6502" max="6502" width="9.625" style="30" customWidth="1"/>
    <col min="6503" max="6503" width="13.625" style="30" customWidth="1"/>
    <col min="6504" max="6504" width="11.5" style="30" customWidth="1"/>
    <col min="6505" max="6505" width="11.75" style="30" customWidth="1"/>
    <col min="6506" max="6506" width="9.875" style="30" customWidth="1"/>
    <col min="6507" max="6507" width="9" style="30" customWidth="1"/>
    <col min="6508" max="6508" width="9.625" style="30" bestFit="1" customWidth="1"/>
    <col min="6509" max="6509" width="12.625" style="30" customWidth="1"/>
    <col min="6510" max="6510" width="12.375" style="30" customWidth="1"/>
    <col min="6511" max="6511" width="11.625" style="30" customWidth="1"/>
    <col min="6512" max="6513" width="14.125" style="30" customWidth="1"/>
    <col min="6514" max="6514" width="9.125" style="30" customWidth="1"/>
    <col min="6515" max="6515" width="10.5" style="30" bestFit="1" customWidth="1"/>
    <col min="6516" max="6516" width="9.625" style="30" customWidth="1"/>
    <col min="6517" max="6517" width="14.25" style="30" customWidth="1"/>
    <col min="6518" max="6518" width="11.875" style="30" customWidth="1"/>
    <col min="6519" max="6519" width="11" style="30" customWidth="1"/>
    <col min="6520" max="6520" width="11.75" style="30" customWidth="1"/>
    <col min="6521" max="6521" width="11.25" style="30" customWidth="1"/>
    <col min="6522" max="6522" width="9.625" style="30" bestFit="1" customWidth="1"/>
    <col min="6523" max="6523" width="9.625" style="30" customWidth="1"/>
    <col min="6524" max="6524" width="14.125" style="30" customWidth="1"/>
    <col min="6525" max="6525" width="11.125" style="30" customWidth="1"/>
    <col min="6526" max="6526" width="11.25" style="30" customWidth="1"/>
    <col min="6527" max="6527" width="12" style="30" customWidth="1"/>
    <col min="6528" max="6528" width="8.75" style="30" customWidth="1"/>
    <col min="6529" max="6529" width="9.625" style="30" bestFit="1" customWidth="1"/>
    <col min="6530" max="6530" width="9.625" style="30" customWidth="1"/>
    <col min="6531" max="6532" width="11.25" style="30" customWidth="1"/>
    <col min="6533" max="6533" width="12" style="30" customWidth="1"/>
    <col min="6534" max="6535" width="10.625" style="30" customWidth="1"/>
    <col min="6536" max="6536" width="11" style="30" customWidth="1"/>
    <col min="6537" max="6537" width="10.625" style="30" customWidth="1"/>
    <col min="6538" max="6538" width="12.375" style="30" customWidth="1"/>
    <col min="6539" max="6539" width="12" style="30" customWidth="1"/>
    <col min="6540" max="6540" width="11.625" style="30" customWidth="1"/>
    <col min="6541" max="6541" width="10.5" style="30" customWidth="1"/>
    <col min="6542" max="6542" width="8.625" style="30" customWidth="1"/>
    <col min="6543" max="6543" width="11.25" style="30" customWidth="1"/>
    <col min="6544" max="6544" width="9.875" style="30" customWidth="1"/>
    <col min="6545" max="6545" width="11.125" style="30" customWidth="1"/>
    <col min="6546" max="6546" width="11.625" style="30" customWidth="1"/>
    <col min="6547" max="6547" width="12.625" style="30" customWidth="1"/>
    <col min="6548" max="6548" width="11.5" style="30" customWidth="1"/>
    <col min="6549" max="6549" width="9.375" style="30"/>
    <col min="6550" max="6550" width="13.125" style="30" customWidth="1"/>
    <col min="6551" max="6551" width="9.5" style="30" customWidth="1"/>
    <col min="6552" max="6552" width="11.625" style="30" customWidth="1"/>
    <col min="6553" max="6553" width="11.5" style="30" customWidth="1"/>
    <col min="6554" max="6554" width="9.625" style="30" customWidth="1"/>
    <col min="6555" max="6555" width="9.25" style="30" customWidth="1"/>
    <col min="6556" max="6556" width="8.75" style="30" customWidth="1"/>
    <col min="6557" max="6557" width="9" style="30" customWidth="1"/>
    <col min="6558" max="6558" width="8.625" style="30" customWidth="1"/>
    <col min="6559" max="6559" width="11.125" style="30" customWidth="1"/>
    <col min="6560" max="6560" width="11.25" style="30" customWidth="1"/>
    <col min="6561" max="6561" width="11.5" style="30" customWidth="1"/>
    <col min="6562" max="6563" width="9" style="30" customWidth="1"/>
    <col min="6564" max="6564" width="9.875" style="30" customWidth="1"/>
    <col min="6565" max="6565" width="9.25" style="30" customWidth="1"/>
    <col min="6566" max="6566" width="11.125" style="30" customWidth="1"/>
    <col min="6567" max="6567" width="11.375" style="30" customWidth="1"/>
    <col min="6568" max="6568" width="10.875" style="30" customWidth="1"/>
    <col min="6569" max="6569" width="8.375" style="30" customWidth="1"/>
    <col min="6570" max="6570" width="9.125" style="30" customWidth="1"/>
    <col min="6571" max="6572" width="9" style="30" customWidth="1"/>
    <col min="6573" max="6573" width="10.75" style="30" customWidth="1"/>
    <col min="6574" max="6574" width="10.625" style="30" customWidth="1"/>
    <col min="6575" max="6575" width="10.25" style="30" customWidth="1"/>
    <col min="6576" max="6576" width="8.125" style="30" customWidth="1"/>
    <col min="6577" max="6579" width="9" style="30" customWidth="1"/>
    <col min="6580" max="6580" width="11.375" style="30" customWidth="1"/>
    <col min="6581" max="6581" width="11.125" style="30" customWidth="1"/>
    <col min="6582" max="6582" width="14.5" style="30" customWidth="1"/>
    <col min="6583" max="6583" width="10.875" style="30" customWidth="1"/>
    <col min="6584" max="6584" width="8.5" style="30" customWidth="1"/>
    <col min="6585" max="6585" width="10.375" style="30" customWidth="1"/>
    <col min="6586" max="6586" width="9" style="30" customWidth="1"/>
    <col min="6587" max="6587" width="12" style="30" customWidth="1"/>
    <col min="6588" max="6595" width="10.875" style="30" customWidth="1"/>
    <col min="6596" max="6596" width="10.5" style="30" customWidth="1"/>
    <col min="6597" max="6597" width="11.875" style="30" customWidth="1"/>
    <col min="6598" max="6598" width="10.875" style="30" customWidth="1"/>
    <col min="6599" max="6600" width="9" style="30" customWidth="1"/>
    <col min="6601" max="6601" width="12.125" style="30" customWidth="1"/>
    <col min="6602" max="6602" width="9.625" style="30" customWidth="1"/>
    <col min="6603" max="6604" width="9" style="30" customWidth="1"/>
    <col min="6605" max="6605" width="12.625" style="30" customWidth="1"/>
    <col min="6606" max="6606" width="11" style="30" customWidth="1"/>
    <col min="6607" max="6607" width="11.75" style="30" bestFit="1" customWidth="1"/>
    <col min="6608" max="6608" width="11.875" style="30" customWidth="1"/>
    <col min="6609" max="6610" width="9" style="30" customWidth="1"/>
    <col min="6611" max="6611" width="12.25" style="30" customWidth="1"/>
    <col min="6612" max="6612" width="10.875" style="30" customWidth="1"/>
    <col min="6613" max="6613" width="9" style="30" customWidth="1"/>
    <col min="6614" max="6614" width="10.875" style="30" customWidth="1"/>
    <col min="6615" max="6615" width="10.5" style="30" customWidth="1"/>
    <col min="6616" max="6617" width="9" style="30" customWidth="1"/>
    <col min="6618" max="6618" width="12.625" style="30" customWidth="1"/>
    <col min="6619" max="6620" width="9" style="30" customWidth="1"/>
    <col min="6621" max="6621" width="12" style="30" customWidth="1"/>
    <col min="6622" max="6638" width="9" style="30" customWidth="1"/>
    <col min="6639" max="6639" width="12.375" style="30" customWidth="1"/>
    <col min="6640" max="6640" width="12.5" style="30" customWidth="1"/>
    <col min="6641" max="6641" width="11.875" style="30" customWidth="1"/>
    <col min="6642" max="6642" width="11.625" style="30" customWidth="1"/>
    <col min="6643" max="6643" width="12.125" style="30" customWidth="1"/>
    <col min="6644" max="6645" width="10.5" style="30" bestFit="1" customWidth="1"/>
    <col min="6646" max="6646" width="10.625" style="30" bestFit="1" customWidth="1"/>
    <col min="6647" max="6654" width="10.5" style="30" bestFit="1" customWidth="1"/>
    <col min="6655" max="6655" width="10.5" style="30" customWidth="1"/>
    <col min="6656" max="6656" width="10.5" style="30" bestFit="1" customWidth="1"/>
    <col min="6657" max="6657" width="11.5" style="30" customWidth="1"/>
    <col min="6658" max="6658" width="9.5" style="30" bestFit="1" customWidth="1"/>
    <col min="6659" max="6669" width="10.5" style="30" bestFit="1" customWidth="1"/>
    <col min="6670" max="6670" width="12.75" style="30" bestFit="1" customWidth="1"/>
    <col min="6671" max="6675" width="10.5" style="30" bestFit="1" customWidth="1"/>
    <col min="6676" max="6677" width="9.375" style="30"/>
    <col min="6678" max="6678" width="8.5" style="30" customWidth="1"/>
    <col min="6679" max="6679" width="8" style="30" customWidth="1"/>
    <col min="6680" max="6680" width="21.25" style="30" customWidth="1"/>
    <col min="6681" max="6681" width="16.25" style="30" customWidth="1"/>
    <col min="6682" max="6682" width="11.625" style="30" customWidth="1"/>
    <col min="6683" max="6683" width="13.625" style="30" customWidth="1"/>
    <col min="6684" max="6684" width="12.875" style="30" customWidth="1"/>
    <col min="6685" max="6685" width="15.5" style="30" customWidth="1"/>
    <col min="6686" max="6687" width="13.375" style="30" customWidth="1"/>
    <col min="6688" max="6688" width="14.375" style="30" customWidth="1"/>
    <col min="6689" max="6689" width="11.875" style="30" customWidth="1"/>
    <col min="6690" max="6691" width="14.25" style="30" customWidth="1"/>
    <col min="6692" max="6692" width="8.625" style="30" customWidth="1"/>
    <col min="6693" max="6693" width="10.625" style="30" customWidth="1"/>
    <col min="6694" max="6694" width="9.875" style="30" customWidth="1"/>
    <col min="6695" max="6695" width="14" style="30" customWidth="1"/>
    <col min="6696" max="6696" width="10.875" style="30" customWidth="1"/>
    <col min="6697" max="6697" width="12.375" style="30" customWidth="1"/>
    <col min="6698" max="6698" width="12" style="30" customWidth="1"/>
    <col min="6699" max="6699" width="13.625" style="30" customWidth="1"/>
    <col min="6700" max="6700" width="10" style="30" customWidth="1"/>
    <col min="6701" max="6701" width="9.625" style="30" customWidth="1"/>
    <col min="6702" max="6702" width="11.75" style="30" customWidth="1"/>
    <col min="6703" max="6703" width="11.375" style="30" customWidth="1"/>
    <col min="6704" max="6704" width="12.875" style="30" customWidth="1"/>
    <col min="6705" max="6705" width="13" style="30" customWidth="1"/>
    <col min="6706" max="6706" width="8.875" style="30" customWidth="1"/>
    <col min="6707" max="6707" width="13.125" style="30" customWidth="1"/>
    <col min="6708" max="6708" width="9.625" style="30" customWidth="1"/>
    <col min="6709" max="6709" width="12.875" style="30" customWidth="1"/>
    <col min="6710" max="6710" width="11.5" style="30" customWidth="1"/>
    <col min="6711" max="6711" width="9.75" style="30" customWidth="1"/>
    <col min="6712" max="6712" width="13.375" style="30" customWidth="1"/>
    <col min="6713" max="6713" width="12.125" style="30" customWidth="1"/>
    <col min="6714" max="6714" width="10.25" style="30" customWidth="1"/>
    <col min="6715" max="6715" width="11.625" style="30" bestFit="1" customWidth="1"/>
    <col min="6716" max="6716" width="9.875" style="30" customWidth="1"/>
    <col min="6717" max="6717" width="13.375" style="30" customWidth="1"/>
    <col min="6718" max="6718" width="11.5" style="30" customWidth="1"/>
    <col min="6719" max="6719" width="12" style="30" customWidth="1"/>
    <col min="6720" max="6720" width="9.125" style="30" customWidth="1"/>
    <col min="6721" max="6721" width="9" style="30" customWidth="1"/>
    <col min="6722" max="6722" width="12.875" style="30" bestFit="1" customWidth="1"/>
    <col min="6723" max="6724" width="12" style="30" customWidth="1"/>
    <col min="6725" max="6725" width="11.875" style="30" customWidth="1"/>
    <col min="6726" max="6726" width="11" style="30" customWidth="1"/>
    <col min="6727" max="6727" width="11.625" style="30" customWidth="1"/>
    <col min="6728" max="6728" width="8.875" style="30" customWidth="1"/>
    <col min="6729" max="6729" width="11.625" style="30" bestFit="1" customWidth="1"/>
    <col min="6730" max="6730" width="9.625" style="30" customWidth="1"/>
    <col min="6731" max="6731" width="12.125" style="30" customWidth="1"/>
    <col min="6732" max="6732" width="11.875" style="30" customWidth="1"/>
    <col min="6733" max="6733" width="13.375" style="30" customWidth="1"/>
    <col min="6734" max="6734" width="11.5" style="30" customWidth="1"/>
    <col min="6735" max="6735" width="9.25" style="30" customWidth="1"/>
    <col min="6736" max="6736" width="11.625" style="30" bestFit="1" customWidth="1"/>
    <col min="6737" max="6737" width="10.625" style="30" customWidth="1"/>
    <col min="6738" max="6738" width="12" style="30" customWidth="1"/>
    <col min="6739" max="6739" width="11.625" style="30" customWidth="1"/>
    <col min="6740" max="6740" width="14" style="30" customWidth="1"/>
    <col min="6741" max="6741" width="11.125" style="30" customWidth="1"/>
    <col min="6742" max="6742" width="9.75" style="30" customWidth="1"/>
    <col min="6743" max="6743" width="11.625" style="30" bestFit="1" customWidth="1"/>
    <col min="6744" max="6744" width="10.125" style="30" customWidth="1"/>
    <col min="6745" max="6745" width="11.625" style="30" customWidth="1"/>
    <col min="6746" max="6746" width="11.375" style="30" customWidth="1"/>
    <col min="6747" max="6747" width="12.375" style="30" customWidth="1"/>
    <col min="6748" max="6749" width="10.875" style="30" customWidth="1"/>
    <col min="6750" max="6750" width="10.5" style="30" bestFit="1" customWidth="1"/>
    <col min="6751" max="6751" width="9.625" style="30" customWidth="1"/>
    <col min="6752" max="6752" width="11.875" style="30" customWidth="1"/>
    <col min="6753" max="6753" width="11.75" style="30" customWidth="1"/>
    <col min="6754" max="6754" width="14.125" style="30" customWidth="1"/>
    <col min="6755" max="6755" width="13.125" style="30" customWidth="1"/>
    <col min="6756" max="6756" width="8.75" style="30" customWidth="1"/>
    <col min="6757" max="6757" width="11.5" style="30" bestFit="1" customWidth="1"/>
    <col min="6758" max="6758" width="9.625" style="30" customWidth="1"/>
    <col min="6759" max="6759" width="13.625" style="30" customWidth="1"/>
    <col min="6760" max="6760" width="11.5" style="30" customWidth="1"/>
    <col min="6761" max="6761" width="11.75" style="30" customWidth="1"/>
    <col min="6762" max="6762" width="9.875" style="30" customWidth="1"/>
    <col min="6763" max="6763" width="9" style="30" customWidth="1"/>
    <col min="6764" max="6764" width="9.625" style="30" bestFit="1" customWidth="1"/>
    <col min="6765" max="6765" width="12.625" style="30" customWidth="1"/>
    <col min="6766" max="6766" width="12.375" style="30" customWidth="1"/>
    <col min="6767" max="6767" width="11.625" style="30" customWidth="1"/>
    <col min="6768" max="6769" width="14.125" style="30" customWidth="1"/>
    <col min="6770" max="6770" width="9.125" style="30" customWidth="1"/>
    <col min="6771" max="6771" width="10.5" style="30" bestFit="1" customWidth="1"/>
    <col min="6772" max="6772" width="9.625" style="30" customWidth="1"/>
    <col min="6773" max="6773" width="14.25" style="30" customWidth="1"/>
    <col min="6774" max="6774" width="11.875" style="30" customWidth="1"/>
    <col min="6775" max="6775" width="11" style="30" customWidth="1"/>
    <col min="6776" max="6776" width="11.75" style="30" customWidth="1"/>
    <col min="6777" max="6777" width="11.25" style="30" customWidth="1"/>
    <col min="6778" max="6778" width="9.625" style="30" bestFit="1" customWidth="1"/>
    <col min="6779" max="6779" width="9.625" style="30" customWidth="1"/>
    <col min="6780" max="6780" width="14.125" style="30" customWidth="1"/>
    <col min="6781" max="6781" width="11.125" style="30" customWidth="1"/>
    <col min="6782" max="6782" width="11.25" style="30" customWidth="1"/>
    <col min="6783" max="6783" width="12" style="30" customWidth="1"/>
    <col min="6784" max="6784" width="8.75" style="30" customWidth="1"/>
    <col min="6785" max="6785" width="9.625" style="30" bestFit="1" customWidth="1"/>
    <col min="6786" max="6786" width="9.625" style="30" customWidth="1"/>
    <col min="6787" max="6788" width="11.25" style="30" customWidth="1"/>
    <col min="6789" max="6789" width="12" style="30" customWidth="1"/>
    <col min="6790" max="6791" width="10.625" style="30" customWidth="1"/>
    <col min="6792" max="6792" width="11" style="30" customWidth="1"/>
    <col min="6793" max="6793" width="10.625" style="30" customWidth="1"/>
    <col min="6794" max="6794" width="12.375" style="30" customWidth="1"/>
    <col min="6795" max="6795" width="12" style="30" customWidth="1"/>
    <col min="6796" max="6796" width="11.625" style="30" customWidth="1"/>
    <col min="6797" max="6797" width="10.5" style="30" customWidth="1"/>
    <col min="6798" max="6798" width="8.625" style="30" customWidth="1"/>
    <col min="6799" max="6799" width="11.25" style="30" customWidth="1"/>
    <col min="6800" max="6800" width="9.875" style="30" customWidth="1"/>
    <col min="6801" max="6801" width="11.125" style="30" customWidth="1"/>
    <col min="6802" max="6802" width="11.625" style="30" customWidth="1"/>
    <col min="6803" max="6803" width="12.625" style="30" customWidth="1"/>
    <col min="6804" max="6804" width="11.5" style="30" customWidth="1"/>
    <col min="6805" max="6805" width="9.375" style="30"/>
    <col min="6806" max="6806" width="13.125" style="30" customWidth="1"/>
    <col min="6807" max="6807" width="9.5" style="30" customWidth="1"/>
    <col min="6808" max="6808" width="11.625" style="30" customWidth="1"/>
    <col min="6809" max="6809" width="11.5" style="30" customWidth="1"/>
    <col min="6810" max="6810" width="9.625" style="30" customWidth="1"/>
    <col min="6811" max="6811" width="9.25" style="30" customWidth="1"/>
    <col min="6812" max="6812" width="8.75" style="30" customWidth="1"/>
    <col min="6813" max="6813" width="9" style="30" customWidth="1"/>
    <col min="6814" max="6814" width="8.625" style="30" customWidth="1"/>
    <col min="6815" max="6815" width="11.125" style="30" customWidth="1"/>
    <col min="6816" max="6816" width="11.25" style="30" customWidth="1"/>
    <col min="6817" max="6817" width="11.5" style="30" customWidth="1"/>
    <col min="6818" max="6819" width="9" style="30" customWidth="1"/>
    <col min="6820" max="6820" width="9.875" style="30" customWidth="1"/>
    <col min="6821" max="6821" width="9.25" style="30" customWidth="1"/>
    <col min="6822" max="6822" width="11.125" style="30" customWidth="1"/>
    <col min="6823" max="6823" width="11.375" style="30" customWidth="1"/>
    <col min="6824" max="6824" width="10.875" style="30" customWidth="1"/>
    <col min="6825" max="6825" width="8.375" style="30" customWidth="1"/>
    <col min="6826" max="6826" width="9.125" style="30" customWidth="1"/>
    <col min="6827" max="6828" width="9" style="30" customWidth="1"/>
    <col min="6829" max="6829" width="10.75" style="30" customWidth="1"/>
    <col min="6830" max="6830" width="10.625" style="30" customWidth="1"/>
    <col min="6831" max="6831" width="10.25" style="30" customWidth="1"/>
    <col min="6832" max="6832" width="8.125" style="30" customWidth="1"/>
    <col min="6833" max="6835" width="9" style="30" customWidth="1"/>
    <col min="6836" max="6836" width="11.375" style="30" customWidth="1"/>
    <col min="6837" max="6837" width="11.125" style="30" customWidth="1"/>
    <col min="6838" max="6838" width="14.5" style="30" customWidth="1"/>
    <col min="6839" max="6839" width="10.875" style="30" customWidth="1"/>
    <col min="6840" max="6840" width="8.5" style="30" customWidth="1"/>
    <col min="6841" max="6841" width="10.375" style="30" customWidth="1"/>
    <col min="6842" max="6842" width="9" style="30" customWidth="1"/>
    <col min="6843" max="6843" width="12" style="30" customWidth="1"/>
    <col min="6844" max="6851" width="10.875" style="30" customWidth="1"/>
    <col min="6852" max="6852" width="10.5" style="30" customWidth="1"/>
    <col min="6853" max="6853" width="11.875" style="30" customWidth="1"/>
    <col min="6854" max="6854" width="10.875" style="30" customWidth="1"/>
    <col min="6855" max="6856" width="9" style="30" customWidth="1"/>
    <col min="6857" max="6857" width="12.125" style="30" customWidth="1"/>
    <col min="6858" max="6858" width="9.625" style="30" customWidth="1"/>
    <col min="6859" max="6860" width="9" style="30" customWidth="1"/>
    <col min="6861" max="6861" width="12.625" style="30" customWidth="1"/>
    <col min="6862" max="6862" width="11" style="30" customWidth="1"/>
    <col min="6863" max="6863" width="11.75" style="30" bestFit="1" customWidth="1"/>
    <col min="6864" max="6864" width="11.875" style="30" customWidth="1"/>
    <col min="6865" max="6866" width="9" style="30" customWidth="1"/>
    <col min="6867" max="6867" width="12.25" style="30" customWidth="1"/>
    <col min="6868" max="6868" width="10.875" style="30" customWidth="1"/>
    <col min="6869" max="6869" width="9" style="30" customWidth="1"/>
    <col min="6870" max="6870" width="10.875" style="30" customWidth="1"/>
    <col min="6871" max="6871" width="10.5" style="30" customWidth="1"/>
    <col min="6872" max="6873" width="9" style="30" customWidth="1"/>
    <col min="6874" max="6874" width="12.625" style="30" customWidth="1"/>
    <col min="6875" max="6876" width="9" style="30" customWidth="1"/>
    <col min="6877" max="6877" width="12" style="30" customWidth="1"/>
    <col min="6878" max="6894" width="9" style="30" customWidth="1"/>
    <col min="6895" max="6895" width="12.375" style="30" customWidth="1"/>
    <col min="6896" max="6896" width="12.5" style="30" customWidth="1"/>
    <col min="6897" max="6897" width="11.875" style="30" customWidth="1"/>
    <col min="6898" max="6898" width="11.625" style="30" customWidth="1"/>
    <col min="6899" max="6899" width="12.125" style="30" customWidth="1"/>
    <col min="6900" max="6901" width="10.5" style="30" bestFit="1" customWidth="1"/>
    <col min="6902" max="6902" width="10.625" style="30" bestFit="1" customWidth="1"/>
    <col min="6903" max="6910" width="10.5" style="30" bestFit="1" customWidth="1"/>
    <col min="6911" max="6911" width="10.5" style="30" customWidth="1"/>
    <col min="6912" max="6912" width="10.5" style="30" bestFit="1" customWidth="1"/>
    <col min="6913" max="6913" width="11.5" style="30" customWidth="1"/>
    <col min="6914" max="6914" width="9.5" style="30" bestFit="1" customWidth="1"/>
    <col min="6915" max="6925" width="10.5" style="30" bestFit="1" customWidth="1"/>
    <col min="6926" max="6926" width="12.75" style="30" bestFit="1" customWidth="1"/>
    <col min="6927" max="6931" width="10.5" style="30" bestFit="1" customWidth="1"/>
    <col min="6932" max="6933" width="9.375" style="30"/>
    <col min="6934" max="6934" width="8.5" style="30" customWidth="1"/>
    <col min="6935" max="6935" width="8" style="30" customWidth="1"/>
    <col min="6936" max="6936" width="21.25" style="30" customWidth="1"/>
    <col min="6937" max="6937" width="16.25" style="30" customWidth="1"/>
    <col min="6938" max="6938" width="11.625" style="30" customWidth="1"/>
    <col min="6939" max="6939" width="13.625" style="30" customWidth="1"/>
    <col min="6940" max="6940" width="12.875" style="30" customWidth="1"/>
    <col min="6941" max="6941" width="15.5" style="30" customWidth="1"/>
    <col min="6942" max="6943" width="13.375" style="30" customWidth="1"/>
    <col min="6944" max="6944" width="14.375" style="30" customWidth="1"/>
    <col min="6945" max="6945" width="11.875" style="30" customWidth="1"/>
    <col min="6946" max="6947" width="14.25" style="30" customWidth="1"/>
    <col min="6948" max="6948" width="8.625" style="30" customWidth="1"/>
    <col min="6949" max="6949" width="10.625" style="30" customWidth="1"/>
    <col min="6950" max="6950" width="9.875" style="30" customWidth="1"/>
    <col min="6951" max="6951" width="14" style="30" customWidth="1"/>
    <col min="6952" max="6952" width="10.875" style="30" customWidth="1"/>
    <col min="6953" max="6953" width="12.375" style="30" customWidth="1"/>
    <col min="6954" max="6954" width="12" style="30" customWidth="1"/>
    <col min="6955" max="6955" width="13.625" style="30" customWidth="1"/>
    <col min="6956" max="6956" width="10" style="30" customWidth="1"/>
    <col min="6957" max="6957" width="9.625" style="30" customWidth="1"/>
    <col min="6958" max="6958" width="11.75" style="30" customWidth="1"/>
    <col min="6959" max="6959" width="11.375" style="30" customWidth="1"/>
    <col min="6960" max="6960" width="12.875" style="30" customWidth="1"/>
    <col min="6961" max="6961" width="13" style="30" customWidth="1"/>
    <col min="6962" max="6962" width="8.875" style="30" customWidth="1"/>
    <col min="6963" max="6963" width="13.125" style="30" customWidth="1"/>
    <col min="6964" max="6964" width="9.625" style="30" customWidth="1"/>
    <col min="6965" max="6965" width="12.875" style="30" customWidth="1"/>
    <col min="6966" max="6966" width="11.5" style="30" customWidth="1"/>
    <col min="6967" max="6967" width="9.75" style="30" customWidth="1"/>
    <col min="6968" max="6968" width="13.375" style="30" customWidth="1"/>
    <col min="6969" max="6969" width="12.125" style="30" customWidth="1"/>
    <col min="6970" max="6970" width="10.25" style="30" customWidth="1"/>
    <col min="6971" max="6971" width="11.625" style="30" bestFit="1" customWidth="1"/>
    <col min="6972" max="6972" width="9.875" style="30" customWidth="1"/>
    <col min="6973" max="6973" width="13.375" style="30" customWidth="1"/>
    <col min="6974" max="6974" width="11.5" style="30" customWidth="1"/>
    <col min="6975" max="6975" width="12" style="30" customWidth="1"/>
    <col min="6976" max="6976" width="9.125" style="30" customWidth="1"/>
    <col min="6977" max="6977" width="9" style="30" customWidth="1"/>
    <col min="6978" max="6978" width="12.875" style="30" bestFit="1" customWidth="1"/>
    <col min="6979" max="6980" width="12" style="30" customWidth="1"/>
    <col min="6981" max="6981" width="11.875" style="30" customWidth="1"/>
    <col min="6982" max="6982" width="11" style="30" customWidth="1"/>
    <col min="6983" max="6983" width="11.625" style="30" customWidth="1"/>
    <col min="6984" max="6984" width="8.875" style="30" customWidth="1"/>
    <col min="6985" max="6985" width="11.625" style="30" bestFit="1" customWidth="1"/>
    <col min="6986" max="6986" width="9.625" style="30" customWidth="1"/>
    <col min="6987" max="6987" width="12.125" style="30" customWidth="1"/>
    <col min="6988" max="6988" width="11.875" style="30" customWidth="1"/>
    <col min="6989" max="6989" width="13.375" style="30" customWidth="1"/>
    <col min="6990" max="6990" width="11.5" style="30" customWidth="1"/>
    <col min="6991" max="6991" width="9.25" style="30" customWidth="1"/>
    <col min="6992" max="6992" width="11.625" style="30" bestFit="1" customWidth="1"/>
    <col min="6993" max="6993" width="10.625" style="30" customWidth="1"/>
    <col min="6994" max="6994" width="12" style="30" customWidth="1"/>
    <col min="6995" max="6995" width="11.625" style="30" customWidth="1"/>
    <col min="6996" max="6996" width="14" style="30" customWidth="1"/>
    <col min="6997" max="6997" width="11.125" style="30" customWidth="1"/>
    <col min="6998" max="6998" width="9.75" style="30" customWidth="1"/>
    <col min="6999" max="6999" width="11.625" style="30" bestFit="1" customWidth="1"/>
    <col min="7000" max="7000" width="10.125" style="30" customWidth="1"/>
    <col min="7001" max="7001" width="11.625" style="30" customWidth="1"/>
    <col min="7002" max="7002" width="11.375" style="30" customWidth="1"/>
    <col min="7003" max="7003" width="12.375" style="30" customWidth="1"/>
    <col min="7004" max="7005" width="10.875" style="30" customWidth="1"/>
    <col min="7006" max="7006" width="10.5" style="30" bestFit="1" customWidth="1"/>
    <col min="7007" max="7007" width="9.625" style="30" customWidth="1"/>
    <col min="7008" max="7008" width="11.875" style="30" customWidth="1"/>
    <col min="7009" max="7009" width="11.75" style="30" customWidth="1"/>
    <col min="7010" max="7010" width="14.125" style="30" customWidth="1"/>
    <col min="7011" max="7011" width="13.125" style="30" customWidth="1"/>
    <col min="7012" max="7012" width="8.75" style="30" customWidth="1"/>
    <col min="7013" max="7013" width="11.5" style="30" bestFit="1" customWidth="1"/>
    <col min="7014" max="7014" width="9.625" style="30" customWidth="1"/>
    <col min="7015" max="7015" width="13.625" style="30" customWidth="1"/>
    <col min="7016" max="7016" width="11.5" style="30" customWidth="1"/>
    <col min="7017" max="7017" width="11.75" style="30" customWidth="1"/>
    <col min="7018" max="7018" width="9.875" style="30" customWidth="1"/>
    <col min="7019" max="7019" width="9" style="30" customWidth="1"/>
    <col min="7020" max="7020" width="9.625" style="30" bestFit="1" customWidth="1"/>
    <col min="7021" max="7021" width="12.625" style="30" customWidth="1"/>
    <col min="7022" max="7022" width="12.375" style="30" customWidth="1"/>
    <col min="7023" max="7023" width="11.625" style="30" customWidth="1"/>
    <col min="7024" max="7025" width="14.125" style="30" customWidth="1"/>
    <col min="7026" max="7026" width="9.125" style="30" customWidth="1"/>
    <col min="7027" max="7027" width="10.5" style="30" bestFit="1" customWidth="1"/>
    <col min="7028" max="7028" width="9.625" style="30" customWidth="1"/>
    <col min="7029" max="7029" width="14.25" style="30" customWidth="1"/>
    <col min="7030" max="7030" width="11.875" style="30" customWidth="1"/>
    <col min="7031" max="7031" width="11" style="30" customWidth="1"/>
    <col min="7032" max="7032" width="11.75" style="30" customWidth="1"/>
    <col min="7033" max="7033" width="11.25" style="30" customWidth="1"/>
    <col min="7034" max="7034" width="9.625" style="30" bestFit="1" customWidth="1"/>
    <col min="7035" max="7035" width="9.625" style="30" customWidth="1"/>
    <col min="7036" max="7036" width="14.125" style="30" customWidth="1"/>
    <col min="7037" max="7037" width="11.125" style="30" customWidth="1"/>
    <col min="7038" max="7038" width="11.25" style="30" customWidth="1"/>
    <col min="7039" max="7039" width="12" style="30" customWidth="1"/>
    <col min="7040" max="7040" width="8.75" style="30" customWidth="1"/>
    <col min="7041" max="7041" width="9.625" style="30" bestFit="1" customWidth="1"/>
    <col min="7042" max="7042" width="9.625" style="30" customWidth="1"/>
    <col min="7043" max="7044" width="11.25" style="30" customWidth="1"/>
    <col min="7045" max="7045" width="12" style="30" customWidth="1"/>
    <col min="7046" max="7047" width="10.625" style="30" customWidth="1"/>
    <col min="7048" max="7048" width="11" style="30" customWidth="1"/>
    <col min="7049" max="7049" width="10.625" style="30" customWidth="1"/>
    <col min="7050" max="7050" width="12.375" style="30" customWidth="1"/>
    <col min="7051" max="7051" width="12" style="30" customWidth="1"/>
    <col min="7052" max="7052" width="11.625" style="30" customWidth="1"/>
    <col min="7053" max="7053" width="10.5" style="30" customWidth="1"/>
    <col min="7054" max="7054" width="8.625" style="30" customWidth="1"/>
    <col min="7055" max="7055" width="11.25" style="30" customWidth="1"/>
    <col min="7056" max="7056" width="9.875" style="30" customWidth="1"/>
    <col min="7057" max="7057" width="11.125" style="30" customWidth="1"/>
    <col min="7058" max="7058" width="11.625" style="30" customWidth="1"/>
    <col min="7059" max="7059" width="12.625" style="30" customWidth="1"/>
    <col min="7060" max="7060" width="11.5" style="30" customWidth="1"/>
    <col min="7061" max="7061" width="9.375" style="30"/>
    <col min="7062" max="7062" width="13.125" style="30" customWidth="1"/>
    <col min="7063" max="7063" width="9.5" style="30" customWidth="1"/>
    <col min="7064" max="7064" width="11.625" style="30" customWidth="1"/>
    <col min="7065" max="7065" width="11.5" style="30" customWidth="1"/>
    <col min="7066" max="7066" width="9.625" style="30" customWidth="1"/>
    <col min="7067" max="7067" width="9.25" style="30" customWidth="1"/>
    <col min="7068" max="7068" width="8.75" style="30" customWidth="1"/>
    <col min="7069" max="7069" width="9" style="30" customWidth="1"/>
    <col min="7070" max="7070" width="8.625" style="30" customWidth="1"/>
    <col min="7071" max="7071" width="11.125" style="30" customWidth="1"/>
    <col min="7072" max="7072" width="11.25" style="30" customWidth="1"/>
    <col min="7073" max="7073" width="11.5" style="30" customWidth="1"/>
    <col min="7074" max="7075" width="9" style="30" customWidth="1"/>
    <col min="7076" max="7076" width="9.875" style="30" customWidth="1"/>
    <col min="7077" max="7077" width="9.25" style="30" customWidth="1"/>
    <col min="7078" max="7078" width="11.125" style="30" customWidth="1"/>
    <col min="7079" max="7079" width="11.375" style="30" customWidth="1"/>
    <col min="7080" max="7080" width="10.875" style="30" customWidth="1"/>
    <col min="7081" max="7081" width="8.375" style="30" customWidth="1"/>
    <col min="7082" max="7082" width="9.125" style="30" customWidth="1"/>
    <col min="7083" max="7084" width="9" style="30" customWidth="1"/>
    <col min="7085" max="7085" width="10.75" style="30" customWidth="1"/>
    <col min="7086" max="7086" width="10.625" style="30" customWidth="1"/>
    <col min="7087" max="7087" width="10.25" style="30" customWidth="1"/>
    <col min="7088" max="7088" width="8.125" style="30" customWidth="1"/>
    <col min="7089" max="7091" width="9" style="30" customWidth="1"/>
    <col min="7092" max="7092" width="11.375" style="30" customWidth="1"/>
    <col min="7093" max="7093" width="11.125" style="30" customWidth="1"/>
    <col min="7094" max="7094" width="14.5" style="30" customWidth="1"/>
    <col min="7095" max="7095" width="10.875" style="30" customWidth="1"/>
    <col min="7096" max="7096" width="8.5" style="30" customWidth="1"/>
    <col min="7097" max="7097" width="10.375" style="30" customWidth="1"/>
    <col min="7098" max="7098" width="9" style="30" customWidth="1"/>
    <col min="7099" max="7099" width="12" style="30" customWidth="1"/>
    <col min="7100" max="7107" width="10.875" style="30" customWidth="1"/>
    <col min="7108" max="7108" width="10.5" style="30" customWidth="1"/>
    <col min="7109" max="7109" width="11.875" style="30" customWidth="1"/>
    <col min="7110" max="7110" width="10.875" style="30" customWidth="1"/>
    <col min="7111" max="7112" width="9" style="30" customWidth="1"/>
    <col min="7113" max="7113" width="12.125" style="30" customWidth="1"/>
    <col min="7114" max="7114" width="9.625" style="30" customWidth="1"/>
    <col min="7115" max="7116" width="9" style="30" customWidth="1"/>
    <col min="7117" max="7117" width="12.625" style="30" customWidth="1"/>
    <col min="7118" max="7118" width="11" style="30" customWidth="1"/>
    <col min="7119" max="7119" width="11.75" style="30" bestFit="1" customWidth="1"/>
    <col min="7120" max="7120" width="11.875" style="30" customWidth="1"/>
    <col min="7121" max="7122" width="9" style="30" customWidth="1"/>
    <col min="7123" max="7123" width="12.25" style="30" customWidth="1"/>
    <col min="7124" max="7124" width="10.875" style="30" customWidth="1"/>
    <col min="7125" max="7125" width="9" style="30" customWidth="1"/>
    <col min="7126" max="7126" width="10.875" style="30" customWidth="1"/>
    <col min="7127" max="7127" width="10.5" style="30" customWidth="1"/>
    <col min="7128" max="7129" width="9" style="30" customWidth="1"/>
    <col min="7130" max="7130" width="12.625" style="30" customWidth="1"/>
    <col min="7131" max="7132" width="9" style="30" customWidth="1"/>
    <col min="7133" max="7133" width="12" style="30" customWidth="1"/>
    <col min="7134" max="7150" width="9" style="30" customWidth="1"/>
    <col min="7151" max="7151" width="12.375" style="30" customWidth="1"/>
    <col min="7152" max="7152" width="12.5" style="30" customWidth="1"/>
    <col min="7153" max="7153" width="11.875" style="30" customWidth="1"/>
    <col min="7154" max="7154" width="11.625" style="30" customWidth="1"/>
    <col min="7155" max="7155" width="12.125" style="30" customWidth="1"/>
    <col min="7156" max="7157" width="10.5" style="30" bestFit="1" customWidth="1"/>
    <col min="7158" max="7158" width="10.625" style="30" bestFit="1" customWidth="1"/>
    <col min="7159" max="7166" width="10.5" style="30" bestFit="1" customWidth="1"/>
    <col min="7167" max="7167" width="10.5" style="30" customWidth="1"/>
    <col min="7168" max="7168" width="10.5" style="30" bestFit="1" customWidth="1"/>
    <col min="7169" max="7169" width="11.5" style="30" customWidth="1"/>
    <col min="7170" max="7170" width="9.5" style="30" bestFit="1" customWidth="1"/>
    <col min="7171" max="7181" width="10.5" style="30" bestFit="1" customWidth="1"/>
    <col min="7182" max="7182" width="12.75" style="30" bestFit="1" customWidth="1"/>
    <col min="7183" max="7187" width="10.5" style="30" bestFit="1" customWidth="1"/>
    <col min="7188" max="7189" width="9.375" style="30"/>
    <col min="7190" max="7190" width="8.5" style="30" customWidth="1"/>
    <col min="7191" max="7191" width="8" style="30" customWidth="1"/>
    <col min="7192" max="7192" width="21.25" style="30" customWidth="1"/>
    <col min="7193" max="7193" width="16.25" style="30" customWidth="1"/>
    <col min="7194" max="7194" width="11.625" style="30" customWidth="1"/>
    <col min="7195" max="7195" width="13.625" style="30" customWidth="1"/>
    <col min="7196" max="7196" width="12.875" style="30" customWidth="1"/>
    <col min="7197" max="7197" width="15.5" style="30" customWidth="1"/>
    <col min="7198" max="7199" width="13.375" style="30" customWidth="1"/>
    <col min="7200" max="7200" width="14.375" style="30" customWidth="1"/>
    <col min="7201" max="7201" width="11.875" style="30" customWidth="1"/>
    <col min="7202" max="7203" width="14.25" style="30" customWidth="1"/>
    <col min="7204" max="7204" width="8.625" style="30" customWidth="1"/>
    <col min="7205" max="7205" width="10.625" style="30" customWidth="1"/>
    <col min="7206" max="7206" width="9.875" style="30" customWidth="1"/>
    <col min="7207" max="7207" width="14" style="30" customWidth="1"/>
    <col min="7208" max="7208" width="10.875" style="30" customWidth="1"/>
    <col min="7209" max="7209" width="12.375" style="30" customWidth="1"/>
    <col min="7210" max="7210" width="12" style="30" customWidth="1"/>
    <col min="7211" max="7211" width="13.625" style="30" customWidth="1"/>
    <col min="7212" max="7212" width="10" style="30" customWidth="1"/>
    <col min="7213" max="7213" width="9.625" style="30" customWidth="1"/>
    <col min="7214" max="7214" width="11.75" style="30" customWidth="1"/>
    <col min="7215" max="7215" width="11.375" style="30" customWidth="1"/>
    <col min="7216" max="7216" width="12.875" style="30" customWidth="1"/>
    <col min="7217" max="7217" width="13" style="30" customWidth="1"/>
    <col min="7218" max="7218" width="8.875" style="30" customWidth="1"/>
    <col min="7219" max="7219" width="13.125" style="30" customWidth="1"/>
    <col min="7220" max="7220" width="9.625" style="30" customWidth="1"/>
    <col min="7221" max="7221" width="12.875" style="30" customWidth="1"/>
    <col min="7222" max="7222" width="11.5" style="30" customWidth="1"/>
    <col min="7223" max="7223" width="9.75" style="30" customWidth="1"/>
    <col min="7224" max="7224" width="13.375" style="30" customWidth="1"/>
    <col min="7225" max="7225" width="12.125" style="30" customWidth="1"/>
    <col min="7226" max="7226" width="10.25" style="30" customWidth="1"/>
    <col min="7227" max="7227" width="11.625" style="30" bestFit="1" customWidth="1"/>
    <col min="7228" max="7228" width="9.875" style="30" customWidth="1"/>
    <col min="7229" max="7229" width="13.375" style="30" customWidth="1"/>
    <col min="7230" max="7230" width="11.5" style="30" customWidth="1"/>
    <col min="7231" max="7231" width="12" style="30" customWidth="1"/>
    <col min="7232" max="7232" width="9.125" style="30" customWidth="1"/>
    <col min="7233" max="7233" width="9" style="30" customWidth="1"/>
    <col min="7234" max="7234" width="12.875" style="30" bestFit="1" customWidth="1"/>
    <col min="7235" max="7236" width="12" style="30" customWidth="1"/>
    <col min="7237" max="7237" width="11.875" style="30" customWidth="1"/>
    <col min="7238" max="7238" width="11" style="30" customWidth="1"/>
    <col min="7239" max="7239" width="11.625" style="30" customWidth="1"/>
    <col min="7240" max="7240" width="8.875" style="30" customWidth="1"/>
    <col min="7241" max="7241" width="11.625" style="30" bestFit="1" customWidth="1"/>
    <col min="7242" max="7242" width="9.625" style="30" customWidth="1"/>
    <col min="7243" max="7243" width="12.125" style="30" customWidth="1"/>
    <col min="7244" max="7244" width="11.875" style="30" customWidth="1"/>
    <col min="7245" max="7245" width="13.375" style="30" customWidth="1"/>
    <col min="7246" max="7246" width="11.5" style="30" customWidth="1"/>
    <col min="7247" max="7247" width="9.25" style="30" customWidth="1"/>
    <col min="7248" max="7248" width="11.625" style="30" bestFit="1" customWidth="1"/>
    <col min="7249" max="7249" width="10.625" style="30" customWidth="1"/>
    <col min="7250" max="7250" width="12" style="30" customWidth="1"/>
    <col min="7251" max="7251" width="11.625" style="30" customWidth="1"/>
    <col min="7252" max="7252" width="14" style="30" customWidth="1"/>
    <col min="7253" max="7253" width="11.125" style="30" customWidth="1"/>
    <col min="7254" max="7254" width="9.75" style="30" customWidth="1"/>
    <col min="7255" max="7255" width="11.625" style="30" bestFit="1" customWidth="1"/>
    <col min="7256" max="7256" width="10.125" style="30" customWidth="1"/>
    <col min="7257" max="7257" width="11.625" style="30" customWidth="1"/>
    <col min="7258" max="7258" width="11.375" style="30" customWidth="1"/>
    <col min="7259" max="7259" width="12.375" style="30" customWidth="1"/>
    <col min="7260" max="7261" width="10.875" style="30" customWidth="1"/>
    <col min="7262" max="7262" width="10.5" style="30" bestFit="1" customWidth="1"/>
    <col min="7263" max="7263" width="9.625" style="30" customWidth="1"/>
    <col min="7264" max="7264" width="11.875" style="30" customWidth="1"/>
    <col min="7265" max="7265" width="11.75" style="30" customWidth="1"/>
    <col min="7266" max="7266" width="14.125" style="30" customWidth="1"/>
    <col min="7267" max="7267" width="13.125" style="30" customWidth="1"/>
    <col min="7268" max="7268" width="8.75" style="30" customWidth="1"/>
    <col min="7269" max="7269" width="11.5" style="30" bestFit="1" customWidth="1"/>
    <col min="7270" max="7270" width="9.625" style="30" customWidth="1"/>
    <col min="7271" max="7271" width="13.625" style="30" customWidth="1"/>
    <col min="7272" max="7272" width="11.5" style="30" customWidth="1"/>
    <col min="7273" max="7273" width="11.75" style="30" customWidth="1"/>
    <col min="7274" max="7274" width="9.875" style="30" customWidth="1"/>
    <col min="7275" max="7275" width="9" style="30" customWidth="1"/>
    <col min="7276" max="7276" width="9.625" style="30" bestFit="1" customWidth="1"/>
    <col min="7277" max="7277" width="12.625" style="30" customWidth="1"/>
    <col min="7278" max="7278" width="12.375" style="30" customWidth="1"/>
    <col min="7279" max="7279" width="11.625" style="30" customWidth="1"/>
    <col min="7280" max="7281" width="14.125" style="30" customWidth="1"/>
    <col min="7282" max="7282" width="9.125" style="30" customWidth="1"/>
    <col min="7283" max="7283" width="10.5" style="30" bestFit="1" customWidth="1"/>
    <col min="7284" max="7284" width="9.625" style="30" customWidth="1"/>
    <col min="7285" max="7285" width="14.25" style="30" customWidth="1"/>
    <col min="7286" max="7286" width="11.875" style="30" customWidth="1"/>
    <col min="7287" max="7287" width="11" style="30" customWidth="1"/>
    <col min="7288" max="7288" width="11.75" style="30" customWidth="1"/>
    <col min="7289" max="7289" width="11.25" style="30" customWidth="1"/>
    <col min="7290" max="7290" width="9.625" style="30" bestFit="1" customWidth="1"/>
    <col min="7291" max="7291" width="9.625" style="30" customWidth="1"/>
    <col min="7292" max="7292" width="14.125" style="30" customWidth="1"/>
    <col min="7293" max="7293" width="11.125" style="30" customWidth="1"/>
    <col min="7294" max="7294" width="11.25" style="30" customWidth="1"/>
    <col min="7295" max="7295" width="12" style="30" customWidth="1"/>
    <col min="7296" max="7296" width="8.75" style="30" customWidth="1"/>
    <col min="7297" max="7297" width="9.625" style="30" bestFit="1" customWidth="1"/>
    <col min="7298" max="7298" width="9.625" style="30" customWidth="1"/>
    <col min="7299" max="7300" width="11.25" style="30" customWidth="1"/>
    <col min="7301" max="7301" width="12" style="30" customWidth="1"/>
    <col min="7302" max="7303" width="10.625" style="30" customWidth="1"/>
    <col min="7304" max="7304" width="11" style="30" customWidth="1"/>
    <col min="7305" max="7305" width="10.625" style="30" customWidth="1"/>
    <col min="7306" max="7306" width="12.375" style="30" customWidth="1"/>
    <col min="7307" max="7307" width="12" style="30" customWidth="1"/>
    <col min="7308" max="7308" width="11.625" style="30" customWidth="1"/>
    <col min="7309" max="7309" width="10.5" style="30" customWidth="1"/>
    <col min="7310" max="7310" width="8.625" style="30" customWidth="1"/>
    <col min="7311" max="7311" width="11.25" style="30" customWidth="1"/>
    <col min="7312" max="7312" width="9.875" style="30" customWidth="1"/>
    <col min="7313" max="7313" width="11.125" style="30" customWidth="1"/>
    <col min="7314" max="7314" width="11.625" style="30" customWidth="1"/>
    <col min="7315" max="7315" width="12.625" style="30" customWidth="1"/>
    <col min="7316" max="7316" width="11.5" style="30" customWidth="1"/>
    <col min="7317" max="7317" width="9.375" style="30"/>
    <col min="7318" max="7318" width="13.125" style="30" customWidth="1"/>
    <col min="7319" max="7319" width="9.5" style="30" customWidth="1"/>
    <col min="7320" max="7320" width="11.625" style="30" customWidth="1"/>
    <col min="7321" max="7321" width="11.5" style="30" customWidth="1"/>
    <col min="7322" max="7322" width="9.625" style="30" customWidth="1"/>
    <col min="7323" max="7323" width="9.25" style="30" customWidth="1"/>
    <col min="7324" max="7324" width="8.75" style="30" customWidth="1"/>
    <col min="7325" max="7325" width="9" style="30" customWidth="1"/>
    <col min="7326" max="7326" width="8.625" style="30" customWidth="1"/>
    <col min="7327" max="7327" width="11.125" style="30" customWidth="1"/>
    <col min="7328" max="7328" width="11.25" style="30" customWidth="1"/>
    <col min="7329" max="7329" width="11.5" style="30" customWidth="1"/>
    <col min="7330" max="7331" width="9" style="30" customWidth="1"/>
    <col min="7332" max="7332" width="9.875" style="30" customWidth="1"/>
    <col min="7333" max="7333" width="9.25" style="30" customWidth="1"/>
    <col min="7334" max="7334" width="11.125" style="30" customWidth="1"/>
    <col min="7335" max="7335" width="11.375" style="30" customWidth="1"/>
    <col min="7336" max="7336" width="10.875" style="30" customWidth="1"/>
    <col min="7337" max="7337" width="8.375" style="30" customWidth="1"/>
    <col min="7338" max="7338" width="9.125" style="30" customWidth="1"/>
    <col min="7339" max="7340" width="9" style="30" customWidth="1"/>
    <col min="7341" max="7341" width="10.75" style="30" customWidth="1"/>
    <col min="7342" max="7342" width="10.625" style="30" customWidth="1"/>
    <col min="7343" max="7343" width="10.25" style="30" customWidth="1"/>
    <col min="7344" max="7344" width="8.125" style="30" customWidth="1"/>
    <col min="7345" max="7347" width="9" style="30" customWidth="1"/>
    <col min="7348" max="7348" width="11.375" style="30" customWidth="1"/>
    <col min="7349" max="7349" width="11.125" style="30" customWidth="1"/>
    <col min="7350" max="7350" width="14.5" style="30" customWidth="1"/>
    <col min="7351" max="7351" width="10.875" style="30" customWidth="1"/>
    <col min="7352" max="7352" width="8.5" style="30" customWidth="1"/>
    <col min="7353" max="7353" width="10.375" style="30" customWidth="1"/>
    <col min="7354" max="7354" width="9" style="30" customWidth="1"/>
    <col min="7355" max="7355" width="12" style="30" customWidth="1"/>
    <col min="7356" max="7363" width="10.875" style="30" customWidth="1"/>
    <col min="7364" max="7364" width="10.5" style="30" customWidth="1"/>
    <col min="7365" max="7365" width="11.875" style="30" customWidth="1"/>
    <col min="7366" max="7366" width="10.875" style="30" customWidth="1"/>
    <col min="7367" max="7368" width="9" style="30" customWidth="1"/>
    <col min="7369" max="7369" width="12.125" style="30" customWidth="1"/>
    <col min="7370" max="7370" width="9.625" style="30" customWidth="1"/>
    <col min="7371" max="7372" width="9" style="30" customWidth="1"/>
    <col min="7373" max="7373" width="12.625" style="30" customWidth="1"/>
    <col min="7374" max="7374" width="11" style="30" customWidth="1"/>
    <col min="7375" max="7375" width="11.75" style="30" bestFit="1" customWidth="1"/>
    <col min="7376" max="7376" width="11.875" style="30" customWidth="1"/>
    <col min="7377" max="7378" width="9" style="30" customWidth="1"/>
    <col min="7379" max="7379" width="12.25" style="30" customWidth="1"/>
    <col min="7380" max="7380" width="10.875" style="30" customWidth="1"/>
    <col min="7381" max="7381" width="9" style="30" customWidth="1"/>
    <col min="7382" max="7382" width="10.875" style="30" customWidth="1"/>
    <col min="7383" max="7383" width="10.5" style="30" customWidth="1"/>
    <col min="7384" max="7385" width="9" style="30" customWidth="1"/>
    <col min="7386" max="7386" width="12.625" style="30" customWidth="1"/>
    <col min="7387" max="7388" width="9" style="30" customWidth="1"/>
    <col min="7389" max="7389" width="12" style="30" customWidth="1"/>
    <col min="7390" max="7406" width="9" style="30" customWidth="1"/>
    <col min="7407" max="7407" width="12.375" style="30" customWidth="1"/>
    <col min="7408" max="7408" width="12.5" style="30" customWidth="1"/>
    <col min="7409" max="7409" width="11.875" style="30" customWidth="1"/>
    <col min="7410" max="7410" width="11.625" style="30" customWidth="1"/>
    <col min="7411" max="7411" width="12.125" style="30" customWidth="1"/>
    <col min="7412" max="7413" width="10.5" style="30" bestFit="1" customWidth="1"/>
    <col min="7414" max="7414" width="10.625" style="30" bestFit="1" customWidth="1"/>
    <col min="7415" max="7422" width="10.5" style="30" bestFit="1" customWidth="1"/>
    <col min="7423" max="7423" width="10.5" style="30" customWidth="1"/>
    <col min="7424" max="7424" width="10.5" style="30" bestFit="1" customWidth="1"/>
    <col min="7425" max="7425" width="11.5" style="30" customWidth="1"/>
    <col min="7426" max="7426" width="9.5" style="30" bestFit="1" customWidth="1"/>
    <col min="7427" max="7437" width="10.5" style="30" bestFit="1" customWidth="1"/>
    <col min="7438" max="7438" width="12.75" style="30" bestFit="1" customWidth="1"/>
    <col min="7439" max="7443" width="10.5" style="30" bestFit="1" customWidth="1"/>
    <col min="7444" max="7445" width="9.375" style="30"/>
    <col min="7446" max="7446" width="8.5" style="30" customWidth="1"/>
    <col min="7447" max="7447" width="8" style="30" customWidth="1"/>
    <col min="7448" max="7448" width="21.25" style="30" customWidth="1"/>
    <col min="7449" max="7449" width="16.25" style="30" customWidth="1"/>
    <col min="7450" max="7450" width="11.625" style="30" customWidth="1"/>
    <col min="7451" max="7451" width="13.625" style="30" customWidth="1"/>
    <col min="7452" max="7452" width="12.875" style="30" customWidth="1"/>
    <col min="7453" max="7453" width="15.5" style="30" customWidth="1"/>
    <col min="7454" max="7455" width="13.375" style="30" customWidth="1"/>
    <col min="7456" max="7456" width="14.375" style="30" customWidth="1"/>
    <col min="7457" max="7457" width="11.875" style="30" customWidth="1"/>
    <col min="7458" max="7459" width="14.25" style="30" customWidth="1"/>
    <col min="7460" max="7460" width="8.625" style="30" customWidth="1"/>
    <col min="7461" max="7461" width="10.625" style="30" customWidth="1"/>
    <col min="7462" max="7462" width="9.875" style="30" customWidth="1"/>
    <col min="7463" max="7463" width="14" style="30" customWidth="1"/>
    <col min="7464" max="7464" width="10.875" style="30" customWidth="1"/>
    <col min="7465" max="7465" width="12.375" style="30" customWidth="1"/>
    <col min="7466" max="7466" width="12" style="30" customWidth="1"/>
    <col min="7467" max="7467" width="13.625" style="30" customWidth="1"/>
    <col min="7468" max="7468" width="10" style="30" customWidth="1"/>
    <col min="7469" max="7469" width="9.625" style="30" customWidth="1"/>
    <col min="7470" max="7470" width="11.75" style="30" customWidth="1"/>
    <col min="7471" max="7471" width="11.375" style="30" customWidth="1"/>
    <col min="7472" max="7472" width="12.875" style="30" customWidth="1"/>
    <col min="7473" max="7473" width="13" style="30" customWidth="1"/>
    <col min="7474" max="7474" width="8.875" style="30" customWidth="1"/>
    <col min="7475" max="7475" width="13.125" style="30" customWidth="1"/>
    <col min="7476" max="7476" width="9.625" style="30" customWidth="1"/>
    <col min="7477" max="7477" width="12.875" style="30" customWidth="1"/>
    <col min="7478" max="7478" width="11.5" style="30" customWidth="1"/>
    <col min="7479" max="7479" width="9.75" style="30" customWidth="1"/>
    <col min="7480" max="7480" width="13.375" style="30" customWidth="1"/>
    <col min="7481" max="7481" width="12.125" style="30" customWidth="1"/>
    <col min="7482" max="7482" width="10.25" style="30" customWidth="1"/>
    <col min="7483" max="7483" width="11.625" style="30" bestFit="1" customWidth="1"/>
    <col min="7484" max="7484" width="9.875" style="30" customWidth="1"/>
    <col min="7485" max="7485" width="13.375" style="30" customWidth="1"/>
    <col min="7486" max="7486" width="11.5" style="30" customWidth="1"/>
    <col min="7487" max="7487" width="12" style="30" customWidth="1"/>
    <col min="7488" max="7488" width="9.125" style="30" customWidth="1"/>
    <col min="7489" max="7489" width="9" style="30" customWidth="1"/>
    <col min="7490" max="7490" width="12.875" style="30" bestFit="1" customWidth="1"/>
    <col min="7491" max="7492" width="12" style="30" customWidth="1"/>
    <col min="7493" max="7493" width="11.875" style="30" customWidth="1"/>
    <col min="7494" max="7494" width="11" style="30" customWidth="1"/>
    <col min="7495" max="7495" width="11.625" style="30" customWidth="1"/>
    <col min="7496" max="7496" width="8.875" style="30" customWidth="1"/>
    <col min="7497" max="7497" width="11.625" style="30" bestFit="1" customWidth="1"/>
    <col min="7498" max="7498" width="9.625" style="30" customWidth="1"/>
    <col min="7499" max="7499" width="12.125" style="30" customWidth="1"/>
    <col min="7500" max="7500" width="11.875" style="30" customWidth="1"/>
    <col min="7501" max="7501" width="13.375" style="30" customWidth="1"/>
    <col min="7502" max="7502" width="11.5" style="30" customWidth="1"/>
    <col min="7503" max="7503" width="9.25" style="30" customWidth="1"/>
    <col min="7504" max="7504" width="11.625" style="30" bestFit="1" customWidth="1"/>
    <col min="7505" max="7505" width="10.625" style="30" customWidth="1"/>
    <col min="7506" max="7506" width="12" style="30" customWidth="1"/>
    <col min="7507" max="7507" width="11.625" style="30" customWidth="1"/>
    <col min="7508" max="7508" width="14" style="30" customWidth="1"/>
    <col min="7509" max="7509" width="11.125" style="30" customWidth="1"/>
    <col min="7510" max="7510" width="9.75" style="30" customWidth="1"/>
    <col min="7511" max="7511" width="11.625" style="30" bestFit="1" customWidth="1"/>
    <col min="7512" max="7512" width="10.125" style="30" customWidth="1"/>
    <col min="7513" max="7513" width="11.625" style="30" customWidth="1"/>
    <col min="7514" max="7514" width="11.375" style="30" customWidth="1"/>
    <col min="7515" max="7515" width="12.375" style="30" customWidth="1"/>
    <col min="7516" max="7517" width="10.875" style="30" customWidth="1"/>
    <col min="7518" max="7518" width="10.5" style="30" bestFit="1" customWidth="1"/>
    <col min="7519" max="7519" width="9.625" style="30" customWidth="1"/>
    <col min="7520" max="7520" width="11.875" style="30" customWidth="1"/>
    <col min="7521" max="7521" width="11.75" style="30" customWidth="1"/>
    <col min="7522" max="7522" width="14.125" style="30" customWidth="1"/>
    <col min="7523" max="7523" width="13.125" style="30" customWidth="1"/>
    <col min="7524" max="7524" width="8.75" style="30" customWidth="1"/>
    <col min="7525" max="7525" width="11.5" style="30" bestFit="1" customWidth="1"/>
    <col min="7526" max="7526" width="9.625" style="30" customWidth="1"/>
    <col min="7527" max="7527" width="13.625" style="30" customWidth="1"/>
    <col min="7528" max="7528" width="11.5" style="30" customWidth="1"/>
    <col min="7529" max="7529" width="11.75" style="30" customWidth="1"/>
    <col min="7530" max="7530" width="9.875" style="30" customWidth="1"/>
    <col min="7531" max="7531" width="9" style="30" customWidth="1"/>
    <col min="7532" max="7532" width="9.625" style="30" bestFit="1" customWidth="1"/>
    <col min="7533" max="7533" width="12.625" style="30" customWidth="1"/>
    <col min="7534" max="7534" width="12.375" style="30" customWidth="1"/>
    <col min="7535" max="7535" width="11.625" style="30" customWidth="1"/>
    <col min="7536" max="7537" width="14.125" style="30" customWidth="1"/>
    <col min="7538" max="7538" width="9.125" style="30" customWidth="1"/>
    <col min="7539" max="7539" width="10.5" style="30" bestFit="1" customWidth="1"/>
    <col min="7540" max="7540" width="9.625" style="30" customWidth="1"/>
    <col min="7541" max="7541" width="14.25" style="30" customWidth="1"/>
    <col min="7542" max="7542" width="11.875" style="30" customWidth="1"/>
    <col min="7543" max="7543" width="11" style="30" customWidth="1"/>
    <col min="7544" max="7544" width="11.75" style="30" customWidth="1"/>
    <col min="7545" max="7545" width="11.25" style="30" customWidth="1"/>
    <col min="7546" max="7546" width="9.625" style="30" bestFit="1" customWidth="1"/>
    <col min="7547" max="7547" width="9.625" style="30" customWidth="1"/>
    <col min="7548" max="7548" width="14.125" style="30" customWidth="1"/>
    <col min="7549" max="7549" width="11.125" style="30" customWidth="1"/>
    <col min="7550" max="7550" width="11.25" style="30" customWidth="1"/>
    <col min="7551" max="7551" width="12" style="30" customWidth="1"/>
    <col min="7552" max="7552" width="8.75" style="30" customWidth="1"/>
    <col min="7553" max="7553" width="9.625" style="30" bestFit="1" customWidth="1"/>
    <col min="7554" max="7554" width="9.625" style="30" customWidth="1"/>
    <col min="7555" max="7556" width="11.25" style="30" customWidth="1"/>
    <col min="7557" max="7557" width="12" style="30" customWidth="1"/>
    <col min="7558" max="7559" width="10.625" style="30" customWidth="1"/>
    <col min="7560" max="7560" width="11" style="30" customWidth="1"/>
    <col min="7561" max="7561" width="10.625" style="30" customWidth="1"/>
    <col min="7562" max="7562" width="12.375" style="30" customWidth="1"/>
    <col min="7563" max="7563" width="12" style="30" customWidth="1"/>
    <col min="7564" max="7564" width="11.625" style="30" customWidth="1"/>
    <col min="7565" max="7565" width="10.5" style="30" customWidth="1"/>
    <col min="7566" max="7566" width="8.625" style="30" customWidth="1"/>
    <col min="7567" max="7567" width="11.25" style="30" customWidth="1"/>
    <col min="7568" max="7568" width="9.875" style="30" customWidth="1"/>
    <col min="7569" max="7569" width="11.125" style="30" customWidth="1"/>
    <col min="7570" max="7570" width="11.625" style="30" customWidth="1"/>
    <col min="7571" max="7571" width="12.625" style="30" customWidth="1"/>
    <col min="7572" max="7572" width="11.5" style="30" customWidth="1"/>
    <col min="7573" max="7573" width="9.375" style="30"/>
    <col min="7574" max="7574" width="13.125" style="30" customWidth="1"/>
    <col min="7575" max="7575" width="9.5" style="30" customWidth="1"/>
    <col min="7576" max="7576" width="11.625" style="30" customWidth="1"/>
    <col min="7577" max="7577" width="11.5" style="30" customWidth="1"/>
    <col min="7578" max="7578" width="9.625" style="30" customWidth="1"/>
    <col min="7579" max="7579" width="9.25" style="30" customWidth="1"/>
    <col min="7580" max="7580" width="8.75" style="30" customWidth="1"/>
    <col min="7581" max="7581" width="9" style="30" customWidth="1"/>
    <col min="7582" max="7582" width="8.625" style="30" customWidth="1"/>
    <col min="7583" max="7583" width="11.125" style="30" customWidth="1"/>
    <col min="7584" max="7584" width="11.25" style="30" customWidth="1"/>
    <col min="7585" max="7585" width="11.5" style="30" customWidth="1"/>
    <col min="7586" max="7587" width="9" style="30" customWidth="1"/>
    <col min="7588" max="7588" width="9.875" style="30" customWidth="1"/>
    <col min="7589" max="7589" width="9.25" style="30" customWidth="1"/>
    <col min="7590" max="7590" width="11.125" style="30" customWidth="1"/>
    <col min="7591" max="7591" width="11.375" style="30" customWidth="1"/>
    <col min="7592" max="7592" width="10.875" style="30" customWidth="1"/>
    <col min="7593" max="7593" width="8.375" style="30" customWidth="1"/>
    <col min="7594" max="7594" width="9.125" style="30" customWidth="1"/>
    <col min="7595" max="7596" width="9" style="30" customWidth="1"/>
    <col min="7597" max="7597" width="10.75" style="30" customWidth="1"/>
    <col min="7598" max="7598" width="10.625" style="30" customWidth="1"/>
    <col min="7599" max="7599" width="10.25" style="30" customWidth="1"/>
    <col min="7600" max="7600" width="8.125" style="30" customWidth="1"/>
    <col min="7601" max="7603" width="9" style="30" customWidth="1"/>
    <col min="7604" max="7604" width="11.375" style="30" customWidth="1"/>
    <col min="7605" max="7605" width="11.125" style="30" customWidth="1"/>
    <col min="7606" max="7606" width="14.5" style="30" customWidth="1"/>
    <col min="7607" max="7607" width="10.875" style="30" customWidth="1"/>
    <col min="7608" max="7608" width="8.5" style="30" customWidth="1"/>
    <col min="7609" max="7609" width="10.375" style="30" customWidth="1"/>
    <col min="7610" max="7610" width="9" style="30" customWidth="1"/>
    <col min="7611" max="7611" width="12" style="30" customWidth="1"/>
    <col min="7612" max="7619" width="10.875" style="30" customWidth="1"/>
    <col min="7620" max="7620" width="10.5" style="30" customWidth="1"/>
    <col min="7621" max="7621" width="11.875" style="30" customWidth="1"/>
    <col min="7622" max="7622" width="10.875" style="30" customWidth="1"/>
    <col min="7623" max="7624" width="9" style="30" customWidth="1"/>
    <col min="7625" max="7625" width="12.125" style="30" customWidth="1"/>
    <col min="7626" max="7626" width="9.625" style="30" customWidth="1"/>
    <col min="7627" max="7628" width="9" style="30" customWidth="1"/>
    <col min="7629" max="7629" width="12.625" style="30" customWidth="1"/>
    <col min="7630" max="7630" width="11" style="30" customWidth="1"/>
    <col min="7631" max="7631" width="11.75" style="30" bestFit="1" customWidth="1"/>
    <col min="7632" max="7632" width="11.875" style="30" customWidth="1"/>
    <col min="7633" max="7634" width="9" style="30" customWidth="1"/>
    <col min="7635" max="7635" width="12.25" style="30" customWidth="1"/>
    <col min="7636" max="7636" width="10.875" style="30" customWidth="1"/>
    <col min="7637" max="7637" width="9" style="30" customWidth="1"/>
    <col min="7638" max="7638" width="10.875" style="30" customWidth="1"/>
    <col min="7639" max="7639" width="10.5" style="30" customWidth="1"/>
    <col min="7640" max="7641" width="9" style="30" customWidth="1"/>
    <col min="7642" max="7642" width="12.625" style="30" customWidth="1"/>
    <col min="7643" max="7644" width="9" style="30" customWidth="1"/>
    <col min="7645" max="7645" width="12" style="30" customWidth="1"/>
    <col min="7646" max="7662" width="9" style="30" customWidth="1"/>
    <col min="7663" max="7663" width="12.375" style="30" customWidth="1"/>
    <col min="7664" max="7664" width="12.5" style="30" customWidth="1"/>
    <col min="7665" max="7665" width="11.875" style="30" customWidth="1"/>
    <col min="7666" max="7666" width="11.625" style="30" customWidth="1"/>
    <col min="7667" max="7667" width="12.125" style="30" customWidth="1"/>
    <col min="7668" max="7669" width="10.5" style="30" bestFit="1" customWidth="1"/>
    <col min="7670" max="7670" width="10.625" style="30" bestFit="1" customWidth="1"/>
    <col min="7671" max="7678" width="10.5" style="30" bestFit="1" customWidth="1"/>
    <col min="7679" max="7679" width="10.5" style="30" customWidth="1"/>
    <col min="7680" max="7680" width="10.5" style="30" bestFit="1" customWidth="1"/>
    <col min="7681" max="7681" width="11.5" style="30" customWidth="1"/>
    <col min="7682" max="7682" width="9.5" style="30" bestFit="1" customWidth="1"/>
    <col min="7683" max="7693" width="10.5" style="30" bestFit="1" customWidth="1"/>
    <col min="7694" max="7694" width="12.75" style="30" bestFit="1" customWidth="1"/>
    <col min="7695" max="7699" width="10.5" style="30" bestFit="1" customWidth="1"/>
    <col min="7700" max="7701" width="9.375" style="30"/>
    <col min="7702" max="7702" width="8.5" style="30" customWidth="1"/>
    <col min="7703" max="7703" width="8" style="30" customWidth="1"/>
    <col min="7704" max="7704" width="21.25" style="30" customWidth="1"/>
    <col min="7705" max="7705" width="16.25" style="30" customWidth="1"/>
    <col min="7706" max="7706" width="11.625" style="30" customWidth="1"/>
    <col min="7707" max="7707" width="13.625" style="30" customWidth="1"/>
    <col min="7708" max="7708" width="12.875" style="30" customWidth="1"/>
    <col min="7709" max="7709" width="15.5" style="30" customWidth="1"/>
    <col min="7710" max="7711" width="13.375" style="30" customWidth="1"/>
    <col min="7712" max="7712" width="14.375" style="30" customWidth="1"/>
    <col min="7713" max="7713" width="11.875" style="30" customWidth="1"/>
    <col min="7714" max="7715" width="14.25" style="30" customWidth="1"/>
    <col min="7716" max="7716" width="8.625" style="30" customWidth="1"/>
    <col min="7717" max="7717" width="10.625" style="30" customWidth="1"/>
    <col min="7718" max="7718" width="9.875" style="30" customWidth="1"/>
    <col min="7719" max="7719" width="14" style="30" customWidth="1"/>
    <col min="7720" max="7720" width="10.875" style="30" customWidth="1"/>
    <col min="7721" max="7721" width="12.375" style="30" customWidth="1"/>
    <col min="7722" max="7722" width="12" style="30" customWidth="1"/>
    <col min="7723" max="7723" width="13.625" style="30" customWidth="1"/>
    <col min="7724" max="7724" width="10" style="30" customWidth="1"/>
    <col min="7725" max="7725" width="9.625" style="30" customWidth="1"/>
    <col min="7726" max="7726" width="11.75" style="30" customWidth="1"/>
    <col min="7727" max="7727" width="11.375" style="30" customWidth="1"/>
    <col min="7728" max="7728" width="12.875" style="30" customWidth="1"/>
    <col min="7729" max="7729" width="13" style="30" customWidth="1"/>
    <col min="7730" max="7730" width="8.875" style="30" customWidth="1"/>
    <col min="7731" max="7731" width="13.125" style="30" customWidth="1"/>
    <col min="7732" max="7732" width="9.625" style="30" customWidth="1"/>
    <col min="7733" max="7733" width="12.875" style="30" customWidth="1"/>
    <col min="7734" max="7734" width="11.5" style="30" customWidth="1"/>
    <col min="7735" max="7735" width="9.75" style="30" customWidth="1"/>
    <col min="7736" max="7736" width="13.375" style="30" customWidth="1"/>
    <col min="7737" max="7737" width="12.125" style="30" customWidth="1"/>
    <col min="7738" max="7738" width="10.25" style="30" customWidth="1"/>
    <col min="7739" max="7739" width="11.625" style="30" bestFit="1" customWidth="1"/>
    <col min="7740" max="7740" width="9.875" style="30" customWidth="1"/>
    <col min="7741" max="7741" width="13.375" style="30" customWidth="1"/>
    <col min="7742" max="7742" width="11.5" style="30" customWidth="1"/>
    <col min="7743" max="7743" width="12" style="30" customWidth="1"/>
    <col min="7744" max="7744" width="9.125" style="30" customWidth="1"/>
    <col min="7745" max="7745" width="9" style="30" customWidth="1"/>
    <col min="7746" max="7746" width="12.875" style="30" bestFit="1" customWidth="1"/>
    <col min="7747" max="7748" width="12" style="30" customWidth="1"/>
    <col min="7749" max="7749" width="11.875" style="30" customWidth="1"/>
    <col min="7750" max="7750" width="11" style="30" customWidth="1"/>
    <col min="7751" max="7751" width="11.625" style="30" customWidth="1"/>
    <col min="7752" max="7752" width="8.875" style="30" customWidth="1"/>
    <col min="7753" max="7753" width="11.625" style="30" bestFit="1" customWidth="1"/>
    <col min="7754" max="7754" width="9.625" style="30" customWidth="1"/>
    <col min="7755" max="7755" width="12.125" style="30" customWidth="1"/>
    <col min="7756" max="7756" width="11.875" style="30" customWidth="1"/>
    <col min="7757" max="7757" width="13.375" style="30" customWidth="1"/>
    <col min="7758" max="7758" width="11.5" style="30" customWidth="1"/>
    <col min="7759" max="7759" width="9.25" style="30" customWidth="1"/>
    <col min="7760" max="7760" width="11.625" style="30" bestFit="1" customWidth="1"/>
    <col min="7761" max="7761" width="10.625" style="30" customWidth="1"/>
    <col min="7762" max="7762" width="12" style="30" customWidth="1"/>
    <col min="7763" max="7763" width="11.625" style="30" customWidth="1"/>
    <col min="7764" max="7764" width="14" style="30" customWidth="1"/>
    <col min="7765" max="7765" width="11.125" style="30" customWidth="1"/>
    <col min="7766" max="7766" width="9.75" style="30" customWidth="1"/>
    <col min="7767" max="7767" width="11.625" style="30" bestFit="1" customWidth="1"/>
    <col min="7768" max="7768" width="10.125" style="30" customWidth="1"/>
    <col min="7769" max="7769" width="11.625" style="30" customWidth="1"/>
    <col min="7770" max="7770" width="11.375" style="30" customWidth="1"/>
    <col min="7771" max="7771" width="12.375" style="30" customWidth="1"/>
    <col min="7772" max="7773" width="10.875" style="30" customWidth="1"/>
    <col min="7774" max="7774" width="10.5" style="30" bestFit="1" customWidth="1"/>
    <col min="7775" max="7775" width="9.625" style="30" customWidth="1"/>
    <col min="7776" max="7776" width="11.875" style="30" customWidth="1"/>
    <col min="7777" max="7777" width="11.75" style="30" customWidth="1"/>
    <col min="7778" max="7778" width="14.125" style="30" customWidth="1"/>
    <col min="7779" max="7779" width="13.125" style="30" customWidth="1"/>
    <col min="7780" max="7780" width="8.75" style="30" customWidth="1"/>
    <col min="7781" max="7781" width="11.5" style="30" bestFit="1" customWidth="1"/>
    <col min="7782" max="7782" width="9.625" style="30" customWidth="1"/>
    <col min="7783" max="7783" width="13.625" style="30" customWidth="1"/>
    <col min="7784" max="7784" width="11.5" style="30" customWidth="1"/>
    <col min="7785" max="7785" width="11.75" style="30" customWidth="1"/>
    <col min="7786" max="7786" width="9.875" style="30" customWidth="1"/>
    <col min="7787" max="7787" width="9" style="30" customWidth="1"/>
    <col min="7788" max="7788" width="9.625" style="30" bestFit="1" customWidth="1"/>
    <col min="7789" max="7789" width="12.625" style="30" customWidth="1"/>
    <col min="7790" max="7790" width="12.375" style="30" customWidth="1"/>
    <col min="7791" max="7791" width="11.625" style="30" customWidth="1"/>
    <col min="7792" max="7793" width="14.125" style="30" customWidth="1"/>
    <col min="7794" max="7794" width="9.125" style="30" customWidth="1"/>
    <col min="7795" max="7795" width="10.5" style="30" bestFit="1" customWidth="1"/>
    <col min="7796" max="7796" width="9.625" style="30" customWidth="1"/>
    <col min="7797" max="7797" width="14.25" style="30" customWidth="1"/>
    <col min="7798" max="7798" width="11.875" style="30" customWidth="1"/>
    <col min="7799" max="7799" width="11" style="30" customWidth="1"/>
    <col min="7800" max="7800" width="11.75" style="30" customWidth="1"/>
    <col min="7801" max="7801" width="11.25" style="30" customWidth="1"/>
    <col min="7802" max="7802" width="9.625" style="30" bestFit="1" customWidth="1"/>
    <col min="7803" max="7803" width="9.625" style="30" customWidth="1"/>
    <col min="7804" max="7804" width="14.125" style="30" customWidth="1"/>
    <col min="7805" max="7805" width="11.125" style="30" customWidth="1"/>
    <col min="7806" max="7806" width="11.25" style="30" customWidth="1"/>
    <col min="7807" max="7807" width="12" style="30" customWidth="1"/>
    <col min="7808" max="7808" width="8.75" style="30" customWidth="1"/>
    <col min="7809" max="7809" width="9.625" style="30" bestFit="1" customWidth="1"/>
    <col min="7810" max="7810" width="9.625" style="30" customWidth="1"/>
    <col min="7811" max="7812" width="11.25" style="30" customWidth="1"/>
    <col min="7813" max="7813" width="12" style="30" customWidth="1"/>
    <col min="7814" max="7815" width="10.625" style="30" customWidth="1"/>
    <col min="7816" max="7816" width="11" style="30" customWidth="1"/>
    <col min="7817" max="7817" width="10.625" style="30" customWidth="1"/>
    <col min="7818" max="7818" width="12.375" style="30" customWidth="1"/>
    <col min="7819" max="7819" width="12" style="30" customWidth="1"/>
    <col min="7820" max="7820" width="11.625" style="30" customWidth="1"/>
    <col min="7821" max="7821" width="10.5" style="30" customWidth="1"/>
    <col min="7822" max="7822" width="8.625" style="30" customWidth="1"/>
    <col min="7823" max="7823" width="11.25" style="30" customWidth="1"/>
    <col min="7824" max="7824" width="9.875" style="30" customWidth="1"/>
    <col min="7825" max="7825" width="11.125" style="30" customWidth="1"/>
    <col min="7826" max="7826" width="11.625" style="30" customWidth="1"/>
    <col min="7827" max="7827" width="12.625" style="30" customWidth="1"/>
    <col min="7828" max="7828" width="11.5" style="30" customWidth="1"/>
    <col min="7829" max="7829" width="9.375" style="30"/>
    <col min="7830" max="7830" width="13.125" style="30" customWidth="1"/>
    <col min="7831" max="7831" width="9.5" style="30" customWidth="1"/>
    <col min="7832" max="7832" width="11.625" style="30" customWidth="1"/>
    <col min="7833" max="7833" width="11.5" style="30" customWidth="1"/>
    <col min="7834" max="7834" width="9.625" style="30" customWidth="1"/>
    <col min="7835" max="7835" width="9.25" style="30" customWidth="1"/>
    <col min="7836" max="7836" width="8.75" style="30" customWidth="1"/>
    <col min="7837" max="7837" width="9" style="30" customWidth="1"/>
    <col min="7838" max="7838" width="8.625" style="30" customWidth="1"/>
    <col min="7839" max="7839" width="11.125" style="30" customWidth="1"/>
    <col min="7840" max="7840" width="11.25" style="30" customWidth="1"/>
    <col min="7841" max="7841" width="11.5" style="30" customWidth="1"/>
    <col min="7842" max="7843" width="9" style="30" customWidth="1"/>
    <col min="7844" max="7844" width="9.875" style="30" customWidth="1"/>
    <col min="7845" max="7845" width="9.25" style="30" customWidth="1"/>
    <col min="7846" max="7846" width="11.125" style="30" customWidth="1"/>
    <col min="7847" max="7847" width="11.375" style="30" customWidth="1"/>
    <col min="7848" max="7848" width="10.875" style="30" customWidth="1"/>
    <col min="7849" max="7849" width="8.375" style="30" customWidth="1"/>
    <col min="7850" max="7850" width="9.125" style="30" customWidth="1"/>
    <col min="7851" max="7852" width="9" style="30" customWidth="1"/>
    <col min="7853" max="7853" width="10.75" style="30" customWidth="1"/>
    <col min="7854" max="7854" width="10.625" style="30" customWidth="1"/>
    <col min="7855" max="7855" width="10.25" style="30" customWidth="1"/>
    <col min="7856" max="7856" width="8.125" style="30" customWidth="1"/>
    <col min="7857" max="7859" width="9" style="30" customWidth="1"/>
    <col min="7860" max="7860" width="11.375" style="30" customWidth="1"/>
    <col min="7861" max="7861" width="11.125" style="30" customWidth="1"/>
    <col min="7862" max="7862" width="14.5" style="30" customWidth="1"/>
    <col min="7863" max="7863" width="10.875" style="30" customWidth="1"/>
    <col min="7864" max="7864" width="8.5" style="30" customWidth="1"/>
    <col min="7865" max="7865" width="10.375" style="30" customWidth="1"/>
    <col min="7866" max="7866" width="9" style="30" customWidth="1"/>
    <col min="7867" max="7867" width="12" style="30" customWidth="1"/>
    <col min="7868" max="7875" width="10.875" style="30" customWidth="1"/>
    <col min="7876" max="7876" width="10.5" style="30" customWidth="1"/>
    <col min="7877" max="7877" width="11.875" style="30" customWidth="1"/>
    <col min="7878" max="7878" width="10.875" style="30" customWidth="1"/>
    <col min="7879" max="7880" width="9" style="30" customWidth="1"/>
    <col min="7881" max="7881" width="12.125" style="30" customWidth="1"/>
    <col min="7882" max="7882" width="9.625" style="30" customWidth="1"/>
    <col min="7883" max="7884" width="9" style="30" customWidth="1"/>
    <col min="7885" max="7885" width="12.625" style="30" customWidth="1"/>
    <col min="7886" max="7886" width="11" style="30" customWidth="1"/>
    <col min="7887" max="7887" width="11.75" style="30" bestFit="1" customWidth="1"/>
    <col min="7888" max="7888" width="11.875" style="30" customWidth="1"/>
    <col min="7889" max="7890" width="9" style="30" customWidth="1"/>
    <col min="7891" max="7891" width="12.25" style="30" customWidth="1"/>
    <col min="7892" max="7892" width="10.875" style="30" customWidth="1"/>
    <col min="7893" max="7893" width="9" style="30" customWidth="1"/>
    <col min="7894" max="7894" width="10.875" style="30" customWidth="1"/>
    <col min="7895" max="7895" width="10.5" style="30" customWidth="1"/>
    <col min="7896" max="7897" width="9" style="30" customWidth="1"/>
    <col min="7898" max="7898" width="12.625" style="30" customWidth="1"/>
    <col min="7899" max="7900" width="9" style="30" customWidth="1"/>
    <col min="7901" max="7901" width="12" style="30" customWidth="1"/>
    <col min="7902" max="7918" width="9" style="30" customWidth="1"/>
    <col min="7919" max="7919" width="12.375" style="30" customWidth="1"/>
    <col min="7920" max="7920" width="12.5" style="30" customWidth="1"/>
    <col min="7921" max="7921" width="11.875" style="30" customWidth="1"/>
    <col min="7922" max="7922" width="11.625" style="30" customWidth="1"/>
    <col min="7923" max="7923" width="12.125" style="30" customWidth="1"/>
    <col min="7924" max="7925" width="10.5" style="30" bestFit="1" customWidth="1"/>
    <col min="7926" max="7926" width="10.625" style="30" bestFit="1" customWidth="1"/>
    <col min="7927" max="7934" width="10.5" style="30" bestFit="1" customWidth="1"/>
    <col min="7935" max="7935" width="10.5" style="30" customWidth="1"/>
    <col min="7936" max="7936" width="10.5" style="30" bestFit="1" customWidth="1"/>
    <col min="7937" max="7937" width="11.5" style="30" customWidth="1"/>
    <col min="7938" max="7938" width="9.5" style="30" bestFit="1" customWidth="1"/>
    <col min="7939" max="7949" width="10.5" style="30" bestFit="1" customWidth="1"/>
    <col min="7950" max="7950" width="12.75" style="30" bestFit="1" customWidth="1"/>
    <col min="7951" max="7955" width="10.5" style="30" bestFit="1" customWidth="1"/>
    <col min="7956" max="7957" width="9.375" style="30"/>
    <col min="7958" max="7958" width="8.5" style="30" customWidth="1"/>
    <col min="7959" max="7959" width="8" style="30" customWidth="1"/>
    <col min="7960" max="7960" width="21.25" style="30" customWidth="1"/>
    <col min="7961" max="7961" width="16.25" style="30" customWidth="1"/>
    <col min="7962" max="7962" width="11.625" style="30" customWidth="1"/>
    <col min="7963" max="7963" width="13.625" style="30" customWidth="1"/>
    <col min="7964" max="7964" width="12.875" style="30" customWidth="1"/>
    <col min="7965" max="7965" width="15.5" style="30" customWidth="1"/>
    <col min="7966" max="7967" width="13.375" style="30" customWidth="1"/>
    <col min="7968" max="7968" width="14.375" style="30" customWidth="1"/>
    <col min="7969" max="7969" width="11.875" style="30" customWidth="1"/>
    <col min="7970" max="7971" width="14.25" style="30" customWidth="1"/>
    <col min="7972" max="7972" width="8.625" style="30" customWidth="1"/>
    <col min="7973" max="7973" width="10.625" style="30" customWidth="1"/>
    <col min="7974" max="7974" width="9.875" style="30" customWidth="1"/>
    <col min="7975" max="7975" width="14" style="30" customWidth="1"/>
    <col min="7976" max="7976" width="10.875" style="30" customWidth="1"/>
    <col min="7977" max="7977" width="12.375" style="30" customWidth="1"/>
    <col min="7978" max="7978" width="12" style="30" customWidth="1"/>
    <col min="7979" max="7979" width="13.625" style="30" customWidth="1"/>
    <col min="7980" max="7980" width="10" style="30" customWidth="1"/>
    <col min="7981" max="7981" width="9.625" style="30" customWidth="1"/>
    <col min="7982" max="7982" width="11.75" style="30" customWidth="1"/>
    <col min="7983" max="7983" width="11.375" style="30" customWidth="1"/>
    <col min="7984" max="7984" width="12.875" style="30" customWidth="1"/>
    <col min="7985" max="7985" width="13" style="30" customWidth="1"/>
    <col min="7986" max="7986" width="8.875" style="30" customWidth="1"/>
    <col min="7987" max="7987" width="13.125" style="30" customWidth="1"/>
    <col min="7988" max="7988" width="9.625" style="30" customWidth="1"/>
    <col min="7989" max="7989" width="12.875" style="30" customWidth="1"/>
    <col min="7990" max="7990" width="11.5" style="30" customWidth="1"/>
    <col min="7991" max="7991" width="9.75" style="30" customWidth="1"/>
    <col min="7992" max="7992" width="13.375" style="30" customWidth="1"/>
    <col min="7993" max="7993" width="12.125" style="30" customWidth="1"/>
    <col min="7994" max="7994" width="10.25" style="30" customWidth="1"/>
    <col min="7995" max="7995" width="11.625" style="30" bestFit="1" customWidth="1"/>
    <col min="7996" max="7996" width="9.875" style="30" customWidth="1"/>
    <col min="7997" max="7997" width="13.375" style="30" customWidth="1"/>
    <col min="7998" max="7998" width="11.5" style="30" customWidth="1"/>
    <col min="7999" max="7999" width="12" style="30" customWidth="1"/>
    <col min="8000" max="8000" width="9.125" style="30" customWidth="1"/>
    <col min="8001" max="8001" width="9" style="30" customWidth="1"/>
    <col min="8002" max="8002" width="12.875" style="30" bestFit="1" customWidth="1"/>
    <col min="8003" max="8004" width="12" style="30" customWidth="1"/>
    <col min="8005" max="8005" width="11.875" style="30" customWidth="1"/>
    <col min="8006" max="8006" width="11" style="30" customWidth="1"/>
    <col min="8007" max="8007" width="11.625" style="30" customWidth="1"/>
    <col min="8008" max="8008" width="8.875" style="30" customWidth="1"/>
    <col min="8009" max="8009" width="11.625" style="30" bestFit="1" customWidth="1"/>
    <col min="8010" max="8010" width="9.625" style="30" customWidth="1"/>
    <col min="8011" max="8011" width="12.125" style="30" customWidth="1"/>
    <col min="8012" max="8012" width="11.875" style="30" customWidth="1"/>
    <col min="8013" max="8013" width="13.375" style="30" customWidth="1"/>
    <col min="8014" max="8014" width="11.5" style="30" customWidth="1"/>
    <col min="8015" max="8015" width="9.25" style="30" customWidth="1"/>
    <col min="8016" max="8016" width="11.625" style="30" bestFit="1" customWidth="1"/>
    <col min="8017" max="8017" width="10.625" style="30" customWidth="1"/>
    <col min="8018" max="8018" width="12" style="30" customWidth="1"/>
    <col min="8019" max="8019" width="11.625" style="30" customWidth="1"/>
    <col min="8020" max="8020" width="14" style="30" customWidth="1"/>
    <col min="8021" max="8021" width="11.125" style="30" customWidth="1"/>
    <col min="8022" max="8022" width="9.75" style="30" customWidth="1"/>
    <col min="8023" max="8023" width="11.625" style="30" bestFit="1" customWidth="1"/>
    <col min="8024" max="8024" width="10.125" style="30" customWidth="1"/>
    <col min="8025" max="8025" width="11.625" style="30" customWidth="1"/>
    <col min="8026" max="8026" width="11.375" style="30" customWidth="1"/>
    <col min="8027" max="8027" width="12.375" style="30" customWidth="1"/>
    <col min="8028" max="8029" width="10.875" style="30" customWidth="1"/>
    <col min="8030" max="8030" width="10.5" style="30" bestFit="1" customWidth="1"/>
    <col min="8031" max="8031" width="9.625" style="30" customWidth="1"/>
    <col min="8032" max="8032" width="11.875" style="30" customWidth="1"/>
    <col min="8033" max="8033" width="11.75" style="30" customWidth="1"/>
    <col min="8034" max="8034" width="14.125" style="30" customWidth="1"/>
    <col min="8035" max="8035" width="13.125" style="30" customWidth="1"/>
    <col min="8036" max="8036" width="8.75" style="30" customWidth="1"/>
    <col min="8037" max="8037" width="11.5" style="30" bestFit="1" customWidth="1"/>
    <col min="8038" max="8038" width="9.625" style="30" customWidth="1"/>
    <col min="8039" max="8039" width="13.625" style="30" customWidth="1"/>
    <col min="8040" max="8040" width="11.5" style="30" customWidth="1"/>
    <col min="8041" max="8041" width="11.75" style="30" customWidth="1"/>
    <col min="8042" max="8042" width="9.875" style="30" customWidth="1"/>
    <col min="8043" max="8043" width="9" style="30" customWidth="1"/>
    <col min="8044" max="8044" width="9.625" style="30" bestFit="1" customWidth="1"/>
    <col min="8045" max="8045" width="12.625" style="30" customWidth="1"/>
    <col min="8046" max="8046" width="12.375" style="30" customWidth="1"/>
    <col min="8047" max="8047" width="11.625" style="30" customWidth="1"/>
    <col min="8048" max="8049" width="14.125" style="30" customWidth="1"/>
    <col min="8050" max="8050" width="9.125" style="30" customWidth="1"/>
    <col min="8051" max="8051" width="10.5" style="30" bestFit="1" customWidth="1"/>
    <col min="8052" max="8052" width="9.625" style="30" customWidth="1"/>
    <col min="8053" max="8053" width="14.25" style="30" customWidth="1"/>
    <col min="8054" max="8054" width="11.875" style="30" customWidth="1"/>
    <col min="8055" max="8055" width="11" style="30" customWidth="1"/>
    <col min="8056" max="8056" width="11.75" style="30" customWidth="1"/>
    <col min="8057" max="8057" width="11.25" style="30" customWidth="1"/>
    <col min="8058" max="8058" width="9.625" style="30" bestFit="1" customWidth="1"/>
    <col min="8059" max="8059" width="9.625" style="30" customWidth="1"/>
    <col min="8060" max="8060" width="14.125" style="30" customWidth="1"/>
    <col min="8061" max="8061" width="11.125" style="30" customWidth="1"/>
    <col min="8062" max="8062" width="11.25" style="30" customWidth="1"/>
    <col min="8063" max="8063" width="12" style="30" customWidth="1"/>
    <col min="8064" max="8064" width="8.75" style="30" customWidth="1"/>
    <col min="8065" max="8065" width="9.625" style="30" bestFit="1" customWidth="1"/>
    <col min="8066" max="8066" width="9.625" style="30" customWidth="1"/>
    <col min="8067" max="8068" width="11.25" style="30" customWidth="1"/>
    <col min="8069" max="8069" width="12" style="30" customWidth="1"/>
    <col min="8070" max="8071" width="10.625" style="30" customWidth="1"/>
    <col min="8072" max="8072" width="11" style="30" customWidth="1"/>
    <col min="8073" max="8073" width="10.625" style="30" customWidth="1"/>
    <col min="8074" max="8074" width="12.375" style="30" customWidth="1"/>
    <col min="8075" max="8075" width="12" style="30" customWidth="1"/>
    <col min="8076" max="8076" width="11.625" style="30" customWidth="1"/>
    <col min="8077" max="8077" width="10.5" style="30" customWidth="1"/>
    <col min="8078" max="8078" width="8.625" style="30" customWidth="1"/>
    <col min="8079" max="8079" width="11.25" style="30" customWidth="1"/>
    <col min="8080" max="8080" width="9.875" style="30" customWidth="1"/>
    <col min="8081" max="8081" width="11.125" style="30" customWidth="1"/>
    <col min="8082" max="8082" width="11.625" style="30" customWidth="1"/>
    <col min="8083" max="8083" width="12.625" style="30" customWidth="1"/>
    <col min="8084" max="8084" width="11.5" style="30" customWidth="1"/>
    <col min="8085" max="8085" width="9.375" style="30"/>
    <col min="8086" max="8086" width="13.125" style="30" customWidth="1"/>
    <col min="8087" max="8087" width="9.5" style="30" customWidth="1"/>
    <col min="8088" max="8088" width="11.625" style="30" customWidth="1"/>
    <col min="8089" max="8089" width="11.5" style="30" customWidth="1"/>
    <col min="8090" max="8090" width="9.625" style="30" customWidth="1"/>
    <col min="8091" max="8091" width="9.25" style="30" customWidth="1"/>
    <col min="8092" max="8092" width="8.75" style="30" customWidth="1"/>
    <col min="8093" max="8093" width="9" style="30" customWidth="1"/>
    <col min="8094" max="8094" width="8.625" style="30" customWidth="1"/>
    <col min="8095" max="8095" width="11.125" style="30" customWidth="1"/>
    <col min="8096" max="8096" width="11.25" style="30" customWidth="1"/>
    <col min="8097" max="8097" width="11.5" style="30" customWidth="1"/>
    <col min="8098" max="8099" width="9" style="30" customWidth="1"/>
    <col min="8100" max="8100" width="9.875" style="30" customWidth="1"/>
    <col min="8101" max="8101" width="9.25" style="30" customWidth="1"/>
    <col min="8102" max="8102" width="11.125" style="30" customWidth="1"/>
    <col min="8103" max="8103" width="11.375" style="30" customWidth="1"/>
    <col min="8104" max="8104" width="10.875" style="30" customWidth="1"/>
    <col min="8105" max="8105" width="8.375" style="30" customWidth="1"/>
    <col min="8106" max="8106" width="9.125" style="30" customWidth="1"/>
    <col min="8107" max="8108" width="9" style="30" customWidth="1"/>
    <col min="8109" max="8109" width="10.75" style="30" customWidth="1"/>
    <col min="8110" max="8110" width="10.625" style="30" customWidth="1"/>
    <col min="8111" max="8111" width="10.25" style="30" customWidth="1"/>
    <col min="8112" max="8112" width="8.125" style="30" customWidth="1"/>
    <col min="8113" max="8115" width="9" style="30" customWidth="1"/>
    <col min="8116" max="8116" width="11.375" style="30" customWidth="1"/>
    <col min="8117" max="8117" width="11.125" style="30" customWidth="1"/>
    <col min="8118" max="8118" width="14.5" style="30" customWidth="1"/>
    <col min="8119" max="8119" width="10.875" style="30" customWidth="1"/>
    <col min="8120" max="8120" width="8.5" style="30" customWidth="1"/>
    <col min="8121" max="8121" width="10.375" style="30" customWidth="1"/>
    <col min="8122" max="8122" width="9" style="30" customWidth="1"/>
    <col min="8123" max="8123" width="12" style="30" customWidth="1"/>
    <col min="8124" max="8131" width="10.875" style="30" customWidth="1"/>
    <col min="8132" max="8132" width="10.5" style="30" customWidth="1"/>
    <col min="8133" max="8133" width="11.875" style="30" customWidth="1"/>
    <col min="8134" max="8134" width="10.875" style="30" customWidth="1"/>
    <col min="8135" max="8136" width="9" style="30" customWidth="1"/>
    <col min="8137" max="8137" width="12.125" style="30" customWidth="1"/>
    <col min="8138" max="8138" width="9.625" style="30" customWidth="1"/>
    <col min="8139" max="8140" width="9" style="30" customWidth="1"/>
    <col min="8141" max="8141" width="12.625" style="30" customWidth="1"/>
    <col min="8142" max="8142" width="11" style="30" customWidth="1"/>
    <col min="8143" max="8143" width="11.75" style="30" bestFit="1" customWidth="1"/>
    <col min="8144" max="8144" width="11.875" style="30" customWidth="1"/>
    <col min="8145" max="8146" width="9" style="30" customWidth="1"/>
    <col min="8147" max="8147" width="12.25" style="30" customWidth="1"/>
    <col min="8148" max="8148" width="10.875" style="30" customWidth="1"/>
    <col min="8149" max="8149" width="9" style="30" customWidth="1"/>
    <col min="8150" max="8150" width="10.875" style="30" customWidth="1"/>
    <col min="8151" max="8151" width="10.5" style="30" customWidth="1"/>
    <col min="8152" max="8153" width="9" style="30" customWidth="1"/>
    <col min="8154" max="8154" width="12.625" style="30" customWidth="1"/>
    <col min="8155" max="8156" width="9" style="30" customWidth="1"/>
    <col min="8157" max="8157" width="12" style="30" customWidth="1"/>
    <col min="8158" max="8174" width="9" style="30" customWidth="1"/>
    <col min="8175" max="8175" width="12.375" style="30" customWidth="1"/>
    <col min="8176" max="8176" width="12.5" style="30" customWidth="1"/>
    <col min="8177" max="8177" width="11.875" style="30" customWidth="1"/>
    <col min="8178" max="8178" width="11.625" style="30" customWidth="1"/>
    <col min="8179" max="8179" width="12.125" style="30" customWidth="1"/>
    <col min="8180" max="8181" width="10.5" style="30" bestFit="1" customWidth="1"/>
    <col min="8182" max="8182" width="10.625" style="30" bestFit="1" customWidth="1"/>
    <col min="8183" max="8190" width="10.5" style="30" bestFit="1" customWidth="1"/>
    <col min="8191" max="8191" width="10.5" style="30" customWidth="1"/>
    <col min="8192" max="8192" width="10.5" style="30" bestFit="1" customWidth="1"/>
    <col min="8193" max="8193" width="11.5" style="30" customWidth="1"/>
    <col min="8194" max="8194" width="9.5" style="30" bestFit="1" customWidth="1"/>
    <col min="8195" max="8205" width="10.5" style="30" bestFit="1" customWidth="1"/>
    <col min="8206" max="8206" width="12.75" style="30" bestFit="1" customWidth="1"/>
    <col min="8207" max="8211" width="10.5" style="30" bestFit="1" customWidth="1"/>
    <col min="8212" max="8213" width="9.375" style="30"/>
    <col min="8214" max="8214" width="8.5" style="30" customWidth="1"/>
    <col min="8215" max="8215" width="8" style="30" customWidth="1"/>
    <col min="8216" max="8216" width="21.25" style="30" customWidth="1"/>
    <col min="8217" max="8217" width="16.25" style="30" customWidth="1"/>
    <col min="8218" max="8218" width="11.625" style="30" customWidth="1"/>
    <col min="8219" max="8219" width="13.625" style="30" customWidth="1"/>
    <col min="8220" max="8220" width="12.875" style="30" customWidth="1"/>
    <col min="8221" max="8221" width="15.5" style="30" customWidth="1"/>
    <col min="8222" max="8223" width="13.375" style="30" customWidth="1"/>
    <col min="8224" max="8224" width="14.375" style="30" customWidth="1"/>
    <col min="8225" max="8225" width="11.875" style="30" customWidth="1"/>
    <col min="8226" max="8227" width="14.25" style="30" customWidth="1"/>
    <col min="8228" max="8228" width="8.625" style="30" customWidth="1"/>
    <col min="8229" max="8229" width="10.625" style="30" customWidth="1"/>
    <col min="8230" max="8230" width="9.875" style="30" customWidth="1"/>
    <col min="8231" max="8231" width="14" style="30" customWidth="1"/>
    <col min="8232" max="8232" width="10.875" style="30" customWidth="1"/>
    <col min="8233" max="8233" width="12.375" style="30" customWidth="1"/>
    <col min="8234" max="8234" width="12" style="30" customWidth="1"/>
    <col min="8235" max="8235" width="13.625" style="30" customWidth="1"/>
    <col min="8236" max="8236" width="10" style="30" customWidth="1"/>
    <col min="8237" max="8237" width="9.625" style="30" customWidth="1"/>
    <col min="8238" max="8238" width="11.75" style="30" customWidth="1"/>
    <col min="8239" max="8239" width="11.375" style="30" customWidth="1"/>
    <col min="8240" max="8240" width="12.875" style="30" customWidth="1"/>
    <col min="8241" max="8241" width="13" style="30" customWidth="1"/>
    <col min="8242" max="8242" width="8.875" style="30" customWidth="1"/>
    <col min="8243" max="8243" width="13.125" style="30" customWidth="1"/>
    <col min="8244" max="8244" width="9.625" style="30" customWidth="1"/>
    <col min="8245" max="8245" width="12.875" style="30" customWidth="1"/>
    <col min="8246" max="8246" width="11.5" style="30" customWidth="1"/>
    <col min="8247" max="8247" width="9.75" style="30" customWidth="1"/>
    <col min="8248" max="8248" width="13.375" style="30" customWidth="1"/>
    <col min="8249" max="8249" width="12.125" style="30" customWidth="1"/>
    <col min="8250" max="8250" width="10.25" style="30" customWidth="1"/>
    <col min="8251" max="8251" width="11.625" style="30" bestFit="1" customWidth="1"/>
    <col min="8252" max="8252" width="9.875" style="30" customWidth="1"/>
    <col min="8253" max="8253" width="13.375" style="30" customWidth="1"/>
    <col min="8254" max="8254" width="11.5" style="30" customWidth="1"/>
    <col min="8255" max="8255" width="12" style="30" customWidth="1"/>
    <col min="8256" max="8256" width="9.125" style="30" customWidth="1"/>
    <col min="8257" max="8257" width="9" style="30" customWidth="1"/>
    <col min="8258" max="8258" width="12.875" style="30" bestFit="1" customWidth="1"/>
    <col min="8259" max="8260" width="12" style="30" customWidth="1"/>
    <col min="8261" max="8261" width="11.875" style="30" customWidth="1"/>
    <col min="8262" max="8262" width="11" style="30" customWidth="1"/>
    <col min="8263" max="8263" width="11.625" style="30" customWidth="1"/>
    <col min="8264" max="8264" width="8.875" style="30" customWidth="1"/>
    <col min="8265" max="8265" width="11.625" style="30" bestFit="1" customWidth="1"/>
    <col min="8266" max="8266" width="9.625" style="30" customWidth="1"/>
    <col min="8267" max="8267" width="12.125" style="30" customWidth="1"/>
    <col min="8268" max="8268" width="11.875" style="30" customWidth="1"/>
    <col min="8269" max="8269" width="13.375" style="30" customWidth="1"/>
    <col min="8270" max="8270" width="11.5" style="30" customWidth="1"/>
    <col min="8271" max="8271" width="9.25" style="30" customWidth="1"/>
    <col min="8272" max="8272" width="11.625" style="30" bestFit="1" customWidth="1"/>
    <col min="8273" max="8273" width="10.625" style="30" customWidth="1"/>
    <col min="8274" max="8274" width="12" style="30" customWidth="1"/>
    <col min="8275" max="8275" width="11.625" style="30" customWidth="1"/>
    <col min="8276" max="8276" width="14" style="30" customWidth="1"/>
    <col min="8277" max="8277" width="11.125" style="30" customWidth="1"/>
    <col min="8278" max="8278" width="9.75" style="30" customWidth="1"/>
    <col min="8279" max="8279" width="11.625" style="30" bestFit="1" customWidth="1"/>
    <col min="8280" max="8280" width="10.125" style="30" customWidth="1"/>
    <col min="8281" max="8281" width="11.625" style="30" customWidth="1"/>
    <col min="8282" max="8282" width="11.375" style="30" customWidth="1"/>
    <col min="8283" max="8283" width="12.375" style="30" customWidth="1"/>
    <col min="8284" max="8285" width="10.875" style="30" customWidth="1"/>
    <col min="8286" max="8286" width="10.5" style="30" bestFit="1" customWidth="1"/>
    <col min="8287" max="8287" width="9.625" style="30" customWidth="1"/>
    <col min="8288" max="8288" width="11.875" style="30" customWidth="1"/>
    <col min="8289" max="8289" width="11.75" style="30" customWidth="1"/>
    <col min="8290" max="8290" width="14.125" style="30" customWidth="1"/>
    <col min="8291" max="8291" width="13.125" style="30" customWidth="1"/>
    <col min="8292" max="8292" width="8.75" style="30" customWidth="1"/>
    <col min="8293" max="8293" width="11.5" style="30" bestFit="1" customWidth="1"/>
    <col min="8294" max="8294" width="9.625" style="30" customWidth="1"/>
    <col min="8295" max="8295" width="13.625" style="30" customWidth="1"/>
    <col min="8296" max="8296" width="11.5" style="30" customWidth="1"/>
    <col min="8297" max="8297" width="11.75" style="30" customWidth="1"/>
    <col min="8298" max="8298" width="9.875" style="30" customWidth="1"/>
    <col min="8299" max="8299" width="9" style="30" customWidth="1"/>
    <col min="8300" max="8300" width="9.625" style="30" bestFit="1" customWidth="1"/>
    <col min="8301" max="8301" width="12.625" style="30" customWidth="1"/>
    <col min="8302" max="8302" width="12.375" style="30" customWidth="1"/>
    <col min="8303" max="8303" width="11.625" style="30" customWidth="1"/>
    <col min="8304" max="8305" width="14.125" style="30" customWidth="1"/>
    <col min="8306" max="8306" width="9.125" style="30" customWidth="1"/>
    <col min="8307" max="8307" width="10.5" style="30" bestFit="1" customWidth="1"/>
    <col min="8308" max="8308" width="9.625" style="30" customWidth="1"/>
    <col min="8309" max="8309" width="14.25" style="30" customWidth="1"/>
    <col min="8310" max="8310" width="11.875" style="30" customWidth="1"/>
    <col min="8311" max="8311" width="11" style="30" customWidth="1"/>
    <col min="8312" max="8312" width="11.75" style="30" customWidth="1"/>
    <col min="8313" max="8313" width="11.25" style="30" customWidth="1"/>
    <col min="8314" max="8314" width="9.625" style="30" bestFit="1" customWidth="1"/>
    <col min="8315" max="8315" width="9.625" style="30" customWidth="1"/>
    <col min="8316" max="8316" width="14.125" style="30" customWidth="1"/>
    <col min="8317" max="8317" width="11.125" style="30" customWidth="1"/>
    <col min="8318" max="8318" width="11.25" style="30" customWidth="1"/>
    <col min="8319" max="8319" width="12" style="30" customWidth="1"/>
    <col min="8320" max="8320" width="8.75" style="30" customWidth="1"/>
    <col min="8321" max="8321" width="9.625" style="30" bestFit="1" customWidth="1"/>
    <col min="8322" max="8322" width="9.625" style="30" customWidth="1"/>
    <col min="8323" max="8324" width="11.25" style="30" customWidth="1"/>
    <col min="8325" max="8325" width="12" style="30" customWidth="1"/>
    <col min="8326" max="8327" width="10.625" style="30" customWidth="1"/>
    <col min="8328" max="8328" width="11" style="30" customWidth="1"/>
    <col min="8329" max="8329" width="10.625" style="30" customWidth="1"/>
    <col min="8330" max="8330" width="12.375" style="30" customWidth="1"/>
    <col min="8331" max="8331" width="12" style="30" customWidth="1"/>
    <col min="8332" max="8332" width="11.625" style="30" customWidth="1"/>
    <col min="8333" max="8333" width="10.5" style="30" customWidth="1"/>
    <col min="8334" max="8334" width="8.625" style="30" customWidth="1"/>
    <col min="8335" max="8335" width="11.25" style="30" customWidth="1"/>
    <col min="8336" max="8336" width="9.875" style="30" customWidth="1"/>
    <col min="8337" max="8337" width="11.125" style="30" customWidth="1"/>
    <col min="8338" max="8338" width="11.625" style="30" customWidth="1"/>
    <col min="8339" max="8339" width="12.625" style="30" customWidth="1"/>
    <col min="8340" max="8340" width="11.5" style="30" customWidth="1"/>
    <col min="8341" max="8341" width="9.375" style="30"/>
    <col min="8342" max="8342" width="13.125" style="30" customWidth="1"/>
    <col min="8343" max="8343" width="9.5" style="30" customWidth="1"/>
    <col min="8344" max="8344" width="11.625" style="30" customWidth="1"/>
    <col min="8345" max="8345" width="11.5" style="30" customWidth="1"/>
    <col min="8346" max="8346" width="9.625" style="30" customWidth="1"/>
    <col min="8347" max="8347" width="9.25" style="30" customWidth="1"/>
    <col min="8348" max="8348" width="8.75" style="30" customWidth="1"/>
    <col min="8349" max="8349" width="9" style="30" customWidth="1"/>
    <col min="8350" max="8350" width="8.625" style="30" customWidth="1"/>
    <col min="8351" max="8351" width="11.125" style="30" customWidth="1"/>
    <col min="8352" max="8352" width="11.25" style="30" customWidth="1"/>
    <col min="8353" max="8353" width="11.5" style="30" customWidth="1"/>
    <col min="8354" max="8355" width="9" style="30" customWidth="1"/>
    <col min="8356" max="8356" width="9.875" style="30" customWidth="1"/>
    <col min="8357" max="8357" width="9.25" style="30" customWidth="1"/>
    <col min="8358" max="8358" width="11.125" style="30" customWidth="1"/>
    <col min="8359" max="8359" width="11.375" style="30" customWidth="1"/>
    <col min="8360" max="8360" width="10.875" style="30" customWidth="1"/>
    <col min="8361" max="8361" width="8.375" style="30" customWidth="1"/>
    <col min="8362" max="8362" width="9.125" style="30" customWidth="1"/>
    <col min="8363" max="8364" width="9" style="30" customWidth="1"/>
    <col min="8365" max="8365" width="10.75" style="30" customWidth="1"/>
    <col min="8366" max="8366" width="10.625" style="30" customWidth="1"/>
    <col min="8367" max="8367" width="10.25" style="30" customWidth="1"/>
    <col min="8368" max="8368" width="8.125" style="30" customWidth="1"/>
    <col min="8369" max="8371" width="9" style="30" customWidth="1"/>
    <col min="8372" max="8372" width="11.375" style="30" customWidth="1"/>
    <col min="8373" max="8373" width="11.125" style="30" customWidth="1"/>
    <col min="8374" max="8374" width="14.5" style="30" customWidth="1"/>
    <col min="8375" max="8375" width="10.875" style="30" customWidth="1"/>
    <col min="8376" max="8376" width="8.5" style="30" customWidth="1"/>
    <col min="8377" max="8377" width="10.375" style="30" customWidth="1"/>
    <col min="8378" max="8378" width="9" style="30" customWidth="1"/>
    <col min="8379" max="8379" width="12" style="30" customWidth="1"/>
    <col min="8380" max="8387" width="10.875" style="30" customWidth="1"/>
    <col min="8388" max="8388" width="10.5" style="30" customWidth="1"/>
    <col min="8389" max="8389" width="11.875" style="30" customWidth="1"/>
    <col min="8390" max="8390" width="10.875" style="30" customWidth="1"/>
    <col min="8391" max="8392" width="9" style="30" customWidth="1"/>
    <col min="8393" max="8393" width="12.125" style="30" customWidth="1"/>
    <col min="8394" max="8394" width="9.625" style="30" customWidth="1"/>
    <col min="8395" max="8396" width="9" style="30" customWidth="1"/>
    <col min="8397" max="8397" width="12.625" style="30" customWidth="1"/>
    <col min="8398" max="8398" width="11" style="30" customWidth="1"/>
    <col min="8399" max="8399" width="11.75" style="30" bestFit="1" customWidth="1"/>
    <col min="8400" max="8400" width="11.875" style="30" customWidth="1"/>
    <col min="8401" max="8402" width="9" style="30" customWidth="1"/>
    <col min="8403" max="8403" width="12.25" style="30" customWidth="1"/>
    <col min="8404" max="8404" width="10.875" style="30" customWidth="1"/>
    <col min="8405" max="8405" width="9" style="30" customWidth="1"/>
    <col min="8406" max="8406" width="10.875" style="30" customWidth="1"/>
    <col min="8407" max="8407" width="10.5" style="30" customWidth="1"/>
    <col min="8408" max="8409" width="9" style="30" customWidth="1"/>
    <col min="8410" max="8410" width="12.625" style="30" customWidth="1"/>
    <col min="8411" max="8412" width="9" style="30" customWidth="1"/>
    <col min="8413" max="8413" width="12" style="30" customWidth="1"/>
    <col min="8414" max="8430" width="9" style="30" customWidth="1"/>
    <col min="8431" max="8431" width="12.375" style="30" customWidth="1"/>
    <col min="8432" max="8432" width="12.5" style="30" customWidth="1"/>
    <col min="8433" max="8433" width="11.875" style="30" customWidth="1"/>
    <col min="8434" max="8434" width="11.625" style="30" customWidth="1"/>
    <col min="8435" max="8435" width="12.125" style="30" customWidth="1"/>
    <col min="8436" max="8437" width="10.5" style="30" bestFit="1" customWidth="1"/>
    <col min="8438" max="8438" width="10.625" style="30" bestFit="1" customWidth="1"/>
    <col min="8439" max="8446" width="10.5" style="30" bestFit="1" customWidth="1"/>
    <col min="8447" max="8447" width="10.5" style="30" customWidth="1"/>
    <col min="8448" max="8448" width="10.5" style="30" bestFit="1" customWidth="1"/>
    <col min="8449" max="8449" width="11.5" style="30" customWidth="1"/>
    <col min="8450" max="8450" width="9.5" style="30" bestFit="1" customWidth="1"/>
    <col min="8451" max="8461" width="10.5" style="30" bestFit="1" customWidth="1"/>
    <col min="8462" max="8462" width="12.75" style="30" bestFit="1" customWidth="1"/>
    <col min="8463" max="8467" width="10.5" style="30" bestFit="1" customWidth="1"/>
    <col min="8468" max="8469" width="9.375" style="30"/>
    <col min="8470" max="8470" width="8.5" style="30" customWidth="1"/>
    <col min="8471" max="8471" width="8" style="30" customWidth="1"/>
    <col min="8472" max="8472" width="21.25" style="30" customWidth="1"/>
    <col min="8473" max="8473" width="16.25" style="30" customWidth="1"/>
    <col min="8474" max="8474" width="11.625" style="30" customWidth="1"/>
    <col min="8475" max="8475" width="13.625" style="30" customWidth="1"/>
    <col min="8476" max="8476" width="12.875" style="30" customWidth="1"/>
    <col min="8477" max="8477" width="15.5" style="30" customWidth="1"/>
    <col min="8478" max="8479" width="13.375" style="30" customWidth="1"/>
    <col min="8480" max="8480" width="14.375" style="30" customWidth="1"/>
    <col min="8481" max="8481" width="11.875" style="30" customWidth="1"/>
    <col min="8482" max="8483" width="14.25" style="30" customWidth="1"/>
    <col min="8484" max="8484" width="8.625" style="30" customWidth="1"/>
    <col min="8485" max="8485" width="10.625" style="30" customWidth="1"/>
    <col min="8486" max="8486" width="9.875" style="30" customWidth="1"/>
    <col min="8487" max="8487" width="14" style="30" customWidth="1"/>
    <col min="8488" max="8488" width="10.875" style="30" customWidth="1"/>
    <col min="8489" max="8489" width="12.375" style="30" customWidth="1"/>
    <col min="8490" max="8490" width="12" style="30" customWidth="1"/>
    <col min="8491" max="8491" width="13.625" style="30" customWidth="1"/>
    <col min="8492" max="8492" width="10" style="30" customWidth="1"/>
    <col min="8493" max="8493" width="9.625" style="30" customWidth="1"/>
    <col min="8494" max="8494" width="11.75" style="30" customWidth="1"/>
    <col min="8495" max="8495" width="11.375" style="30" customWidth="1"/>
    <col min="8496" max="8496" width="12.875" style="30" customWidth="1"/>
    <col min="8497" max="8497" width="13" style="30" customWidth="1"/>
    <col min="8498" max="8498" width="8.875" style="30" customWidth="1"/>
    <col min="8499" max="8499" width="13.125" style="30" customWidth="1"/>
    <col min="8500" max="8500" width="9.625" style="30" customWidth="1"/>
    <col min="8501" max="8501" width="12.875" style="30" customWidth="1"/>
    <col min="8502" max="8502" width="11.5" style="30" customWidth="1"/>
    <col min="8503" max="8503" width="9.75" style="30" customWidth="1"/>
    <col min="8504" max="8504" width="13.375" style="30" customWidth="1"/>
    <col min="8505" max="8505" width="12.125" style="30" customWidth="1"/>
    <col min="8506" max="8506" width="10.25" style="30" customWidth="1"/>
    <col min="8507" max="8507" width="11.625" style="30" bestFit="1" customWidth="1"/>
    <col min="8508" max="8508" width="9.875" style="30" customWidth="1"/>
    <col min="8509" max="8509" width="13.375" style="30" customWidth="1"/>
    <col min="8510" max="8510" width="11.5" style="30" customWidth="1"/>
    <col min="8511" max="8511" width="12" style="30" customWidth="1"/>
    <col min="8512" max="8512" width="9.125" style="30" customWidth="1"/>
    <col min="8513" max="8513" width="9" style="30" customWidth="1"/>
    <col min="8514" max="8514" width="12.875" style="30" bestFit="1" customWidth="1"/>
    <col min="8515" max="8516" width="12" style="30" customWidth="1"/>
    <col min="8517" max="8517" width="11.875" style="30" customWidth="1"/>
    <col min="8518" max="8518" width="11" style="30" customWidth="1"/>
    <col min="8519" max="8519" width="11.625" style="30" customWidth="1"/>
    <col min="8520" max="8520" width="8.875" style="30" customWidth="1"/>
    <col min="8521" max="8521" width="11.625" style="30" bestFit="1" customWidth="1"/>
    <col min="8522" max="8522" width="9.625" style="30" customWidth="1"/>
    <col min="8523" max="8523" width="12.125" style="30" customWidth="1"/>
    <col min="8524" max="8524" width="11.875" style="30" customWidth="1"/>
    <col min="8525" max="8525" width="13.375" style="30" customWidth="1"/>
    <col min="8526" max="8526" width="11.5" style="30" customWidth="1"/>
    <col min="8527" max="8527" width="9.25" style="30" customWidth="1"/>
    <col min="8528" max="8528" width="11.625" style="30" bestFit="1" customWidth="1"/>
    <col min="8529" max="8529" width="10.625" style="30" customWidth="1"/>
    <col min="8530" max="8530" width="12" style="30" customWidth="1"/>
    <col min="8531" max="8531" width="11.625" style="30" customWidth="1"/>
    <col min="8532" max="8532" width="14" style="30" customWidth="1"/>
    <col min="8533" max="8533" width="11.125" style="30" customWidth="1"/>
    <col min="8534" max="8534" width="9.75" style="30" customWidth="1"/>
    <col min="8535" max="8535" width="11.625" style="30" bestFit="1" customWidth="1"/>
    <col min="8536" max="8536" width="10.125" style="30" customWidth="1"/>
    <col min="8537" max="8537" width="11.625" style="30" customWidth="1"/>
    <col min="8538" max="8538" width="11.375" style="30" customWidth="1"/>
    <col min="8539" max="8539" width="12.375" style="30" customWidth="1"/>
    <col min="8540" max="8541" width="10.875" style="30" customWidth="1"/>
    <col min="8542" max="8542" width="10.5" style="30" bestFit="1" customWidth="1"/>
    <col min="8543" max="8543" width="9.625" style="30" customWidth="1"/>
    <col min="8544" max="8544" width="11.875" style="30" customWidth="1"/>
    <col min="8545" max="8545" width="11.75" style="30" customWidth="1"/>
    <col min="8546" max="8546" width="14.125" style="30" customWidth="1"/>
    <col min="8547" max="8547" width="13.125" style="30" customWidth="1"/>
    <col min="8548" max="8548" width="8.75" style="30" customWidth="1"/>
    <col min="8549" max="8549" width="11.5" style="30" bestFit="1" customWidth="1"/>
    <col min="8550" max="8550" width="9.625" style="30" customWidth="1"/>
    <col min="8551" max="8551" width="13.625" style="30" customWidth="1"/>
    <col min="8552" max="8552" width="11.5" style="30" customWidth="1"/>
    <col min="8553" max="8553" width="11.75" style="30" customWidth="1"/>
    <col min="8554" max="8554" width="9.875" style="30" customWidth="1"/>
    <col min="8555" max="8555" width="9" style="30" customWidth="1"/>
    <col min="8556" max="8556" width="9.625" style="30" bestFit="1" customWidth="1"/>
    <col min="8557" max="8557" width="12.625" style="30" customWidth="1"/>
    <col min="8558" max="8558" width="12.375" style="30" customWidth="1"/>
    <col min="8559" max="8559" width="11.625" style="30" customWidth="1"/>
    <col min="8560" max="8561" width="14.125" style="30" customWidth="1"/>
    <col min="8562" max="8562" width="9.125" style="30" customWidth="1"/>
    <col min="8563" max="8563" width="10.5" style="30" bestFit="1" customWidth="1"/>
    <col min="8564" max="8564" width="9.625" style="30" customWidth="1"/>
    <col min="8565" max="8565" width="14.25" style="30" customWidth="1"/>
    <col min="8566" max="8566" width="11.875" style="30" customWidth="1"/>
    <col min="8567" max="8567" width="11" style="30" customWidth="1"/>
    <col min="8568" max="8568" width="11.75" style="30" customWidth="1"/>
    <col min="8569" max="8569" width="11.25" style="30" customWidth="1"/>
    <col min="8570" max="8570" width="9.625" style="30" bestFit="1" customWidth="1"/>
    <col min="8571" max="8571" width="9.625" style="30" customWidth="1"/>
    <col min="8572" max="8572" width="14.125" style="30" customWidth="1"/>
    <col min="8573" max="8573" width="11.125" style="30" customWidth="1"/>
    <col min="8574" max="8574" width="11.25" style="30" customWidth="1"/>
    <col min="8575" max="8575" width="12" style="30" customWidth="1"/>
    <col min="8576" max="8576" width="8.75" style="30" customWidth="1"/>
    <col min="8577" max="8577" width="9.625" style="30" bestFit="1" customWidth="1"/>
    <col min="8578" max="8578" width="9.625" style="30" customWidth="1"/>
    <col min="8579" max="8580" width="11.25" style="30" customWidth="1"/>
    <col min="8581" max="8581" width="12" style="30" customWidth="1"/>
    <col min="8582" max="8583" width="10.625" style="30" customWidth="1"/>
    <col min="8584" max="8584" width="11" style="30" customWidth="1"/>
    <col min="8585" max="8585" width="10.625" style="30" customWidth="1"/>
    <col min="8586" max="8586" width="12.375" style="30" customWidth="1"/>
    <col min="8587" max="8587" width="12" style="30" customWidth="1"/>
    <col min="8588" max="8588" width="11.625" style="30" customWidth="1"/>
    <col min="8589" max="8589" width="10.5" style="30" customWidth="1"/>
    <col min="8590" max="8590" width="8.625" style="30" customWidth="1"/>
    <col min="8591" max="8591" width="11.25" style="30" customWidth="1"/>
    <col min="8592" max="8592" width="9.875" style="30" customWidth="1"/>
    <col min="8593" max="8593" width="11.125" style="30" customWidth="1"/>
    <col min="8594" max="8594" width="11.625" style="30" customWidth="1"/>
    <col min="8595" max="8595" width="12.625" style="30" customWidth="1"/>
    <col min="8596" max="8596" width="11.5" style="30" customWidth="1"/>
    <col min="8597" max="8597" width="9.375" style="30"/>
    <col min="8598" max="8598" width="13.125" style="30" customWidth="1"/>
    <col min="8599" max="8599" width="9.5" style="30" customWidth="1"/>
    <col min="8600" max="8600" width="11.625" style="30" customWidth="1"/>
    <col min="8601" max="8601" width="11.5" style="30" customWidth="1"/>
    <col min="8602" max="8602" width="9.625" style="30" customWidth="1"/>
    <col min="8603" max="8603" width="9.25" style="30" customWidth="1"/>
    <col min="8604" max="8604" width="8.75" style="30" customWidth="1"/>
    <col min="8605" max="8605" width="9" style="30" customWidth="1"/>
    <col min="8606" max="8606" width="8.625" style="30" customWidth="1"/>
    <col min="8607" max="8607" width="11.125" style="30" customWidth="1"/>
    <col min="8608" max="8608" width="11.25" style="30" customWidth="1"/>
    <col min="8609" max="8609" width="11.5" style="30" customWidth="1"/>
    <col min="8610" max="8611" width="9" style="30" customWidth="1"/>
    <col min="8612" max="8612" width="9.875" style="30" customWidth="1"/>
    <col min="8613" max="8613" width="9.25" style="30" customWidth="1"/>
    <col min="8614" max="8614" width="11.125" style="30" customWidth="1"/>
    <col min="8615" max="8615" width="11.375" style="30" customWidth="1"/>
    <col min="8616" max="8616" width="10.875" style="30" customWidth="1"/>
    <col min="8617" max="8617" width="8.375" style="30" customWidth="1"/>
    <col min="8618" max="8618" width="9.125" style="30" customWidth="1"/>
    <col min="8619" max="8620" width="9" style="30" customWidth="1"/>
    <col min="8621" max="8621" width="10.75" style="30" customWidth="1"/>
    <col min="8622" max="8622" width="10.625" style="30" customWidth="1"/>
    <col min="8623" max="8623" width="10.25" style="30" customWidth="1"/>
    <col min="8624" max="8624" width="8.125" style="30" customWidth="1"/>
    <col min="8625" max="8627" width="9" style="30" customWidth="1"/>
    <col min="8628" max="8628" width="11.375" style="30" customWidth="1"/>
    <col min="8629" max="8629" width="11.125" style="30" customWidth="1"/>
    <col min="8630" max="8630" width="14.5" style="30" customWidth="1"/>
    <col min="8631" max="8631" width="10.875" style="30" customWidth="1"/>
    <col min="8632" max="8632" width="8.5" style="30" customWidth="1"/>
    <col min="8633" max="8633" width="10.375" style="30" customWidth="1"/>
    <col min="8634" max="8634" width="9" style="30" customWidth="1"/>
    <col min="8635" max="8635" width="12" style="30" customWidth="1"/>
    <col min="8636" max="8643" width="10.875" style="30" customWidth="1"/>
    <col min="8644" max="8644" width="10.5" style="30" customWidth="1"/>
    <col min="8645" max="8645" width="11.875" style="30" customWidth="1"/>
    <col min="8646" max="8646" width="10.875" style="30" customWidth="1"/>
    <col min="8647" max="8648" width="9" style="30" customWidth="1"/>
    <col min="8649" max="8649" width="12.125" style="30" customWidth="1"/>
    <col min="8650" max="8650" width="9.625" style="30" customWidth="1"/>
    <col min="8651" max="8652" width="9" style="30" customWidth="1"/>
    <col min="8653" max="8653" width="12.625" style="30" customWidth="1"/>
    <col min="8654" max="8654" width="11" style="30" customWidth="1"/>
    <col min="8655" max="8655" width="11.75" style="30" bestFit="1" customWidth="1"/>
    <col min="8656" max="8656" width="11.875" style="30" customWidth="1"/>
    <col min="8657" max="8658" width="9" style="30" customWidth="1"/>
    <col min="8659" max="8659" width="12.25" style="30" customWidth="1"/>
    <col min="8660" max="8660" width="10.875" style="30" customWidth="1"/>
    <col min="8661" max="8661" width="9" style="30" customWidth="1"/>
    <col min="8662" max="8662" width="10.875" style="30" customWidth="1"/>
    <col min="8663" max="8663" width="10.5" style="30" customWidth="1"/>
    <col min="8664" max="8665" width="9" style="30" customWidth="1"/>
    <col min="8666" max="8666" width="12.625" style="30" customWidth="1"/>
    <col min="8667" max="8668" width="9" style="30" customWidth="1"/>
    <col min="8669" max="8669" width="12" style="30" customWidth="1"/>
    <col min="8670" max="8686" width="9" style="30" customWidth="1"/>
    <col min="8687" max="8687" width="12.375" style="30" customWidth="1"/>
    <col min="8688" max="8688" width="12.5" style="30" customWidth="1"/>
    <col min="8689" max="8689" width="11.875" style="30" customWidth="1"/>
    <col min="8690" max="8690" width="11.625" style="30" customWidth="1"/>
    <col min="8691" max="8691" width="12.125" style="30" customWidth="1"/>
    <col min="8692" max="8693" width="10.5" style="30" bestFit="1" customWidth="1"/>
    <col min="8694" max="8694" width="10.625" style="30" bestFit="1" customWidth="1"/>
    <col min="8695" max="8702" width="10.5" style="30" bestFit="1" customWidth="1"/>
    <col min="8703" max="8703" width="10.5" style="30" customWidth="1"/>
    <col min="8704" max="8704" width="10.5" style="30" bestFit="1" customWidth="1"/>
    <col min="8705" max="8705" width="11.5" style="30" customWidth="1"/>
    <col min="8706" max="8706" width="9.5" style="30" bestFit="1" customWidth="1"/>
    <col min="8707" max="8717" width="10.5" style="30" bestFit="1" customWidth="1"/>
    <col min="8718" max="8718" width="12.75" style="30" bestFit="1" customWidth="1"/>
    <col min="8719" max="8723" width="10.5" style="30" bestFit="1" customWidth="1"/>
    <col min="8724" max="8725" width="9.375" style="30"/>
    <col min="8726" max="8726" width="8.5" style="30" customWidth="1"/>
    <col min="8727" max="8727" width="8" style="30" customWidth="1"/>
    <col min="8728" max="8728" width="21.25" style="30" customWidth="1"/>
    <col min="8729" max="8729" width="16.25" style="30" customWidth="1"/>
    <col min="8730" max="8730" width="11.625" style="30" customWidth="1"/>
    <col min="8731" max="8731" width="13.625" style="30" customWidth="1"/>
    <col min="8732" max="8732" width="12.875" style="30" customWidth="1"/>
    <col min="8733" max="8733" width="15.5" style="30" customWidth="1"/>
    <col min="8734" max="8735" width="13.375" style="30" customWidth="1"/>
    <col min="8736" max="8736" width="14.375" style="30" customWidth="1"/>
    <col min="8737" max="8737" width="11.875" style="30" customWidth="1"/>
    <col min="8738" max="8739" width="14.25" style="30" customWidth="1"/>
    <col min="8740" max="8740" width="8.625" style="30" customWidth="1"/>
    <col min="8741" max="8741" width="10.625" style="30" customWidth="1"/>
    <col min="8742" max="8742" width="9.875" style="30" customWidth="1"/>
    <col min="8743" max="8743" width="14" style="30" customWidth="1"/>
    <col min="8744" max="8744" width="10.875" style="30" customWidth="1"/>
    <col min="8745" max="8745" width="12.375" style="30" customWidth="1"/>
    <col min="8746" max="8746" width="12" style="30" customWidth="1"/>
    <col min="8747" max="8747" width="13.625" style="30" customWidth="1"/>
    <col min="8748" max="8748" width="10" style="30" customWidth="1"/>
    <col min="8749" max="8749" width="9.625" style="30" customWidth="1"/>
    <col min="8750" max="8750" width="11.75" style="30" customWidth="1"/>
    <col min="8751" max="8751" width="11.375" style="30" customWidth="1"/>
    <col min="8752" max="8752" width="12.875" style="30" customWidth="1"/>
    <col min="8753" max="8753" width="13" style="30" customWidth="1"/>
    <col min="8754" max="8754" width="8.875" style="30" customWidth="1"/>
    <col min="8755" max="8755" width="13.125" style="30" customWidth="1"/>
    <col min="8756" max="8756" width="9.625" style="30" customWidth="1"/>
    <col min="8757" max="8757" width="12.875" style="30" customWidth="1"/>
    <col min="8758" max="8758" width="11.5" style="30" customWidth="1"/>
    <col min="8759" max="8759" width="9.75" style="30" customWidth="1"/>
    <col min="8760" max="8760" width="13.375" style="30" customWidth="1"/>
    <col min="8761" max="8761" width="12.125" style="30" customWidth="1"/>
    <col min="8762" max="8762" width="10.25" style="30" customWidth="1"/>
    <col min="8763" max="8763" width="11.625" style="30" bestFit="1" customWidth="1"/>
    <col min="8764" max="8764" width="9.875" style="30" customWidth="1"/>
    <col min="8765" max="8765" width="13.375" style="30" customWidth="1"/>
    <col min="8766" max="8766" width="11.5" style="30" customWidth="1"/>
    <col min="8767" max="8767" width="12" style="30" customWidth="1"/>
    <col min="8768" max="8768" width="9.125" style="30" customWidth="1"/>
    <col min="8769" max="8769" width="9" style="30" customWidth="1"/>
    <col min="8770" max="8770" width="12.875" style="30" bestFit="1" customWidth="1"/>
    <col min="8771" max="8772" width="12" style="30" customWidth="1"/>
    <col min="8773" max="8773" width="11.875" style="30" customWidth="1"/>
    <col min="8774" max="8774" width="11" style="30" customWidth="1"/>
    <col min="8775" max="8775" width="11.625" style="30" customWidth="1"/>
    <col min="8776" max="8776" width="8.875" style="30" customWidth="1"/>
    <col min="8777" max="8777" width="11.625" style="30" bestFit="1" customWidth="1"/>
    <col min="8778" max="8778" width="9.625" style="30" customWidth="1"/>
    <col min="8779" max="8779" width="12.125" style="30" customWidth="1"/>
    <col min="8780" max="8780" width="11.875" style="30" customWidth="1"/>
    <col min="8781" max="8781" width="13.375" style="30" customWidth="1"/>
    <col min="8782" max="8782" width="11.5" style="30" customWidth="1"/>
    <col min="8783" max="8783" width="9.25" style="30" customWidth="1"/>
    <col min="8784" max="8784" width="11.625" style="30" bestFit="1" customWidth="1"/>
    <col min="8785" max="8785" width="10.625" style="30" customWidth="1"/>
    <col min="8786" max="8786" width="12" style="30" customWidth="1"/>
    <col min="8787" max="8787" width="11.625" style="30" customWidth="1"/>
    <col min="8788" max="8788" width="14" style="30" customWidth="1"/>
    <col min="8789" max="8789" width="11.125" style="30" customWidth="1"/>
    <col min="8790" max="8790" width="9.75" style="30" customWidth="1"/>
    <col min="8791" max="8791" width="11.625" style="30" bestFit="1" customWidth="1"/>
    <col min="8792" max="8792" width="10.125" style="30" customWidth="1"/>
    <col min="8793" max="8793" width="11.625" style="30" customWidth="1"/>
    <col min="8794" max="8794" width="11.375" style="30" customWidth="1"/>
    <col min="8795" max="8795" width="12.375" style="30" customWidth="1"/>
    <col min="8796" max="8797" width="10.875" style="30" customWidth="1"/>
    <col min="8798" max="8798" width="10.5" style="30" bestFit="1" customWidth="1"/>
    <col min="8799" max="8799" width="9.625" style="30" customWidth="1"/>
    <col min="8800" max="8800" width="11.875" style="30" customWidth="1"/>
    <col min="8801" max="8801" width="11.75" style="30" customWidth="1"/>
    <col min="8802" max="8802" width="14.125" style="30" customWidth="1"/>
    <col min="8803" max="8803" width="13.125" style="30" customWidth="1"/>
    <col min="8804" max="8804" width="8.75" style="30" customWidth="1"/>
    <col min="8805" max="8805" width="11.5" style="30" bestFit="1" customWidth="1"/>
    <col min="8806" max="8806" width="9.625" style="30" customWidth="1"/>
    <col min="8807" max="8807" width="13.625" style="30" customWidth="1"/>
    <col min="8808" max="8808" width="11.5" style="30" customWidth="1"/>
    <col min="8809" max="8809" width="11.75" style="30" customWidth="1"/>
    <col min="8810" max="8810" width="9.875" style="30" customWidth="1"/>
    <col min="8811" max="8811" width="9" style="30" customWidth="1"/>
    <col min="8812" max="8812" width="9.625" style="30" bestFit="1" customWidth="1"/>
    <col min="8813" max="8813" width="12.625" style="30" customWidth="1"/>
    <col min="8814" max="8814" width="12.375" style="30" customWidth="1"/>
    <col min="8815" max="8815" width="11.625" style="30" customWidth="1"/>
    <col min="8816" max="8817" width="14.125" style="30" customWidth="1"/>
    <col min="8818" max="8818" width="9.125" style="30" customWidth="1"/>
    <col min="8819" max="8819" width="10.5" style="30" bestFit="1" customWidth="1"/>
    <col min="8820" max="8820" width="9.625" style="30" customWidth="1"/>
    <col min="8821" max="8821" width="14.25" style="30" customWidth="1"/>
    <col min="8822" max="8822" width="11.875" style="30" customWidth="1"/>
    <col min="8823" max="8823" width="11" style="30" customWidth="1"/>
    <col min="8824" max="8824" width="11.75" style="30" customWidth="1"/>
    <col min="8825" max="8825" width="11.25" style="30" customWidth="1"/>
    <col min="8826" max="8826" width="9.625" style="30" bestFit="1" customWidth="1"/>
    <col min="8827" max="8827" width="9.625" style="30" customWidth="1"/>
    <col min="8828" max="8828" width="14.125" style="30" customWidth="1"/>
    <col min="8829" max="8829" width="11.125" style="30" customWidth="1"/>
    <col min="8830" max="8830" width="11.25" style="30" customWidth="1"/>
    <col min="8831" max="8831" width="12" style="30" customWidth="1"/>
    <col min="8832" max="8832" width="8.75" style="30" customWidth="1"/>
    <col min="8833" max="8833" width="9.625" style="30" bestFit="1" customWidth="1"/>
    <col min="8834" max="8834" width="9.625" style="30" customWidth="1"/>
    <col min="8835" max="8836" width="11.25" style="30" customWidth="1"/>
    <col min="8837" max="8837" width="12" style="30" customWidth="1"/>
    <col min="8838" max="8839" width="10.625" style="30" customWidth="1"/>
    <col min="8840" max="8840" width="11" style="30" customWidth="1"/>
    <col min="8841" max="8841" width="10.625" style="30" customWidth="1"/>
    <col min="8842" max="8842" width="12.375" style="30" customWidth="1"/>
    <col min="8843" max="8843" width="12" style="30" customWidth="1"/>
    <col min="8844" max="8844" width="11.625" style="30" customWidth="1"/>
    <col min="8845" max="8845" width="10.5" style="30" customWidth="1"/>
    <col min="8846" max="8846" width="8.625" style="30" customWidth="1"/>
    <col min="8847" max="8847" width="11.25" style="30" customWidth="1"/>
    <col min="8848" max="8848" width="9.875" style="30" customWidth="1"/>
    <col min="8849" max="8849" width="11.125" style="30" customWidth="1"/>
    <col min="8850" max="8850" width="11.625" style="30" customWidth="1"/>
    <col min="8851" max="8851" width="12.625" style="30" customWidth="1"/>
    <col min="8852" max="8852" width="11.5" style="30" customWidth="1"/>
    <col min="8853" max="8853" width="9.375" style="30"/>
    <col min="8854" max="8854" width="13.125" style="30" customWidth="1"/>
    <col min="8855" max="8855" width="9.5" style="30" customWidth="1"/>
    <col min="8856" max="8856" width="11.625" style="30" customWidth="1"/>
    <col min="8857" max="8857" width="11.5" style="30" customWidth="1"/>
    <col min="8858" max="8858" width="9.625" style="30" customWidth="1"/>
    <col min="8859" max="8859" width="9.25" style="30" customWidth="1"/>
    <col min="8860" max="8860" width="8.75" style="30" customWidth="1"/>
    <col min="8861" max="8861" width="9" style="30" customWidth="1"/>
    <col min="8862" max="8862" width="8.625" style="30" customWidth="1"/>
    <col min="8863" max="8863" width="11.125" style="30" customWidth="1"/>
    <col min="8864" max="8864" width="11.25" style="30" customWidth="1"/>
    <col min="8865" max="8865" width="11.5" style="30" customWidth="1"/>
    <col min="8866" max="8867" width="9" style="30" customWidth="1"/>
    <col min="8868" max="8868" width="9.875" style="30" customWidth="1"/>
    <col min="8869" max="8869" width="9.25" style="30" customWidth="1"/>
    <col min="8870" max="8870" width="11.125" style="30" customWidth="1"/>
    <col min="8871" max="8871" width="11.375" style="30" customWidth="1"/>
    <col min="8872" max="8872" width="10.875" style="30" customWidth="1"/>
    <col min="8873" max="8873" width="8.375" style="30" customWidth="1"/>
    <col min="8874" max="8874" width="9.125" style="30" customWidth="1"/>
    <col min="8875" max="8876" width="9" style="30" customWidth="1"/>
    <col min="8877" max="8877" width="10.75" style="30" customWidth="1"/>
    <col min="8878" max="8878" width="10.625" style="30" customWidth="1"/>
    <col min="8879" max="8879" width="10.25" style="30" customWidth="1"/>
    <col min="8880" max="8880" width="8.125" style="30" customWidth="1"/>
    <col min="8881" max="8883" width="9" style="30" customWidth="1"/>
    <col min="8884" max="8884" width="11.375" style="30" customWidth="1"/>
    <col min="8885" max="8885" width="11.125" style="30" customWidth="1"/>
    <col min="8886" max="8886" width="14.5" style="30" customWidth="1"/>
    <col min="8887" max="8887" width="10.875" style="30" customWidth="1"/>
    <col min="8888" max="8888" width="8.5" style="30" customWidth="1"/>
    <col min="8889" max="8889" width="10.375" style="30" customWidth="1"/>
    <col min="8890" max="8890" width="9" style="30" customWidth="1"/>
    <col min="8891" max="8891" width="12" style="30" customWidth="1"/>
    <col min="8892" max="8899" width="10.875" style="30" customWidth="1"/>
    <col min="8900" max="8900" width="10.5" style="30" customWidth="1"/>
    <col min="8901" max="8901" width="11.875" style="30" customWidth="1"/>
    <col min="8902" max="8902" width="10.875" style="30" customWidth="1"/>
    <col min="8903" max="8904" width="9" style="30" customWidth="1"/>
    <col min="8905" max="8905" width="12.125" style="30" customWidth="1"/>
    <col min="8906" max="8906" width="9.625" style="30" customWidth="1"/>
    <col min="8907" max="8908" width="9" style="30" customWidth="1"/>
    <col min="8909" max="8909" width="12.625" style="30" customWidth="1"/>
    <col min="8910" max="8910" width="11" style="30" customWidth="1"/>
    <col min="8911" max="8911" width="11.75" style="30" bestFit="1" customWidth="1"/>
    <col min="8912" max="8912" width="11.875" style="30" customWidth="1"/>
    <col min="8913" max="8914" width="9" style="30" customWidth="1"/>
    <col min="8915" max="8915" width="12.25" style="30" customWidth="1"/>
    <col min="8916" max="8916" width="10.875" style="30" customWidth="1"/>
    <col min="8917" max="8917" width="9" style="30" customWidth="1"/>
    <col min="8918" max="8918" width="10.875" style="30" customWidth="1"/>
    <col min="8919" max="8919" width="10.5" style="30" customWidth="1"/>
    <col min="8920" max="8921" width="9" style="30" customWidth="1"/>
    <col min="8922" max="8922" width="12.625" style="30" customWidth="1"/>
    <col min="8923" max="8924" width="9" style="30" customWidth="1"/>
    <col min="8925" max="8925" width="12" style="30" customWidth="1"/>
    <col min="8926" max="8942" width="9" style="30" customWidth="1"/>
    <col min="8943" max="8943" width="12.375" style="30" customWidth="1"/>
    <col min="8944" max="8944" width="12.5" style="30" customWidth="1"/>
    <col min="8945" max="8945" width="11.875" style="30" customWidth="1"/>
    <col min="8946" max="8946" width="11.625" style="30" customWidth="1"/>
    <col min="8947" max="8947" width="12.125" style="30" customWidth="1"/>
    <col min="8948" max="8949" width="10.5" style="30" bestFit="1" customWidth="1"/>
    <col min="8950" max="8950" width="10.625" style="30" bestFit="1" customWidth="1"/>
    <col min="8951" max="8958" width="10.5" style="30" bestFit="1" customWidth="1"/>
    <col min="8959" max="8959" width="10.5" style="30" customWidth="1"/>
    <col min="8960" max="8960" width="10.5" style="30" bestFit="1" customWidth="1"/>
    <col min="8961" max="8961" width="11.5" style="30" customWidth="1"/>
    <col min="8962" max="8962" width="9.5" style="30" bestFit="1" customWidth="1"/>
    <col min="8963" max="8973" width="10.5" style="30" bestFit="1" customWidth="1"/>
    <col min="8974" max="8974" width="12.75" style="30" bestFit="1" customWidth="1"/>
    <col min="8975" max="8979" width="10.5" style="30" bestFit="1" customWidth="1"/>
    <col min="8980" max="8981" width="9.375" style="30"/>
    <col min="8982" max="8982" width="8.5" style="30" customWidth="1"/>
    <col min="8983" max="8983" width="8" style="30" customWidth="1"/>
    <col min="8984" max="8984" width="21.25" style="30" customWidth="1"/>
    <col min="8985" max="8985" width="16.25" style="30" customWidth="1"/>
    <col min="8986" max="8986" width="11.625" style="30" customWidth="1"/>
    <col min="8987" max="8987" width="13.625" style="30" customWidth="1"/>
    <col min="8988" max="8988" width="12.875" style="30" customWidth="1"/>
    <col min="8989" max="8989" width="15.5" style="30" customWidth="1"/>
    <col min="8990" max="8991" width="13.375" style="30" customWidth="1"/>
    <col min="8992" max="8992" width="14.375" style="30" customWidth="1"/>
    <col min="8993" max="8993" width="11.875" style="30" customWidth="1"/>
    <col min="8994" max="8995" width="14.25" style="30" customWidth="1"/>
    <col min="8996" max="8996" width="8.625" style="30" customWidth="1"/>
    <col min="8997" max="8997" width="10.625" style="30" customWidth="1"/>
    <col min="8998" max="8998" width="9.875" style="30" customWidth="1"/>
    <col min="8999" max="8999" width="14" style="30" customWidth="1"/>
    <col min="9000" max="9000" width="10.875" style="30" customWidth="1"/>
    <col min="9001" max="9001" width="12.375" style="30" customWidth="1"/>
    <col min="9002" max="9002" width="12" style="30" customWidth="1"/>
    <col min="9003" max="9003" width="13.625" style="30" customWidth="1"/>
    <col min="9004" max="9004" width="10" style="30" customWidth="1"/>
    <col min="9005" max="9005" width="9.625" style="30" customWidth="1"/>
    <col min="9006" max="9006" width="11.75" style="30" customWidth="1"/>
    <col min="9007" max="9007" width="11.375" style="30" customWidth="1"/>
    <col min="9008" max="9008" width="12.875" style="30" customWidth="1"/>
    <col min="9009" max="9009" width="13" style="30" customWidth="1"/>
    <col min="9010" max="9010" width="8.875" style="30" customWidth="1"/>
    <col min="9011" max="9011" width="13.125" style="30" customWidth="1"/>
    <col min="9012" max="9012" width="9.625" style="30" customWidth="1"/>
    <col min="9013" max="9013" width="12.875" style="30" customWidth="1"/>
    <col min="9014" max="9014" width="11.5" style="30" customWidth="1"/>
    <col min="9015" max="9015" width="9.75" style="30" customWidth="1"/>
    <col min="9016" max="9016" width="13.375" style="30" customWidth="1"/>
    <col min="9017" max="9017" width="12.125" style="30" customWidth="1"/>
    <col min="9018" max="9018" width="10.25" style="30" customWidth="1"/>
    <col min="9019" max="9019" width="11.625" style="30" bestFit="1" customWidth="1"/>
    <col min="9020" max="9020" width="9.875" style="30" customWidth="1"/>
    <col min="9021" max="9021" width="13.375" style="30" customWidth="1"/>
    <col min="9022" max="9022" width="11.5" style="30" customWidth="1"/>
    <col min="9023" max="9023" width="12" style="30" customWidth="1"/>
    <col min="9024" max="9024" width="9.125" style="30" customWidth="1"/>
    <col min="9025" max="9025" width="9" style="30" customWidth="1"/>
    <col min="9026" max="9026" width="12.875" style="30" bestFit="1" customWidth="1"/>
    <col min="9027" max="9028" width="12" style="30" customWidth="1"/>
    <col min="9029" max="9029" width="11.875" style="30" customWidth="1"/>
    <col min="9030" max="9030" width="11" style="30" customWidth="1"/>
    <col min="9031" max="9031" width="11.625" style="30" customWidth="1"/>
    <col min="9032" max="9032" width="8.875" style="30" customWidth="1"/>
    <col min="9033" max="9033" width="11.625" style="30" bestFit="1" customWidth="1"/>
    <col min="9034" max="9034" width="9.625" style="30" customWidth="1"/>
    <col min="9035" max="9035" width="12.125" style="30" customWidth="1"/>
    <col min="9036" max="9036" width="11.875" style="30" customWidth="1"/>
    <col min="9037" max="9037" width="13.375" style="30" customWidth="1"/>
    <col min="9038" max="9038" width="11.5" style="30" customWidth="1"/>
    <col min="9039" max="9039" width="9.25" style="30" customWidth="1"/>
    <col min="9040" max="9040" width="11.625" style="30" bestFit="1" customWidth="1"/>
    <col min="9041" max="9041" width="10.625" style="30" customWidth="1"/>
    <col min="9042" max="9042" width="12" style="30" customWidth="1"/>
    <col min="9043" max="9043" width="11.625" style="30" customWidth="1"/>
    <col min="9044" max="9044" width="14" style="30" customWidth="1"/>
    <col min="9045" max="9045" width="11.125" style="30" customWidth="1"/>
    <col min="9046" max="9046" width="9.75" style="30" customWidth="1"/>
    <col min="9047" max="9047" width="11.625" style="30" bestFit="1" customWidth="1"/>
    <col min="9048" max="9048" width="10.125" style="30" customWidth="1"/>
    <col min="9049" max="9049" width="11.625" style="30" customWidth="1"/>
    <col min="9050" max="9050" width="11.375" style="30" customWidth="1"/>
    <col min="9051" max="9051" width="12.375" style="30" customWidth="1"/>
    <col min="9052" max="9053" width="10.875" style="30" customWidth="1"/>
    <col min="9054" max="9054" width="10.5" style="30" bestFit="1" customWidth="1"/>
    <col min="9055" max="9055" width="9.625" style="30" customWidth="1"/>
    <col min="9056" max="9056" width="11.875" style="30" customWidth="1"/>
    <col min="9057" max="9057" width="11.75" style="30" customWidth="1"/>
    <col min="9058" max="9058" width="14.125" style="30" customWidth="1"/>
    <col min="9059" max="9059" width="13.125" style="30" customWidth="1"/>
    <col min="9060" max="9060" width="8.75" style="30" customWidth="1"/>
    <col min="9061" max="9061" width="11.5" style="30" bestFit="1" customWidth="1"/>
    <col min="9062" max="9062" width="9.625" style="30" customWidth="1"/>
    <col min="9063" max="9063" width="13.625" style="30" customWidth="1"/>
    <col min="9064" max="9064" width="11.5" style="30" customWidth="1"/>
    <col min="9065" max="9065" width="11.75" style="30" customWidth="1"/>
    <col min="9066" max="9066" width="9.875" style="30" customWidth="1"/>
    <col min="9067" max="9067" width="9" style="30" customWidth="1"/>
    <col min="9068" max="9068" width="9.625" style="30" bestFit="1" customWidth="1"/>
    <col min="9069" max="9069" width="12.625" style="30" customWidth="1"/>
    <col min="9070" max="9070" width="12.375" style="30" customWidth="1"/>
    <col min="9071" max="9071" width="11.625" style="30" customWidth="1"/>
    <col min="9072" max="9073" width="14.125" style="30" customWidth="1"/>
    <col min="9074" max="9074" width="9.125" style="30" customWidth="1"/>
    <col min="9075" max="9075" width="10.5" style="30" bestFit="1" customWidth="1"/>
    <col min="9076" max="9076" width="9.625" style="30" customWidth="1"/>
    <col min="9077" max="9077" width="14.25" style="30" customWidth="1"/>
    <col min="9078" max="9078" width="11.875" style="30" customWidth="1"/>
    <col min="9079" max="9079" width="11" style="30" customWidth="1"/>
    <col min="9080" max="9080" width="11.75" style="30" customWidth="1"/>
    <col min="9081" max="9081" width="11.25" style="30" customWidth="1"/>
    <col min="9082" max="9082" width="9.625" style="30" bestFit="1" customWidth="1"/>
    <col min="9083" max="9083" width="9.625" style="30" customWidth="1"/>
    <col min="9084" max="9084" width="14.125" style="30" customWidth="1"/>
    <col min="9085" max="9085" width="11.125" style="30" customWidth="1"/>
    <col min="9086" max="9086" width="11.25" style="30" customWidth="1"/>
    <col min="9087" max="9087" width="12" style="30" customWidth="1"/>
    <col min="9088" max="9088" width="8.75" style="30" customWidth="1"/>
    <col min="9089" max="9089" width="9.625" style="30" bestFit="1" customWidth="1"/>
    <col min="9090" max="9090" width="9.625" style="30" customWidth="1"/>
    <col min="9091" max="9092" width="11.25" style="30" customWidth="1"/>
    <col min="9093" max="9093" width="12" style="30" customWidth="1"/>
    <col min="9094" max="9095" width="10.625" style="30" customWidth="1"/>
    <col min="9096" max="9096" width="11" style="30" customWidth="1"/>
    <col min="9097" max="9097" width="10.625" style="30" customWidth="1"/>
    <col min="9098" max="9098" width="12.375" style="30" customWidth="1"/>
    <col min="9099" max="9099" width="12" style="30" customWidth="1"/>
    <col min="9100" max="9100" width="11.625" style="30" customWidth="1"/>
    <col min="9101" max="9101" width="10.5" style="30" customWidth="1"/>
    <col min="9102" max="9102" width="8.625" style="30" customWidth="1"/>
    <col min="9103" max="9103" width="11.25" style="30" customWidth="1"/>
    <col min="9104" max="9104" width="9.875" style="30" customWidth="1"/>
    <col min="9105" max="9105" width="11.125" style="30" customWidth="1"/>
    <col min="9106" max="9106" width="11.625" style="30" customWidth="1"/>
    <col min="9107" max="9107" width="12.625" style="30" customWidth="1"/>
    <col min="9108" max="9108" width="11.5" style="30" customWidth="1"/>
    <col min="9109" max="9109" width="9.375" style="30"/>
    <col min="9110" max="9110" width="13.125" style="30" customWidth="1"/>
    <col min="9111" max="9111" width="9.5" style="30" customWidth="1"/>
    <col min="9112" max="9112" width="11.625" style="30" customWidth="1"/>
    <col min="9113" max="9113" width="11.5" style="30" customWidth="1"/>
    <col min="9114" max="9114" width="9.625" style="30" customWidth="1"/>
    <col min="9115" max="9115" width="9.25" style="30" customWidth="1"/>
    <col min="9116" max="9116" width="8.75" style="30" customWidth="1"/>
    <col min="9117" max="9117" width="9" style="30" customWidth="1"/>
    <col min="9118" max="9118" width="8.625" style="30" customWidth="1"/>
    <col min="9119" max="9119" width="11.125" style="30" customWidth="1"/>
    <col min="9120" max="9120" width="11.25" style="30" customWidth="1"/>
    <col min="9121" max="9121" width="11.5" style="30" customWidth="1"/>
    <col min="9122" max="9123" width="9" style="30" customWidth="1"/>
    <col min="9124" max="9124" width="9.875" style="30" customWidth="1"/>
    <col min="9125" max="9125" width="9.25" style="30" customWidth="1"/>
    <col min="9126" max="9126" width="11.125" style="30" customWidth="1"/>
    <col min="9127" max="9127" width="11.375" style="30" customWidth="1"/>
    <col min="9128" max="9128" width="10.875" style="30" customWidth="1"/>
    <col min="9129" max="9129" width="8.375" style="30" customWidth="1"/>
    <col min="9130" max="9130" width="9.125" style="30" customWidth="1"/>
    <col min="9131" max="9132" width="9" style="30" customWidth="1"/>
    <col min="9133" max="9133" width="10.75" style="30" customWidth="1"/>
    <col min="9134" max="9134" width="10.625" style="30" customWidth="1"/>
    <col min="9135" max="9135" width="10.25" style="30" customWidth="1"/>
    <col min="9136" max="9136" width="8.125" style="30" customWidth="1"/>
    <col min="9137" max="9139" width="9" style="30" customWidth="1"/>
    <col min="9140" max="9140" width="11.375" style="30" customWidth="1"/>
    <col min="9141" max="9141" width="11.125" style="30" customWidth="1"/>
    <col min="9142" max="9142" width="14.5" style="30" customWidth="1"/>
    <col min="9143" max="9143" width="10.875" style="30" customWidth="1"/>
    <col min="9144" max="9144" width="8.5" style="30" customWidth="1"/>
    <col min="9145" max="9145" width="10.375" style="30" customWidth="1"/>
    <col min="9146" max="9146" width="9" style="30" customWidth="1"/>
    <col min="9147" max="9147" width="12" style="30" customWidth="1"/>
    <col min="9148" max="9155" width="10.875" style="30" customWidth="1"/>
    <col min="9156" max="9156" width="10.5" style="30" customWidth="1"/>
    <col min="9157" max="9157" width="11.875" style="30" customWidth="1"/>
    <col min="9158" max="9158" width="10.875" style="30" customWidth="1"/>
    <col min="9159" max="9160" width="9" style="30" customWidth="1"/>
    <col min="9161" max="9161" width="12.125" style="30" customWidth="1"/>
    <col min="9162" max="9162" width="9.625" style="30" customWidth="1"/>
    <col min="9163" max="9164" width="9" style="30" customWidth="1"/>
    <col min="9165" max="9165" width="12.625" style="30" customWidth="1"/>
    <col min="9166" max="9166" width="11" style="30" customWidth="1"/>
    <col min="9167" max="9167" width="11.75" style="30" bestFit="1" customWidth="1"/>
    <col min="9168" max="9168" width="11.875" style="30" customWidth="1"/>
    <col min="9169" max="9170" width="9" style="30" customWidth="1"/>
    <col min="9171" max="9171" width="12.25" style="30" customWidth="1"/>
    <col min="9172" max="9172" width="10.875" style="30" customWidth="1"/>
    <col min="9173" max="9173" width="9" style="30" customWidth="1"/>
    <col min="9174" max="9174" width="10.875" style="30" customWidth="1"/>
    <col min="9175" max="9175" width="10.5" style="30" customWidth="1"/>
    <col min="9176" max="9177" width="9" style="30" customWidth="1"/>
    <col min="9178" max="9178" width="12.625" style="30" customWidth="1"/>
    <col min="9179" max="9180" width="9" style="30" customWidth="1"/>
    <col min="9181" max="9181" width="12" style="30" customWidth="1"/>
    <col min="9182" max="9198" width="9" style="30" customWidth="1"/>
    <col min="9199" max="9199" width="12.375" style="30" customWidth="1"/>
    <col min="9200" max="9200" width="12.5" style="30" customWidth="1"/>
    <col min="9201" max="9201" width="11.875" style="30" customWidth="1"/>
    <col min="9202" max="9202" width="11.625" style="30" customWidth="1"/>
    <col min="9203" max="9203" width="12.125" style="30" customWidth="1"/>
    <col min="9204" max="9205" width="10.5" style="30" bestFit="1" customWidth="1"/>
    <col min="9206" max="9206" width="10.625" style="30" bestFit="1" customWidth="1"/>
    <col min="9207" max="9214" width="10.5" style="30" bestFit="1" customWidth="1"/>
    <col min="9215" max="9215" width="10.5" style="30" customWidth="1"/>
    <col min="9216" max="9216" width="10.5" style="30" bestFit="1" customWidth="1"/>
    <col min="9217" max="9217" width="11.5" style="30" customWidth="1"/>
    <col min="9218" max="9218" width="9.5" style="30" bestFit="1" customWidth="1"/>
    <col min="9219" max="9229" width="10.5" style="30" bestFit="1" customWidth="1"/>
    <col min="9230" max="9230" width="12.75" style="30" bestFit="1" customWidth="1"/>
    <col min="9231" max="9235" width="10.5" style="30" bestFit="1" customWidth="1"/>
    <col min="9236" max="9237" width="9.375" style="30"/>
    <col min="9238" max="9238" width="8.5" style="30" customWidth="1"/>
    <col min="9239" max="9239" width="8" style="30" customWidth="1"/>
    <col min="9240" max="9240" width="21.25" style="30" customWidth="1"/>
    <col min="9241" max="9241" width="16.25" style="30" customWidth="1"/>
    <col min="9242" max="9242" width="11.625" style="30" customWidth="1"/>
    <col min="9243" max="9243" width="13.625" style="30" customWidth="1"/>
    <col min="9244" max="9244" width="12.875" style="30" customWidth="1"/>
    <col min="9245" max="9245" width="15.5" style="30" customWidth="1"/>
    <col min="9246" max="9247" width="13.375" style="30" customWidth="1"/>
    <col min="9248" max="9248" width="14.375" style="30" customWidth="1"/>
    <col min="9249" max="9249" width="11.875" style="30" customWidth="1"/>
    <col min="9250" max="9251" width="14.25" style="30" customWidth="1"/>
    <col min="9252" max="9252" width="8.625" style="30" customWidth="1"/>
    <col min="9253" max="9253" width="10.625" style="30" customWidth="1"/>
    <col min="9254" max="9254" width="9.875" style="30" customWidth="1"/>
    <col min="9255" max="9255" width="14" style="30" customWidth="1"/>
    <col min="9256" max="9256" width="10.875" style="30" customWidth="1"/>
    <col min="9257" max="9257" width="12.375" style="30" customWidth="1"/>
    <col min="9258" max="9258" width="12" style="30" customWidth="1"/>
    <col min="9259" max="9259" width="13.625" style="30" customWidth="1"/>
    <col min="9260" max="9260" width="10" style="30" customWidth="1"/>
    <col min="9261" max="9261" width="9.625" style="30" customWidth="1"/>
    <col min="9262" max="9262" width="11.75" style="30" customWidth="1"/>
    <col min="9263" max="9263" width="11.375" style="30" customWidth="1"/>
    <col min="9264" max="9264" width="12.875" style="30" customWidth="1"/>
    <col min="9265" max="9265" width="13" style="30" customWidth="1"/>
    <col min="9266" max="9266" width="8.875" style="30" customWidth="1"/>
    <col min="9267" max="9267" width="13.125" style="30" customWidth="1"/>
    <col min="9268" max="9268" width="9.625" style="30" customWidth="1"/>
    <col min="9269" max="9269" width="12.875" style="30" customWidth="1"/>
    <col min="9270" max="9270" width="11.5" style="30" customWidth="1"/>
    <col min="9271" max="9271" width="9.75" style="30" customWidth="1"/>
    <col min="9272" max="9272" width="13.375" style="30" customWidth="1"/>
    <col min="9273" max="9273" width="12.125" style="30" customWidth="1"/>
    <col min="9274" max="9274" width="10.25" style="30" customWidth="1"/>
    <col min="9275" max="9275" width="11.625" style="30" bestFit="1" customWidth="1"/>
    <col min="9276" max="9276" width="9.875" style="30" customWidth="1"/>
    <col min="9277" max="9277" width="13.375" style="30" customWidth="1"/>
    <col min="9278" max="9278" width="11.5" style="30" customWidth="1"/>
    <col min="9279" max="9279" width="12" style="30" customWidth="1"/>
    <col min="9280" max="9280" width="9.125" style="30" customWidth="1"/>
    <col min="9281" max="9281" width="9" style="30" customWidth="1"/>
    <col min="9282" max="9282" width="12.875" style="30" bestFit="1" customWidth="1"/>
    <col min="9283" max="9284" width="12" style="30" customWidth="1"/>
    <col min="9285" max="9285" width="11.875" style="30" customWidth="1"/>
    <col min="9286" max="9286" width="11" style="30" customWidth="1"/>
    <col min="9287" max="9287" width="11.625" style="30" customWidth="1"/>
    <col min="9288" max="9288" width="8.875" style="30" customWidth="1"/>
    <col min="9289" max="9289" width="11.625" style="30" bestFit="1" customWidth="1"/>
    <col min="9290" max="9290" width="9.625" style="30" customWidth="1"/>
    <col min="9291" max="9291" width="12.125" style="30" customWidth="1"/>
    <col min="9292" max="9292" width="11.875" style="30" customWidth="1"/>
    <col min="9293" max="9293" width="13.375" style="30" customWidth="1"/>
    <col min="9294" max="9294" width="11.5" style="30" customWidth="1"/>
    <col min="9295" max="9295" width="9.25" style="30" customWidth="1"/>
    <col min="9296" max="9296" width="11.625" style="30" bestFit="1" customWidth="1"/>
    <col min="9297" max="9297" width="10.625" style="30" customWidth="1"/>
    <col min="9298" max="9298" width="12" style="30" customWidth="1"/>
    <col min="9299" max="9299" width="11.625" style="30" customWidth="1"/>
    <col min="9300" max="9300" width="14" style="30" customWidth="1"/>
    <col min="9301" max="9301" width="11.125" style="30" customWidth="1"/>
    <col min="9302" max="9302" width="9.75" style="30" customWidth="1"/>
    <col min="9303" max="9303" width="11.625" style="30" bestFit="1" customWidth="1"/>
    <col min="9304" max="9304" width="10.125" style="30" customWidth="1"/>
    <col min="9305" max="9305" width="11.625" style="30" customWidth="1"/>
    <col min="9306" max="9306" width="11.375" style="30" customWidth="1"/>
    <col min="9307" max="9307" width="12.375" style="30" customWidth="1"/>
    <col min="9308" max="9309" width="10.875" style="30" customWidth="1"/>
    <col min="9310" max="9310" width="10.5" style="30" bestFit="1" customWidth="1"/>
    <col min="9311" max="9311" width="9.625" style="30" customWidth="1"/>
    <col min="9312" max="9312" width="11.875" style="30" customWidth="1"/>
    <col min="9313" max="9313" width="11.75" style="30" customWidth="1"/>
    <col min="9314" max="9314" width="14.125" style="30" customWidth="1"/>
    <col min="9315" max="9315" width="13.125" style="30" customWidth="1"/>
    <col min="9316" max="9316" width="8.75" style="30" customWidth="1"/>
    <col min="9317" max="9317" width="11.5" style="30" bestFit="1" customWidth="1"/>
    <col min="9318" max="9318" width="9.625" style="30" customWidth="1"/>
    <col min="9319" max="9319" width="13.625" style="30" customWidth="1"/>
    <col min="9320" max="9320" width="11.5" style="30" customWidth="1"/>
    <col min="9321" max="9321" width="11.75" style="30" customWidth="1"/>
    <col min="9322" max="9322" width="9.875" style="30" customWidth="1"/>
    <col min="9323" max="9323" width="9" style="30" customWidth="1"/>
    <col min="9324" max="9324" width="9.625" style="30" bestFit="1" customWidth="1"/>
    <col min="9325" max="9325" width="12.625" style="30" customWidth="1"/>
    <col min="9326" max="9326" width="12.375" style="30" customWidth="1"/>
    <col min="9327" max="9327" width="11.625" style="30" customWidth="1"/>
    <col min="9328" max="9329" width="14.125" style="30" customWidth="1"/>
    <col min="9330" max="9330" width="9.125" style="30" customWidth="1"/>
    <col min="9331" max="9331" width="10.5" style="30" bestFit="1" customWidth="1"/>
    <col min="9332" max="9332" width="9.625" style="30" customWidth="1"/>
    <col min="9333" max="9333" width="14.25" style="30" customWidth="1"/>
    <col min="9334" max="9334" width="11.875" style="30" customWidth="1"/>
    <col min="9335" max="9335" width="11" style="30" customWidth="1"/>
    <col min="9336" max="9336" width="11.75" style="30" customWidth="1"/>
    <col min="9337" max="9337" width="11.25" style="30" customWidth="1"/>
    <col min="9338" max="9338" width="9.625" style="30" bestFit="1" customWidth="1"/>
    <col min="9339" max="9339" width="9.625" style="30" customWidth="1"/>
    <col min="9340" max="9340" width="14.125" style="30" customWidth="1"/>
    <col min="9341" max="9341" width="11.125" style="30" customWidth="1"/>
    <col min="9342" max="9342" width="11.25" style="30" customWidth="1"/>
    <col min="9343" max="9343" width="12" style="30" customWidth="1"/>
    <col min="9344" max="9344" width="8.75" style="30" customWidth="1"/>
    <col min="9345" max="9345" width="9.625" style="30" bestFit="1" customWidth="1"/>
    <col min="9346" max="9346" width="9.625" style="30" customWidth="1"/>
    <col min="9347" max="9348" width="11.25" style="30" customWidth="1"/>
    <col min="9349" max="9349" width="12" style="30" customWidth="1"/>
    <col min="9350" max="9351" width="10.625" style="30" customWidth="1"/>
    <col min="9352" max="9352" width="11" style="30" customWidth="1"/>
    <col min="9353" max="9353" width="10.625" style="30" customWidth="1"/>
    <col min="9354" max="9354" width="12.375" style="30" customWidth="1"/>
    <col min="9355" max="9355" width="12" style="30" customWidth="1"/>
    <col min="9356" max="9356" width="11.625" style="30" customWidth="1"/>
    <col min="9357" max="9357" width="10.5" style="30" customWidth="1"/>
    <col min="9358" max="9358" width="8.625" style="30" customWidth="1"/>
    <col min="9359" max="9359" width="11.25" style="30" customWidth="1"/>
    <col min="9360" max="9360" width="9.875" style="30" customWidth="1"/>
    <col min="9361" max="9361" width="11.125" style="30" customWidth="1"/>
    <col min="9362" max="9362" width="11.625" style="30" customWidth="1"/>
    <col min="9363" max="9363" width="12.625" style="30" customWidth="1"/>
    <col min="9364" max="9364" width="11.5" style="30" customWidth="1"/>
    <col min="9365" max="9365" width="9.375" style="30"/>
    <col min="9366" max="9366" width="13.125" style="30" customWidth="1"/>
    <col min="9367" max="9367" width="9.5" style="30" customWidth="1"/>
    <col min="9368" max="9368" width="11.625" style="30" customWidth="1"/>
    <col min="9369" max="9369" width="11.5" style="30" customWidth="1"/>
    <col min="9370" max="9370" width="9.625" style="30" customWidth="1"/>
    <col min="9371" max="9371" width="9.25" style="30" customWidth="1"/>
    <col min="9372" max="9372" width="8.75" style="30" customWidth="1"/>
    <col min="9373" max="9373" width="9" style="30" customWidth="1"/>
    <col min="9374" max="9374" width="8.625" style="30" customWidth="1"/>
    <col min="9375" max="9375" width="11.125" style="30" customWidth="1"/>
    <col min="9376" max="9376" width="11.25" style="30" customWidth="1"/>
    <col min="9377" max="9377" width="11.5" style="30" customWidth="1"/>
    <col min="9378" max="9379" width="9" style="30" customWidth="1"/>
    <col min="9380" max="9380" width="9.875" style="30" customWidth="1"/>
    <col min="9381" max="9381" width="9.25" style="30" customWidth="1"/>
    <col min="9382" max="9382" width="11.125" style="30" customWidth="1"/>
    <col min="9383" max="9383" width="11.375" style="30" customWidth="1"/>
    <col min="9384" max="9384" width="10.875" style="30" customWidth="1"/>
    <col min="9385" max="9385" width="8.375" style="30" customWidth="1"/>
    <col min="9386" max="9386" width="9.125" style="30" customWidth="1"/>
    <col min="9387" max="9388" width="9" style="30" customWidth="1"/>
    <col min="9389" max="9389" width="10.75" style="30" customWidth="1"/>
    <col min="9390" max="9390" width="10.625" style="30" customWidth="1"/>
    <col min="9391" max="9391" width="10.25" style="30" customWidth="1"/>
    <col min="9392" max="9392" width="8.125" style="30" customWidth="1"/>
    <col min="9393" max="9395" width="9" style="30" customWidth="1"/>
    <col min="9396" max="9396" width="11.375" style="30" customWidth="1"/>
    <col min="9397" max="9397" width="11.125" style="30" customWidth="1"/>
    <col min="9398" max="9398" width="14.5" style="30" customWidth="1"/>
    <col min="9399" max="9399" width="10.875" style="30" customWidth="1"/>
    <col min="9400" max="9400" width="8.5" style="30" customWidth="1"/>
    <col min="9401" max="9401" width="10.375" style="30" customWidth="1"/>
    <col min="9402" max="9402" width="9" style="30" customWidth="1"/>
    <col min="9403" max="9403" width="12" style="30" customWidth="1"/>
    <col min="9404" max="9411" width="10.875" style="30" customWidth="1"/>
    <col min="9412" max="9412" width="10.5" style="30" customWidth="1"/>
    <col min="9413" max="9413" width="11.875" style="30" customWidth="1"/>
    <col min="9414" max="9414" width="10.875" style="30" customWidth="1"/>
    <col min="9415" max="9416" width="9" style="30" customWidth="1"/>
    <col min="9417" max="9417" width="12.125" style="30" customWidth="1"/>
    <col min="9418" max="9418" width="9.625" style="30" customWidth="1"/>
    <col min="9419" max="9420" width="9" style="30" customWidth="1"/>
    <col min="9421" max="9421" width="12.625" style="30" customWidth="1"/>
    <col min="9422" max="9422" width="11" style="30" customWidth="1"/>
    <col min="9423" max="9423" width="11.75" style="30" bestFit="1" customWidth="1"/>
    <col min="9424" max="9424" width="11.875" style="30" customWidth="1"/>
    <col min="9425" max="9426" width="9" style="30" customWidth="1"/>
    <col min="9427" max="9427" width="12.25" style="30" customWidth="1"/>
    <col min="9428" max="9428" width="10.875" style="30" customWidth="1"/>
    <col min="9429" max="9429" width="9" style="30" customWidth="1"/>
    <col min="9430" max="9430" width="10.875" style="30" customWidth="1"/>
    <col min="9431" max="9431" width="10.5" style="30" customWidth="1"/>
    <col min="9432" max="9433" width="9" style="30" customWidth="1"/>
    <col min="9434" max="9434" width="12.625" style="30" customWidth="1"/>
    <col min="9435" max="9436" width="9" style="30" customWidth="1"/>
    <col min="9437" max="9437" width="12" style="30" customWidth="1"/>
    <col min="9438" max="9454" width="9" style="30" customWidth="1"/>
    <col min="9455" max="9455" width="12.375" style="30" customWidth="1"/>
    <col min="9456" max="9456" width="12.5" style="30" customWidth="1"/>
    <col min="9457" max="9457" width="11.875" style="30" customWidth="1"/>
    <col min="9458" max="9458" width="11.625" style="30" customWidth="1"/>
    <col min="9459" max="9459" width="12.125" style="30" customWidth="1"/>
    <col min="9460" max="9461" width="10.5" style="30" bestFit="1" customWidth="1"/>
    <col min="9462" max="9462" width="10.625" style="30" bestFit="1" customWidth="1"/>
    <col min="9463" max="9470" width="10.5" style="30" bestFit="1" customWidth="1"/>
    <col min="9471" max="9471" width="10.5" style="30" customWidth="1"/>
    <col min="9472" max="9472" width="10.5" style="30" bestFit="1" customWidth="1"/>
    <col min="9473" max="9473" width="11.5" style="30" customWidth="1"/>
    <col min="9474" max="9474" width="9.5" style="30" bestFit="1" customWidth="1"/>
    <col min="9475" max="9485" width="10.5" style="30" bestFit="1" customWidth="1"/>
    <col min="9486" max="9486" width="12.75" style="30" bestFit="1" customWidth="1"/>
    <col min="9487" max="9491" width="10.5" style="30" bestFit="1" customWidth="1"/>
    <col min="9492" max="9493" width="9.375" style="30"/>
    <col min="9494" max="9494" width="8.5" style="30" customWidth="1"/>
    <col min="9495" max="9495" width="8" style="30" customWidth="1"/>
    <col min="9496" max="9496" width="21.25" style="30" customWidth="1"/>
    <col min="9497" max="9497" width="16.25" style="30" customWidth="1"/>
    <col min="9498" max="9498" width="11.625" style="30" customWidth="1"/>
    <col min="9499" max="9499" width="13.625" style="30" customWidth="1"/>
    <col min="9500" max="9500" width="12.875" style="30" customWidth="1"/>
    <col min="9501" max="9501" width="15.5" style="30" customWidth="1"/>
    <col min="9502" max="9503" width="13.375" style="30" customWidth="1"/>
    <col min="9504" max="9504" width="14.375" style="30" customWidth="1"/>
    <col min="9505" max="9505" width="11.875" style="30" customWidth="1"/>
    <col min="9506" max="9507" width="14.25" style="30" customWidth="1"/>
    <col min="9508" max="9508" width="8.625" style="30" customWidth="1"/>
    <col min="9509" max="9509" width="10.625" style="30" customWidth="1"/>
    <col min="9510" max="9510" width="9.875" style="30" customWidth="1"/>
    <col min="9511" max="9511" width="14" style="30" customWidth="1"/>
    <col min="9512" max="9512" width="10.875" style="30" customWidth="1"/>
    <col min="9513" max="9513" width="12.375" style="30" customWidth="1"/>
    <col min="9514" max="9514" width="12" style="30" customWidth="1"/>
    <col min="9515" max="9515" width="13.625" style="30" customWidth="1"/>
    <col min="9516" max="9516" width="10" style="30" customWidth="1"/>
    <col min="9517" max="9517" width="9.625" style="30" customWidth="1"/>
    <col min="9518" max="9518" width="11.75" style="30" customWidth="1"/>
    <col min="9519" max="9519" width="11.375" style="30" customWidth="1"/>
    <col min="9520" max="9520" width="12.875" style="30" customWidth="1"/>
    <col min="9521" max="9521" width="13" style="30" customWidth="1"/>
    <col min="9522" max="9522" width="8.875" style="30" customWidth="1"/>
    <col min="9523" max="9523" width="13.125" style="30" customWidth="1"/>
    <col min="9524" max="9524" width="9.625" style="30" customWidth="1"/>
    <col min="9525" max="9525" width="12.875" style="30" customWidth="1"/>
    <col min="9526" max="9526" width="11.5" style="30" customWidth="1"/>
    <col min="9527" max="9527" width="9.75" style="30" customWidth="1"/>
    <col min="9528" max="9528" width="13.375" style="30" customWidth="1"/>
    <col min="9529" max="9529" width="12.125" style="30" customWidth="1"/>
    <col min="9530" max="9530" width="10.25" style="30" customWidth="1"/>
    <col min="9531" max="9531" width="11.625" style="30" bestFit="1" customWidth="1"/>
    <col min="9532" max="9532" width="9.875" style="30" customWidth="1"/>
    <col min="9533" max="9533" width="13.375" style="30" customWidth="1"/>
    <col min="9534" max="9534" width="11.5" style="30" customWidth="1"/>
    <col min="9535" max="9535" width="12" style="30" customWidth="1"/>
    <col min="9536" max="9536" width="9.125" style="30" customWidth="1"/>
    <col min="9537" max="9537" width="9" style="30" customWidth="1"/>
    <col min="9538" max="9538" width="12.875" style="30" bestFit="1" customWidth="1"/>
    <col min="9539" max="9540" width="12" style="30" customWidth="1"/>
    <col min="9541" max="9541" width="11.875" style="30" customWidth="1"/>
    <col min="9542" max="9542" width="11" style="30" customWidth="1"/>
    <col min="9543" max="9543" width="11.625" style="30" customWidth="1"/>
    <col min="9544" max="9544" width="8.875" style="30" customWidth="1"/>
    <col min="9545" max="9545" width="11.625" style="30" bestFit="1" customWidth="1"/>
    <col min="9546" max="9546" width="9.625" style="30" customWidth="1"/>
    <col min="9547" max="9547" width="12.125" style="30" customWidth="1"/>
    <col min="9548" max="9548" width="11.875" style="30" customWidth="1"/>
    <col min="9549" max="9549" width="13.375" style="30" customWidth="1"/>
    <col min="9550" max="9550" width="11.5" style="30" customWidth="1"/>
    <col min="9551" max="9551" width="9.25" style="30" customWidth="1"/>
    <col min="9552" max="9552" width="11.625" style="30" bestFit="1" customWidth="1"/>
    <col min="9553" max="9553" width="10.625" style="30" customWidth="1"/>
    <col min="9554" max="9554" width="12" style="30" customWidth="1"/>
    <col min="9555" max="9555" width="11.625" style="30" customWidth="1"/>
    <col min="9556" max="9556" width="14" style="30" customWidth="1"/>
    <col min="9557" max="9557" width="11.125" style="30" customWidth="1"/>
    <col min="9558" max="9558" width="9.75" style="30" customWidth="1"/>
    <col min="9559" max="9559" width="11.625" style="30" bestFit="1" customWidth="1"/>
    <col min="9560" max="9560" width="10.125" style="30" customWidth="1"/>
    <col min="9561" max="9561" width="11.625" style="30" customWidth="1"/>
    <col min="9562" max="9562" width="11.375" style="30" customWidth="1"/>
    <col min="9563" max="9563" width="12.375" style="30" customWidth="1"/>
    <col min="9564" max="9565" width="10.875" style="30" customWidth="1"/>
    <col min="9566" max="9566" width="10.5" style="30" bestFit="1" customWidth="1"/>
    <col min="9567" max="9567" width="9.625" style="30" customWidth="1"/>
    <col min="9568" max="9568" width="11.875" style="30" customWidth="1"/>
    <col min="9569" max="9569" width="11.75" style="30" customWidth="1"/>
    <col min="9570" max="9570" width="14.125" style="30" customWidth="1"/>
    <col min="9571" max="9571" width="13.125" style="30" customWidth="1"/>
    <col min="9572" max="9572" width="8.75" style="30" customWidth="1"/>
    <col min="9573" max="9573" width="11.5" style="30" bestFit="1" customWidth="1"/>
    <col min="9574" max="9574" width="9.625" style="30" customWidth="1"/>
    <col min="9575" max="9575" width="13.625" style="30" customWidth="1"/>
    <col min="9576" max="9576" width="11.5" style="30" customWidth="1"/>
    <col min="9577" max="9577" width="11.75" style="30" customWidth="1"/>
    <col min="9578" max="9578" width="9.875" style="30" customWidth="1"/>
    <col min="9579" max="9579" width="9" style="30" customWidth="1"/>
    <col min="9580" max="9580" width="9.625" style="30" bestFit="1" customWidth="1"/>
    <col min="9581" max="9581" width="12.625" style="30" customWidth="1"/>
    <col min="9582" max="9582" width="12.375" style="30" customWidth="1"/>
    <col min="9583" max="9583" width="11.625" style="30" customWidth="1"/>
    <col min="9584" max="9585" width="14.125" style="30" customWidth="1"/>
    <col min="9586" max="9586" width="9.125" style="30" customWidth="1"/>
    <col min="9587" max="9587" width="10.5" style="30" bestFit="1" customWidth="1"/>
    <col min="9588" max="9588" width="9.625" style="30" customWidth="1"/>
    <col min="9589" max="9589" width="14.25" style="30" customWidth="1"/>
    <col min="9590" max="9590" width="11.875" style="30" customWidth="1"/>
    <col min="9591" max="9591" width="11" style="30" customWidth="1"/>
    <col min="9592" max="9592" width="11.75" style="30" customWidth="1"/>
    <col min="9593" max="9593" width="11.25" style="30" customWidth="1"/>
    <col min="9594" max="9594" width="9.625" style="30" bestFit="1" customWidth="1"/>
    <col min="9595" max="9595" width="9.625" style="30" customWidth="1"/>
    <col min="9596" max="9596" width="14.125" style="30" customWidth="1"/>
    <col min="9597" max="9597" width="11.125" style="30" customWidth="1"/>
    <col min="9598" max="9598" width="11.25" style="30" customWidth="1"/>
    <col min="9599" max="9599" width="12" style="30" customWidth="1"/>
    <col min="9600" max="9600" width="8.75" style="30" customWidth="1"/>
    <col min="9601" max="9601" width="9.625" style="30" bestFit="1" customWidth="1"/>
    <col min="9602" max="9602" width="9.625" style="30" customWidth="1"/>
    <col min="9603" max="9604" width="11.25" style="30" customWidth="1"/>
    <col min="9605" max="9605" width="12" style="30" customWidth="1"/>
    <col min="9606" max="9607" width="10.625" style="30" customWidth="1"/>
    <col min="9608" max="9608" width="11" style="30" customWidth="1"/>
    <col min="9609" max="9609" width="10.625" style="30" customWidth="1"/>
    <col min="9610" max="9610" width="12.375" style="30" customWidth="1"/>
    <col min="9611" max="9611" width="12" style="30" customWidth="1"/>
    <col min="9612" max="9612" width="11.625" style="30" customWidth="1"/>
    <col min="9613" max="9613" width="10.5" style="30" customWidth="1"/>
    <col min="9614" max="9614" width="8.625" style="30" customWidth="1"/>
    <col min="9615" max="9615" width="11.25" style="30" customWidth="1"/>
    <col min="9616" max="9616" width="9.875" style="30" customWidth="1"/>
    <col min="9617" max="9617" width="11.125" style="30" customWidth="1"/>
    <col min="9618" max="9618" width="11.625" style="30" customWidth="1"/>
    <col min="9619" max="9619" width="12.625" style="30" customWidth="1"/>
    <col min="9620" max="9620" width="11.5" style="30" customWidth="1"/>
    <col min="9621" max="9621" width="9.375" style="30"/>
    <col min="9622" max="9622" width="13.125" style="30" customWidth="1"/>
    <col min="9623" max="9623" width="9.5" style="30" customWidth="1"/>
    <col min="9624" max="9624" width="11.625" style="30" customWidth="1"/>
    <col min="9625" max="9625" width="11.5" style="30" customWidth="1"/>
    <col min="9626" max="9626" width="9.625" style="30" customWidth="1"/>
    <col min="9627" max="9627" width="9.25" style="30" customWidth="1"/>
    <col min="9628" max="9628" width="8.75" style="30" customWidth="1"/>
    <col min="9629" max="9629" width="9" style="30" customWidth="1"/>
    <col min="9630" max="9630" width="8.625" style="30" customWidth="1"/>
    <col min="9631" max="9631" width="11.125" style="30" customWidth="1"/>
    <col min="9632" max="9632" width="11.25" style="30" customWidth="1"/>
    <col min="9633" max="9633" width="11.5" style="30" customWidth="1"/>
    <col min="9634" max="9635" width="9" style="30" customWidth="1"/>
    <col min="9636" max="9636" width="9.875" style="30" customWidth="1"/>
    <col min="9637" max="9637" width="9.25" style="30" customWidth="1"/>
    <col min="9638" max="9638" width="11.125" style="30" customWidth="1"/>
    <col min="9639" max="9639" width="11.375" style="30" customWidth="1"/>
    <col min="9640" max="9640" width="10.875" style="30" customWidth="1"/>
    <col min="9641" max="9641" width="8.375" style="30" customWidth="1"/>
    <col min="9642" max="9642" width="9.125" style="30" customWidth="1"/>
    <col min="9643" max="9644" width="9" style="30" customWidth="1"/>
    <col min="9645" max="9645" width="10.75" style="30" customWidth="1"/>
    <col min="9646" max="9646" width="10.625" style="30" customWidth="1"/>
    <col min="9647" max="9647" width="10.25" style="30" customWidth="1"/>
    <col min="9648" max="9648" width="8.125" style="30" customWidth="1"/>
    <col min="9649" max="9651" width="9" style="30" customWidth="1"/>
    <col min="9652" max="9652" width="11.375" style="30" customWidth="1"/>
    <col min="9653" max="9653" width="11.125" style="30" customWidth="1"/>
    <col min="9654" max="9654" width="14.5" style="30" customWidth="1"/>
    <col min="9655" max="9655" width="10.875" style="30" customWidth="1"/>
    <col min="9656" max="9656" width="8.5" style="30" customWidth="1"/>
    <col min="9657" max="9657" width="10.375" style="30" customWidth="1"/>
    <col min="9658" max="9658" width="9" style="30" customWidth="1"/>
    <col min="9659" max="9659" width="12" style="30" customWidth="1"/>
    <col min="9660" max="9667" width="10.875" style="30" customWidth="1"/>
    <col min="9668" max="9668" width="10.5" style="30" customWidth="1"/>
    <col min="9669" max="9669" width="11.875" style="30" customWidth="1"/>
    <col min="9670" max="9670" width="10.875" style="30" customWidth="1"/>
    <col min="9671" max="9672" width="9" style="30" customWidth="1"/>
    <col min="9673" max="9673" width="12.125" style="30" customWidth="1"/>
    <col min="9674" max="9674" width="9.625" style="30" customWidth="1"/>
    <col min="9675" max="9676" width="9" style="30" customWidth="1"/>
    <col min="9677" max="9677" width="12.625" style="30" customWidth="1"/>
    <col min="9678" max="9678" width="11" style="30" customWidth="1"/>
    <col min="9679" max="9679" width="11.75" style="30" bestFit="1" customWidth="1"/>
    <col min="9680" max="9680" width="11.875" style="30" customWidth="1"/>
    <col min="9681" max="9682" width="9" style="30" customWidth="1"/>
    <col min="9683" max="9683" width="12.25" style="30" customWidth="1"/>
    <col min="9684" max="9684" width="10.875" style="30" customWidth="1"/>
    <col min="9685" max="9685" width="9" style="30" customWidth="1"/>
    <col min="9686" max="9686" width="10.875" style="30" customWidth="1"/>
    <col min="9687" max="9687" width="10.5" style="30" customWidth="1"/>
    <col min="9688" max="9689" width="9" style="30" customWidth="1"/>
    <col min="9690" max="9690" width="12.625" style="30" customWidth="1"/>
    <col min="9691" max="9692" width="9" style="30" customWidth="1"/>
    <col min="9693" max="9693" width="12" style="30" customWidth="1"/>
    <col min="9694" max="9710" width="9" style="30" customWidth="1"/>
    <col min="9711" max="9711" width="12.375" style="30" customWidth="1"/>
    <col min="9712" max="9712" width="12.5" style="30" customWidth="1"/>
    <col min="9713" max="9713" width="11.875" style="30" customWidth="1"/>
    <col min="9714" max="9714" width="11.625" style="30" customWidth="1"/>
    <col min="9715" max="9715" width="12.125" style="30" customWidth="1"/>
    <col min="9716" max="9717" width="10.5" style="30" bestFit="1" customWidth="1"/>
    <col min="9718" max="9718" width="10.625" style="30" bestFit="1" customWidth="1"/>
    <col min="9719" max="9726" width="10.5" style="30" bestFit="1" customWidth="1"/>
    <col min="9727" max="9727" width="10.5" style="30" customWidth="1"/>
    <col min="9728" max="9728" width="10.5" style="30" bestFit="1" customWidth="1"/>
    <col min="9729" max="9729" width="11.5" style="30" customWidth="1"/>
    <col min="9730" max="9730" width="9.5" style="30" bestFit="1" customWidth="1"/>
    <col min="9731" max="9741" width="10.5" style="30" bestFit="1" customWidth="1"/>
    <col min="9742" max="9742" width="12.75" style="30" bestFit="1" customWidth="1"/>
    <col min="9743" max="9747" width="10.5" style="30" bestFit="1" customWidth="1"/>
    <col min="9748" max="9749" width="9.375" style="30"/>
    <col min="9750" max="9750" width="8.5" style="30" customWidth="1"/>
    <col min="9751" max="9751" width="8" style="30" customWidth="1"/>
    <col min="9752" max="9752" width="21.25" style="30" customWidth="1"/>
    <col min="9753" max="9753" width="16.25" style="30" customWidth="1"/>
    <col min="9754" max="9754" width="11.625" style="30" customWidth="1"/>
    <col min="9755" max="9755" width="13.625" style="30" customWidth="1"/>
    <col min="9756" max="9756" width="12.875" style="30" customWidth="1"/>
    <col min="9757" max="9757" width="15.5" style="30" customWidth="1"/>
    <col min="9758" max="9759" width="13.375" style="30" customWidth="1"/>
    <col min="9760" max="9760" width="14.375" style="30" customWidth="1"/>
    <col min="9761" max="9761" width="11.875" style="30" customWidth="1"/>
    <col min="9762" max="9763" width="14.25" style="30" customWidth="1"/>
    <col min="9764" max="9764" width="8.625" style="30" customWidth="1"/>
    <col min="9765" max="9765" width="10.625" style="30" customWidth="1"/>
    <col min="9766" max="9766" width="9.875" style="30" customWidth="1"/>
    <col min="9767" max="9767" width="14" style="30" customWidth="1"/>
    <col min="9768" max="9768" width="10.875" style="30" customWidth="1"/>
    <col min="9769" max="9769" width="12.375" style="30" customWidth="1"/>
    <col min="9770" max="9770" width="12" style="30" customWidth="1"/>
    <col min="9771" max="9771" width="13.625" style="30" customWidth="1"/>
    <col min="9772" max="9772" width="10" style="30" customWidth="1"/>
    <col min="9773" max="9773" width="9.625" style="30" customWidth="1"/>
    <col min="9774" max="9774" width="11.75" style="30" customWidth="1"/>
    <col min="9775" max="9775" width="11.375" style="30" customWidth="1"/>
    <col min="9776" max="9776" width="12.875" style="30" customWidth="1"/>
    <col min="9777" max="9777" width="13" style="30" customWidth="1"/>
    <col min="9778" max="9778" width="8.875" style="30" customWidth="1"/>
    <col min="9779" max="9779" width="13.125" style="30" customWidth="1"/>
    <col min="9780" max="9780" width="9.625" style="30" customWidth="1"/>
    <col min="9781" max="9781" width="12.875" style="30" customWidth="1"/>
    <col min="9782" max="9782" width="11.5" style="30" customWidth="1"/>
    <col min="9783" max="9783" width="9.75" style="30" customWidth="1"/>
    <col min="9784" max="9784" width="13.375" style="30" customWidth="1"/>
    <col min="9785" max="9785" width="12.125" style="30" customWidth="1"/>
    <col min="9786" max="9786" width="10.25" style="30" customWidth="1"/>
    <col min="9787" max="9787" width="11.625" style="30" bestFit="1" customWidth="1"/>
    <col min="9788" max="9788" width="9.875" style="30" customWidth="1"/>
    <col min="9789" max="9789" width="13.375" style="30" customWidth="1"/>
    <col min="9790" max="9790" width="11.5" style="30" customWidth="1"/>
    <col min="9791" max="9791" width="12" style="30" customWidth="1"/>
    <col min="9792" max="9792" width="9.125" style="30" customWidth="1"/>
    <col min="9793" max="9793" width="9" style="30" customWidth="1"/>
    <col min="9794" max="9794" width="12.875" style="30" bestFit="1" customWidth="1"/>
    <col min="9795" max="9796" width="12" style="30" customWidth="1"/>
    <col min="9797" max="9797" width="11.875" style="30" customWidth="1"/>
    <col min="9798" max="9798" width="11" style="30" customWidth="1"/>
    <col min="9799" max="9799" width="11.625" style="30" customWidth="1"/>
    <col min="9800" max="9800" width="8.875" style="30" customWidth="1"/>
    <col min="9801" max="9801" width="11.625" style="30" bestFit="1" customWidth="1"/>
    <col min="9802" max="9802" width="9.625" style="30" customWidth="1"/>
    <col min="9803" max="9803" width="12.125" style="30" customWidth="1"/>
    <col min="9804" max="9804" width="11.875" style="30" customWidth="1"/>
    <col min="9805" max="9805" width="13.375" style="30" customWidth="1"/>
    <col min="9806" max="9806" width="11.5" style="30" customWidth="1"/>
    <col min="9807" max="9807" width="9.25" style="30" customWidth="1"/>
    <col min="9808" max="9808" width="11.625" style="30" bestFit="1" customWidth="1"/>
    <col min="9809" max="9809" width="10.625" style="30" customWidth="1"/>
    <col min="9810" max="9810" width="12" style="30" customWidth="1"/>
    <col min="9811" max="9811" width="11.625" style="30" customWidth="1"/>
    <col min="9812" max="9812" width="14" style="30" customWidth="1"/>
    <col min="9813" max="9813" width="11.125" style="30" customWidth="1"/>
    <col min="9814" max="9814" width="9.75" style="30" customWidth="1"/>
    <col min="9815" max="9815" width="11.625" style="30" bestFit="1" customWidth="1"/>
    <col min="9816" max="9816" width="10.125" style="30" customWidth="1"/>
    <col min="9817" max="9817" width="11.625" style="30" customWidth="1"/>
    <col min="9818" max="9818" width="11.375" style="30" customWidth="1"/>
    <col min="9819" max="9819" width="12.375" style="30" customWidth="1"/>
    <col min="9820" max="9821" width="10.875" style="30" customWidth="1"/>
    <col min="9822" max="9822" width="10.5" style="30" bestFit="1" customWidth="1"/>
    <col min="9823" max="9823" width="9.625" style="30" customWidth="1"/>
    <col min="9824" max="9824" width="11.875" style="30" customWidth="1"/>
    <col min="9825" max="9825" width="11.75" style="30" customWidth="1"/>
    <col min="9826" max="9826" width="14.125" style="30" customWidth="1"/>
    <col min="9827" max="9827" width="13.125" style="30" customWidth="1"/>
    <col min="9828" max="9828" width="8.75" style="30" customWidth="1"/>
    <col min="9829" max="9829" width="11.5" style="30" bestFit="1" customWidth="1"/>
    <col min="9830" max="9830" width="9.625" style="30" customWidth="1"/>
    <col min="9831" max="9831" width="13.625" style="30" customWidth="1"/>
    <col min="9832" max="9832" width="11.5" style="30" customWidth="1"/>
    <col min="9833" max="9833" width="11.75" style="30" customWidth="1"/>
    <col min="9834" max="9834" width="9.875" style="30" customWidth="1"/>
    <col min="9835" max="9835" width="9" style="30" customWidth="1"/>
    <col min="9836" max="9836" width="9.625" style="30" bestFit="1" customWidth="1"/>
    <col min="9837" max="9837" width="12.625" style="30" customWidth="1"/>
    <col min="9838" max="9838" width="12.375" style="30" customWidth="1"/>
    <col min="9839" max="9839" width="11.625" style="30" customWidth="1"/>
    <col min="9840" max="9841" width="14.125" style="30" customWidth="1"/>
    <col min="9842" max="9842" width="9.125" style="30" customWidth="1"/>
    <col min="9843" max="9843" width="10.5" style="30" bestFit="1" customWidth="1"/>
    <col min="9844" max="9844" width="9.625" style="30" customWidth="1"/>
    <col min="9845" max="9845" width="14.25" style="30" customWidth="1"/>
    <col min="9846" max="9846" width="11.875" style="30" customWidth="1"/>
    <col min="9847" max="9847" width="11" style="30" customWidth="1"/>
    <col min="9848" max="9848" width="11.75" style="30" customWidth="1"/>
    <col min="9849" max="9849" width="11.25" style="30" customWidth="1"/>
    <col min="9850" max="9850" width="9.625" style="30" bestFit="1" customWidth="1"/>
    <col min="9851" max="9851" width="9.625" style="30" customWidth="1"/>
    <col min="9852" max="9852" width="14.125" style="30" customWidth="1"/>
    <col min="9853" max="9853" width="11.125" style="30" customWidth="1"/>
    <col min="9854" max="9854" width="11.25" style="30" customWidth="1"/>
    <col min="9855" max="9855" width="12" style="30" customWidth="1"/>
    <col min="9856" max="9856" width="8.75" style="30" customWidth="1"/>
    <col min="9857" max="9857" width="9.625" style="30" bestFit="1" customWidth="1"/>
    <col min="9858" max="9858" width="9.625" style="30" customWidth="1"/>
    <col min="9859" max="9860" width="11.25" style="30" customWidth="1"/>
    <col min="9861" max="9861" width="12" style="30" customWidth="1"/>
    <col min="9862" max="9863" width="10.625" style="30" customWidth="1"/>
    <col min="9864" max="9864" width="11" style="30" customWidth="1"/>
    <col min="9865" max="9865" width="10.625" style="30" customWidth="1"/>
    <col min="9866" max="9866" width="12.375" style="30" customWidth="1"/>
    <col min="9867" max="9867" width="12" style="30" customWidth="1"/>
    <col min="9868" max="9868" width="11.625" style="30" customWidth="1"/>
    <col min="9869" max="9869" width="10.5" style="30" customWidth="1"/>
    <col min="9870" max="9870" width="8.625" style="30" customWidth="1"/>
    <col min="9871" max="9871" width="11.25" style="30" customWidth="1"/>
    <col min="9872" max="9872" width="9.875" style="30" customWidth="1"/>
    <col min="9873" max="9873" width="11.125" style="30" customWidth="1"/>
    <col min="9874" max="9874" width="11.625" style="30" customWidth="1"/>
    <col min="9875" max="9875" width="12.625" style="30" customWidth="1"/>
    <col min="9876" max="9876" width="11.5" style="30" customWidth="1"/>
    <col min="9877" max="9877" width="9.375" style="30"/>
    <col min="9878" max="9878" width="13.125" style="30" customWidth="1"/>
    <col min="9879" max="9879" width="9.5" style="30" customWidth="1"/>
    <col min="9880" max="9880" width="11.625" style="30" customWidth="1"/>
    <col min="9881" max="9881" width="11.5" style="30" customWidth="1"/>
    <col min="9882" max="9882" width="9.625" style="30" customWidth="1"/>
    <col min="9883" max="9883" width="9.25" style="30" customWidth="1"/>
    <col min="9884" max="9884" width="8.75" style="30" customWidth="1"/>
    <col min="9885" max="9885" width="9" style="30" customWidth="1"/>
    <col min="9886" max="9886" width="8.625" style="30" customWidth="1"/>
    <col min="9887" max="9887" width="11.125" style="30" customWidth="1"/>
    <col min="9888" max="9888" width="11.25" style="30" customWidth="1"/>
    <col min="9889" max="9889" width="11.5" style="30" customWidth="1"/>
    <col min="9890" max="9891" width="9" style="30" customWidth="1"/>
    <col min="9892" max="9892" width="9.875" style="30" customWidth="1"/>
    <col min="9893" max="9893" width="9.25" style="30" customWidth="1"/>
    <col min="9894" max="9894" width="11.125" style="30" customWidth="1"/>
    <col min="9895" max="9895" width="11.375" style="30" customWidth="1"/>
    <col min="9896" max="9896" width="10.875" style="30" customWidth="1"/>
    <col min="9897" max="9897" width="8.375" style="30" customWidth="1"/>
    <col min="9898" max="9898" width="9.125" style="30" customWidth="1"/>
    <col min="9899" max="9900" width="9" style="30" customWidth="1"/>
    <col min="9901" max="9901" width="10.75" style="30" customWidth="1"/>
    <col min="9902" max="9902" width="10.625" style="30" customWidth="1"/>
    <col min="9903" max="9903" width="10.25" style="30" customWidth="1"/>
    <col min="9904" max="9904" width="8.125" style="30" customWidth="1"/>
    <col min="9905" max="9907" width="9" style="30" customWidth="1"/>
    <col min="9908" max="9908" width="11.375" style="30" customWidth="1"/>
    <col min="9909" max="9909" width="11.125" style="30" customWidth="1"/>
    <col min="9910" max="9910" width="14.5" style="30" customWidth="1"/>
    <col min="9911" max="9911" width="10.875" style="30" customWidth="1"/>
    <col min="9912" max="9912" width="8.5" style="30" customWidth="1"/>
    <col min="9913" max="9913" width="10.375" style="30" customWidth="1"/>
    <col min="9914" max="9914" width="9" style="30" customWidth="1"/>
    <col min="9915" max="9915" width="12" style="30" customWidth="1"/>
    <col min="9916" max="9923" width="10.875" style="30" customWidth="1"/>
    <col min="9924" max="9924" width="10.5" style="30" customWidth="1"/>
    <col min="9925" max="9925" width="11.875" style="30" customWidth="1"/>
    <col min="9926" max="9926" width="10.875" style="30" customWidth="1"/>
    <col min="9927" max="9928" width="9" style="30" customWidth="1"/>
    <col min="9929" max="9929" width="12.125" style="30" customWidth="1"/>
    <col min="9930" max="9930" width="9.625" style="30" customWidth="1"/>
    <col min="9931" max="9932" width="9" style="30" customWidth="1"/>
    <col min="9933" max="9933" width="12.625" style="30" customWidth="1"/>
    <col min="9934" max="9934" width="11" style="30" customWidth="1"/>
    <col min="9935" max="9935" width="11.75" style="30" bestFit="1" customWidth="1"/>
    <col min="9936" max="9936" width="11.875" style="30" customWidth="1"/>
    <col min="9937" max="9938" width="9" style="30" customWidth="1"/>
    <col min="9939" max="9939" width="12.25" style="30" customWidth="1"/>
    <col min="9940" max="9940" width="10.875" style="30" customWidth="1"/>
    <col min="9941" max="9941" width="9" style="30" customWidth="1"/>
    <col min="9942" max="9942" width="10.875" style="30" customWidth="1"/>
    <col min="9943" max="9943" width="10.5" style="30" customWidth="1"/>
    <col min="9944" max="9945" width="9" style="30" customWidth="1"/>
    <col min="9946" max="9946" width="12.625" style="30" customWidth="1"/>
    <col min="9947" max="9948" width="9" style="30" customWidth="1"/>
    <col min="9949" max="9949" width="12" style="30" customWidth="1"/>
    <col min="9950" max="9966" width="9" style="30" customWidth="1"/>
    <col min="9967" max="9967" width="12.375" style="30" customWidth="1"/>
    <col min="9968" max="9968" width="12.5" style="30" customWidth="1"/>
    <col min="9969" max="9969" width="11.875" style="30" customWidth="1"/>
    <col min="9970" max="9970" width="11.625" style="30" customWidth="1"/>
    <col min="9971" max="9971" width="12.125" style="30" customWidth="1"/>
    <col min="9972" max="9973" width="10.5" style="30" bestFit="1" customWidth="1"/>
    <col min="9974" max="9974" width="10.625" style="30" bestFit="1" customWidth="1"/>
    <col min="9975" max="9982" width="10.5" style="30" bestFit="1" customWidth="1"/>
    <col min="9983" max="9983" width="10.5" style="30" customWidth="1"/>
    <col min="9984" max="9984" width="10.5" style="30" bestFit="1" customWidth="1"/>
    <col min="9985" max="9985" width="11.5" style="30" customWidth="1"/>
    <col min="9986" max="9986" width="9.5" style="30" bestFit="1" customWidth="1"/>
    <col min="9987" max="9997" width="10.5" style="30" bestFit="1" customWidth="1"/>
    <col min="9998" max="9998" width="12.75" style="30" bestFit="1" customWidth="1"/>
    <col min="9999" max="10003" width="10.5" style="30" bestFit="1" customWidth="1"/>
    <col min="10004" max="10005" width="9.375" style="30"/>
    <col min="10006" max="10006" width="8.5" style="30" customWidth="1"/>
    <col min="10007" max="10007" width="8" style="30" customWidth="1"/>
    <col min="10008" max="10008" width="21.25" style="30" customWidth="1"/>
    <col min="10009" max="10009" width="16.25" style="30" customWidth="1"/>
    <col min="10010" max="10010" width="11.625" style="30" customWidth="1"/>
    <col min="10011" max="10011" width="13.625" style="30" customWidth="1"/>
    <col min="10012" max="10012" width="12.875" style="30" customWidth="1"/>
    <col min="10013" max="10013" width="15.5" style="30" customWidth="1"/>
    <col min="10014" max="10015" width="13.375" style="30" customWidth="1"/>
    <col min="10016" max="10016" width="14.375" style="30" customWidth="1"/>
    <col min="10017" max="10017" width="11.875" style="30" customWidth="1"/>
    <col min="10018" max="10019" width="14.25" style="30" customWidth="1"/>
    <col min="10020" max="10020" width="8.625" style="30" customWidth="1"/>
    <col min="10021" max="10021" width="10.625" style="30" customWidth="1"/>
    <col min="10022" max="10022" width="9.875" style="30" customWidth="1"/>
    <col min="10023" max="10023" width="14" style="30" customWidth="1"/>
    <col min="10024" max="10024" width="10.875" style="30" customWidth="1"/>
    <col min="10025" max="10025" width="12.375" style="30" customWidth="1"/>
    <col min="10026" max="10026" width="12" style="30" customWidth="1"/>
    <col min="10027" max="10027" width="13.625" style="30" customWidth="1"/>
    <col min="10028" max="10028" width="10" style="30" customWidth="1"/>
    <col min="10029" max="10029" width="9.625" style="30" customWidth="1"/>
    <col min="10030" max="10030" width="11.75" style="30" customWidth="1"/>
    <col min="10031" max="10031" width="11.375" style="30" customWidth="1"/>
    <col min="10032" max="10032" width="12.875" style="30" customWidth="1"/>
    <col min="10033" max="10033" width="13" style="30" customWidth="1"/>
    <col min="10034" max="10034" width="8.875" style="30" customWidth="1"/>
    <col min="10035" max="10035" width="13.125" style="30" customWidth="1"/>
    <col min="10036" max="10036" width="9.625" style="30" customWidth="1"/>
    <col min="10037" max="10037" width="12.875" style="30" customWidth="1"/>
    <col min="10038" max="10038" width="11.5" style="30" customWidth="1"/>
    <col min="10039" max="10039" width="9.75" style="30" customWidth="1"/>
    <col min="10040" max="10040" width="13.375" style="30" customWidth="1"/>
    <col min="10041" max="10041" width="12.125" style="30" customWidth="1"/>
    <col min="10042" max="10042" width="10.25" style="30" customWidth="1"/>
    <col min="10043" max="10043" width="11.625" style="30" bestFit="1" customWidth="1"/>
    <col min="10044" max="10044" width="9.875" style="30" customWidth="1"/>
    <col min="10045" max="10045" width="13.375" style="30" customWidth="1"/>
    <col min="10046" max="10046" width="11.5" style="30" customWidth="1"/>
    <col min="10047" max="10047" width="12" style="30" customWidth="1"/>
    <col min="10048" max="10048" width="9.125" style="30" customWidth="1"/>
    <col min="10049" max="10049" width="9" style="30" customWidth="1"/>
    <col min="10050" max="10050" width="12.875" style="30" bestFit="1" customWidth="1"/>
    <col min="10051" max="10052" width="12" style="30" customWidth="1"/>
    <col min="10053" max="10053" width="11.875" style="30" customWidth="1"/>
    <col min="10054" max="10054" width="11" style="30" customWidth="1"/>
    <col min="10055" max="10055" width="11.625" style="30" customWidth="1"/>
    <col min="10056" max="10056" width="8.875" style="30" customWidth="1"/>
    <col min="10057" max="10057" width="11.625" style="30" bestFit="1" customWidth="1"/>
    <col min="10058" max="10058" width="9.625" style="30" customWidth="1"/>
    <col min="10059" max="10059" width="12.125" style="30" customWidth="1"/>
    <col min="10060" max="10060" width="11.875" style="30" customWidth="1"/>
    <col min="10061" max="10061" width="13.375" style="30" customWidth="1"/>
    <col min="10062" max="10062" width="11.5" style="30" customWidth="1"/>
    <col min="10063" max="10063" width="9.25" style="30" customWidth="1"/>
    <col min="10064" max="10064" width="11.625" style="30" bestFit="1" customWidth="1"/>
    <col min="10065" max="10065" width="10.625" style="30" customWidth="1"/>
    <col min="10066" max="10066" width="12" style="30" customWidth="1"/>
    <col min="10067" max="10067" width="11.625" style="30" customWidth="1"/>
    <col min="10068" max="10068" width="14" style="30" customWidth="1"/>
    <col min="10069" max="10069" width="11.125" style="30" customWidth="1"/>
    <col min="10070" max="10070" width="9.75" style="30" customWidth="1"/>
    <col min="10071" max="10071" width="11.625" style="30" bestFit="1" customWidth="1"/>
    <col min="10072" max="10072" width="10.125" style="30" customWidth="1"/>
    <col min="10073" max="10073" width="11.625" style="30" customWidth="1"/>
    <col min="10074" max="10074" width="11.375" style="30" customWidth="1"/>
    <col min="10075" max="10075" width="12.375" style="30" customWidth="1"/>
    <col min="10076" max="10077" width="10.875" style="30" customWidth="1"/>
    <col min="10078" max="10078" width="10.5" style="30" bestFit="1" customWidth="1"/>
    <col min="10079" max="10079" width="9.625" style="30" customWidth="1"/>
    <col min="10080" max="10080" width="11.875" style="30" customWidth="1"/>
    <col min="10081" max="10081" width="11.75" style="30" customWidth="1"/>
    <col min="10082" max="10082" width="14.125" style="30" customWidth="1"/>
    <col min="10083" max="10083" width="13.125" style="30" customWidth="1"/>
    <col min="10084" max="10084" width="8.75" style="30" customWidth="1"/>
    <col min="10085" max="10085" width="11.5" style="30" bestFit="1" customWidth="1"/>
    <col min="10086" max="10086" width="9.625" style="30" customWidth="1"/>
    <col min="10087" max="10087" width="13.625" style="30" customWidth="1"/>
    <col min="10088" max="10088" width="11.5" style="30" customWidth="1"/>
    <col min="10089" max="10089" width="11.75" style="30" customWidth="1"/>
    <col min="10090" max="10090" width="9.875" style="30" customWidth="1"/>
    <col min="10091" max="10091" width="9" style="30" customWidth="1"/>
    <col min="10092" max="10092" width="9.625" style="30" bestFit="1" customWidth="1"/>
    <col min="10093" max="10093" width="12.625" style="30" customWidth="1"/>
    <col min="10094" max="10094" width="12.375" style="30" customWidth="1"/>
    <col min="10095" max="10095" width="11.625" style="30" customWidth="1"/>
    <col min="10096" max="10097" width="14.125" style="30" customWidth="1"/>
    <col min="10098" max="10098" width="9.125" style="30" customWidth="1"/>
    <col min="10099" max="10099" width="10.5" style="30" bestFit="1" customWidth="1"/>
    <col min="10100" max="10100" width="9.625" style="30" customWidth="1"/>
    <col min="10101" max="10101" width="14.25" style="30" customWidth="1"/>
    <col min="10102" max="10102" width="11.875" style="30" customWidth="1"/>
    <col min="10103" max="10103" width="11" style="30" customWidth="1"/>
    <col min="10104" max="10104" width="11.75" style="30" customWidth="1"/>
    <col min="10105" max="10105" width="11.25" style="30" customWidth="1"/>
    <col min="10106" max="10106" width="9.625" style="30" bestFit="1" customWidth="1"/>
    <col min="10107" max="10107" width="9.625" style="30" customWidth="1"/>
    <col min="10108" max="10108" width="14.125" style="30" customWidth="1"/>
    <col min="10109" max="10109" width="11.125" style="30" customWidth="1"/>
    <col min="10110" max="10110" width="11.25" style="30" customWidth="1"/>
    <col min="10111" max="10111" width="12" style="30" customWidth="1"/>
    <col min="10112" max="10112" width="8.75" style="30" customWidth="1"/>
    <col min="10113" max="10113" width="9.625" style="30" bestFit="1" customWidth="1"/>
    <col min="10114" max="10114" width="9.625" style="30" customWidth="1"/>
    <col min="10115" max="10116" width="11.25" style="30" customWidth="1"/>
    <col min="10117" max="10117" width="12" style="30" customWidth="1"/>
    <col min="10118" max="10119" width="10.625" style="30" customWidth="1"/>
    <col min="10120" max="10120" width="11" style="30" customWidth="1"/>
    <col min="10121" max="10121" width="10.625" style="30" customWidth="1"/>
    <col min="10122" max="10122" width="12.375" style="30" customWidth="1"/>
    <col min="10123" max="10123" width="12" style="30" customWidth="1"/>
    <col min="10124" max="10124" width="11.625" style="30" customWidth="1"/>
    <col min="10125" max="10125" width="10.5" style="30" customWidth="1"/>
    <col min="10126" max="10126" width="8.625" style="30" customWidth="1"/>
    <col min="10127" max="10127" width="11.25" style="30" customWidth="1"/>
    <col min="10128" max="10128" width="9.875" style="30" customWidth="1"/>
    <col min="10129" max="10129" width="11.125" style="30" customWidth="1"/>
    <col min="10130" max="10130" width="11.625" style="30" customWidth="1"/>
    <col min="10131" max="10131" width="12.625" style="30" customWidth="1"/>
    <col min="10132" max="10132" width="11.5" style="30" customWidth="1"/>
    <col min="10133" max="10133" width="9.375" style="30"/>
    <col min="10134" max="10134" width="13.125" style="30" customWidth="1"/>
    <col min="10135" max="10135" width="9.5" style="30" customWidth="1"/>
    <col min="10136" max="10136" width="11.625" style="30" customWidth="1"/>
    <col min="10137" max="10137" width="11.5" style="30" customWidth="1"/>
    <col min="10138" max="10138" width="9.625" style="30" customWidth="1"/>
    <col min="10139" max="10139" width="9.25" style="30" customWidth="1"/>
    <col min="10140" max="10140" width="8.75" style="30" customWidth="1"/>
    <col min="10141" max="10141" width="9" style="30" customWidth="1"/>
    <col min="10142" max="10142" width="8.625" style="30" customWidth="1"/>
    <col min="10143" max="10143" width="11.125" style="30" customWidth="1"/>
    <col min="10144" max="10144" width="11.25" style="30" customWidth="1"/>
    <col min="10145" max="10145" width="11.5" style="30" customWidth="1"/>
    <col min="10146" max="10147" width="9" style="30" customWidth="1"/>
    <col min="10148" max="10148" width="9.875" style="30" customWidth="1"/>
    <col min="10149" max="10149" width="9.25" style="30" customWidth="1"/>
    <col min="10150" max="10150" width="11.125" style="30" customWidth="1"/>
    <col min="10151" max="10151" width="11.375" style="30" customWidth="1"/>
    <col min="10152" max="10152" width="10.875" style="30" customWidth="1"/>
    <col min="10153" max="10153" width="8.375" style="30" customWidth="1"/>
    <col min="10154" max="10154" width="9.125" style="30" customWidth="1"/>
    <col min="10155" max="10156" width="9" style="30" customWidth="1"/>
    <col min="10157" max="10157" width="10.75" style="30" customWidth="1"/>
    <col min="10158" max="10158" width="10.625" style="30" customWidth="1"/>
    <col min="10159" max="10159" width="10.25" style="30" customWidth="1"/>
    <col min="10160" max="10160" width="8.125" style="30" customWidth="1"/>
    <col min="10161" max="10163" width="9" style="30" customWidth="1"/>
    <col min="10164" max="10164" width="11.375" style="30" customWidth="1"/>
    <col min="10165" max="10165" width="11.125" style="30" customWidth="1"/>
    <col min="10166" max="10166" width="14.5" style="30" customWidth="1"/>
    <col min="10167" max="10167" width="10.875" style="30" customWidth="1"/>
    <col min="10168" max="10168" width="8.5" style="30" customWidth="1"/>
    <col min="10169" max="10169" width="10.375" style="30" customWidth="1"/>
    <col min="10170" max="10170" width="9" style="30" customWidth="1"/>
    <col min="10171" max="10171" width="12" style="30" customWidth="1"/>
    <col min="10172" max="10179" width="10.875" style="30" customWidth="1"/>
    <col min="10180" max="10180" width="10.5" style="30" customWidth="1"/>
    <col min="10181" max="10181" width="11.875" style="30" customWidth="1"/>
    <col min="10182" max="10182" width="10.875" style="30" customWidth="1"/>
    <col min="10183" max="10184" width="9" style="30" customWidth="1"/>
    <col min="10185" max="10185" width="12.125" style="30" customWidth="1"/>
    <col min="10186" max="10186" width="9.625" style="30" customWidth="1"/>
    <col min="10187" max="10188" width="9" style="30" customWidth="1"/>
    <col min="10189" max="10189" width="12.625" style="30" customWidth="1"/>
    <col min="10190" max="10190" width="11" style="30" customWidth="1"/>
    <col min="10191" max="10191" width="11.75" style="30" bestFit="1" customWidth="1"/>
    <col min="10192" max="10192" width="11.875" style="30" customWidth="1"/>
    <col min="10193" max="10194" width="9" style="30" customWidth="1"/>
    <col min="10195" max="10195" width="12.25" style="30" customWidth="1"/>
    <col min="10196" max="10196" width="10.875" style="30" customWidth="1"/>
    <col min="10197" max="10197" width="9" style="30" customWidth="1"/>
    <col min="10198" max="10198" width="10.875" style="30" customWidth="1"/>
    <col min="10199" max="10199" width="10.5" style="30" customWidth="1"/>
    <col min="10200" max="10201" width="9" style="30" customWidth="1"/>
    <col min="10202" max="10202" width="12.625" style="30" customWidth="1"/>
    <col min="10203" max="10204" width="9" style="30" customWidth="1"/>
    <col min="10205" max="10205" width="12" style="30" customWidth="1"/>
    <col min="10206" max="10222" width="9" style="30" customWidth="1"/>
    <col min="10223" max="10223" width="12.375" style="30" customWidth="1"/>
    <col min="10224" max="10224" width="12.5" style="30" customWidth="1"/>
    <col min="10225" max="10225" width="11.875" style="30" customWidth="1"/>
    <col min="10226" max="10226" width="11.625" style="30" customWidth="1"/>
    <col min="10227" max="10227" width="12.125" style="30" customWidth="1"/>
    <col min="10228" max="10229" width="10.5" style="30" bestFit="1" customWidth="1"/>
    <col min="10230" max="10230" width="10.625" style="30" bestFit="1" customWidth="1"/>
    <col min="10231" max="10238" width="10.5" style="30" bestFit="1" customWidth="1"/>
    <col min="10239" max="10239" width="10.5" style="30" customWidth="1"/>
    <col min="10240" max="10240" width="10.5" style="30" bestFit="1" customWidth="1"/>
    <col min="10241" max="10241" width="11.5" style="30" customWidth="1"/>
    <col min="10242" max="10242" width="9.5" style="30" bestFit="1" customWidth="1"/>
    <col min="10243" max="10253" width="10.5" style="30" bestFit="1" customWidth="1"/>
    <col min="10254" max="10254" width="12.75" style="30" bestFit="1" customWidth="1"/>
    <col min="10255" max="10259" width="10.5" style="30" bestFit="1" customWidth="1"/>
    <col min="10260" max="10261" width="9.375" style="30"/>
    <col min="10262" max="10262" width="8.5" style="30" customWidth="1"/>
    <col min="10263" max="10263" width="8" style="30" customWidth="1"/>
    <col min="10264" max="10264" width="21.25" style="30" customWidth="1"/>
    <col min="10265" max="10265" width="16.25" style="30" customWidth="1"/>
    <col min="10266" max="10266" width="11.625" style="30" customWidth="1"/>
    <col min="10267" max="10267" width="13.625" style="30" customWidth="1"/>
    <col min="10268" max="10268" width="12.875" style="30" customWidth="1"/>
    <col min="10269" max="10269" width="15.5" style="30" customWidth="1"/>
    <col min="10270" max="10271" width="13.375" style="30" customWidth="1"/>
    <col min="10272" max="10272" width="14.375" style="30" customWidth="1"/>
    <col min="10273" max="10273" width="11.875" style="30" customWidth="1"/>
    <col min="10274" max="10275" width="14.25" style="30" customWidth="1"/>
    <col min="10276" max="10276" width="8.625" style="30" customWidth="1"/>
    <col min="10277" max="10277" width="10.625" style="30" customWidth="1"/>
    <col min="10278" max="10278" width="9.875" style="30" customWidth="1"/>
    <col min="10279" max="10279" width="14" style="30" customWidth="1"/>
    <col min="10280" max="10280" width="10.875" style="30" customWidth="1"/>
    <col min="10281" max="10281" width="12.375" style="30" customWidth="1"/>
    <col min="10282" max="10282" width="12" style="30" customWidth="1"/>
    <col min="10283" max="10283" width="13.625" style="30" customWidth="1"/>
    <col min="10284" max="10284" width="10" style="30" customWidth="1"/>
    <col min="10285" max="10285" width="9.625" style="30" customWidth="1"/>
    <col min="10286" max="10286" width="11.75" style="30" customWidth="1"/>
    <col min="10287" max="10287" width="11.375" style="30" customWidth="1"/>
    <col min="10288" max="10288" width="12.875" style="30" customWidth="1"/>
    <col min="10289" max="10289" width="13" style="30" customWidth="1"/>
    <col min="10290" max="10290" width="8.875" style="30" customWidth="1"/>
    <col min="10291" max="10291" width="13.125" style="30" customWidth="1"/>
    <col min="10292" max="10292" width="9.625" style="30" customWidth="1"/>
    <col min="10293" max="10293" width="12.875" style="30" customWidth="1"/>
    <col min="10294" max="10294" width="11.5" style="30" customWidth="1"/>
    <col min="10295" max="10295" width="9.75" style="30" customWidth="1"/>
    <col min="10296" max="10296" width="13.375" style="30" customWidth="1"/>
    <col min="10297" max="10297" width="12.125" style="30" customWidth="1"/>
    <col min="10298" max="10298" width="10.25" style="30" customWidth="1"/>
    <col min="10299" max="10299" width="11.625" style="30" bestFit="1" customWidth="1"/>
    <col min="10300" max="10300" width="9.875" style="30" customWidth="1"/>
    <col min="10301" max="10301" width="13.375" style="30" customWidth="1"/>
    <col min="10302" max="10302" width="11.5" style="30" customWidth="1"/>
    <col min="10303" max="10303" width="12" style="30" customWidth="1"/>
    <col min="10304" max="10304" width="9.125" style="30" customWidth="1"/>
    <col min="10305" max="10305" width="9" style="30" customWidth="1"/>
    <col min="10306" max="10306" width="12.875" style="30" bestFit="1" customWidth="1"/>
    <col min="10307" max="10308" width="12" style="30" customWidth="1"/>
    <col min="10309" max="10309" width="11.875" style="30" customWidth="1"/>
    <col min="10310" max="10310" width="11" style="30" customWidth="1"/>
    <col min="10311" max="10311" width="11.625" style="30" customWidth="1"/>
    <col min="10312" max="10312" width="8.875" style="30" customWidth="1"/>
    <col min="10313" max="10313" width="11.625" style="30" bestFit="1" customWidth="1"/>
    <col min="10314" max="10314" width="9.625" style="30" customWidth="1"/>
    <col min="10315" max="10315" width="12.125" style="30" customWidth="1"/>
    <col min="10316" max="10316" width="11.875" style="30" customWidth="1"/>
    <col min="10317" max="10317" width="13.375" style="30" customWidth="1"/>
    <col min="10318" max="10318" width="11.5" style="30" customWidth="1"/>
    <col min="10319" max="10319" width="9.25" style="30" customWidth="1"/>
    <col min="10320" max="10320" width="11.625" style="30" bestFit="1" customWidth="1"/>
    <col min="10321" max="10321" width="10.625" style="30" customWidth="1"/>
    <col min="10322" max="10322" width="12" style="30" customWidth="1"/>
    <col min="10323" max="10323" width="11.625" style="30" customWidth="1"/>
    <col min="10324" max="10324" width="14" style="30" customWidth="1"/>
    <col min="10325" max="10325" width="11.125" style="30" customWidth="1"/>
    <col min="10326" max="10326" width="9.75" style="30" customWidth="1"/>
    <col min="10327" max="10327" width="11.625" style="30" bestFit="1" customWidth="1"/>
    <col min="10328" max="10328" width="10.125" style="30" customWidth="1"/>
    <col min="10329" max="10329" width="11.625" style="30" customWidth="1"/>
    <col min="10330" max="10330" width="11.375" style="30" customWidth="1"/>
    <col min="10331" max="10331" width="12.375" style="30" customWidth="1"/>
    <col min="10332" max="10333" width="10.875" style="30" customWidth="1"/>
    <col min="10334" max="10334" width="10.5" style="30" bestFit="1" customWidth="1"/>
    <col min="10335" max="10335" width="9.625" style="30" customWidth="1"/>
    <col min="10336" max="10336" width="11.875" style="30" customWidth="1"/>
    <col min="10337" max="10337" width="11.75" style="30" customWidth="1"/>
    <col min="10338" max="10338" width="14.125" style="30" customWidth="1"/>
    <col min="10339" max="10339" width="13.125" style="30" customWidth="1"/>
    <col min="10340" max="10340" width="8.75" style="30" customWidth="1"/>
    <col min="10341" max="10341" width="11.5" style="30" bestFit="1" customWidth="1"/>
    <col min="10342" max="10342" width="9.625" style="30" customWidth="1"/>
    <col min="10343" max="10343" width="13.625" style="30" customWidth="1"/>
    <col min="10344" max="10344" width="11.5" style="30" customWidth="1"/>
    <col min="10345" max="10345" width="11.75" style="30" customWidth="1"/>
    <col min="10346" max="10346" width="9.875" style="30" customWidth="1"/>
    <col min="10347" max="10347" width="9" style="30" customWidth="1"/>
    <col min="10348" max="10348" width="9.625" style="30" bestFit="1" customWidth="1"/>
    <col min="10349" max="10349" width="12.625" style="30" customWidth="1"/>
    <col min="10350" max="10350" width="12.375" style="30" customWidth="1"/>
    <col min="10351" max="10351" width="11.625" style="30" customWidth="1"/>
    <col min="10352" max="10353" width="14.125" style="30" customWidth="1"/>
    <col min="10354" max="10354" width="9.125" style="30" customWidth="1"/>
    <col min="10355" max="10355" width="10.5" style="30" bestFit="1" customWidth="1"/>
    <col min="10356" max="10356" width="9.625" style="30" customWidth="1"/>
    <col min="10357" max="10357" width="14.25" style="30" customWidth="1"/>
    <col min="10358" max="10358" width="11.875" style="30" customWidth="1"/>
    <col min="10359" max="10359" width="11" style="30" customWidth="1"/>
    <col min="10360" max="10360" width="11.75" style="30" customWidth="1"/>
    <col min="10361" max="10361" width="11.25" style="30" customWidth="1"/>
    <col min="10362" max="10362" width="9.625" style="30" bestFit="1" customWidth="1"/>
    <col min="10363" max="10363" width="9.625" style="30" customWidth="1"/>
    <col min="10364" max="10364" width="14.125" style="30" customWidth="1"/>
    <col min="10365" max="10365" width="11.125" style="30" customWidth="1"/>
    <col min="10366" max="10366" width="11.25" style="30" customWidth="1"/>
    <col min="10367" max="10367" width="12" style="30" customWidth="1"/>
    <col min="10368" max="10368" width="8.75" style="30" customWidth="1"/>
    <col min="10369" max="10369" width="9.625" style="30" bestFit="1" customWidth="1"/>
    <col min="10370" max="10370" width="9.625" style="30" customWidth="1"/>
    <col min="10371" max="10372" width="11.25" style="30" customWidth="1"/>
    <col min="10373" max="10373" width="12" style="30" customWidth="1"/>
    <col min="10374" max="10375" width="10.625" style="30" customWidth="1"/>
    <col min="10376" max="10376" width="11" style="30" customWidth="1"/>
    <col min="10377" max="10377" width="10.625" style="30" customWidth="1"/>
    <col min="10378" max="10378" width="12.375" style="30" customWidth="1"/>
    <col min="10379" max="10379" width="12" style="30" customWidth="1"/>
    <col min="10380" max="10380" width="11.625" style="30" customWidth="1"/>
    <col min="10381" max="10381" width="10.5" style="30" customWidth="1"/>
    <col min="10382" max="10382" width="8.625" style="30" customWidth="1"/>
    <col min="10383" max="10383" width="11.25" style="30" customWidth="1"/>
    <col min="10384" max="10384" width="9.875" style="30" customWidth="1"/>
    <col min="10385" max="10385" width="11.125" style="30" customWidth="1"/>
    <col min="10386" max="10386" width="11.625" style="30" customWidth="1"/>
    <col min="10387" max="10387" width="12.625" style="30" customWidth="1"/>
    <col min="10388" max="10388" width="11.5" style="30" customWidth="1"/>
    <col min="10389" max="10389" width="9.375" style="30"/>
    <col min="10390" max="10390" width="13.125" style="30" customWidth="1"/>
    <col min="10391" max="10391" width="9.5" style="30" customWidth="1"/>
    <col min="10392" max="10392" width="11.625" style="30" customWidth="1"/>
    <col min="10393" max="10393" width="11.5" style="30" customWidth="1"/>
    <col min="10394" max="10394" width="9.625" style="30" customWidth="1"/>
    <col min="10395" max="10395" width="9.25" style="30" customWidth="1"/>
    <col min="10396" max="10396" width="8.75" style="30" customWidth="1"/>
    <col min="10397" max="10397" width="9" style="30" customWidth="1"/>
    <col min="10398" max="10398" width="8.625" style="30" customWidth="1"/>
    <col min="10399" max="10399" width="11.125" style="30" customWidth="1"/>
    <col min="10400" max="10400" width="11.25" style="30" customWidth="1"/>
    <col min="10401" max="10401" width="11.5" style="30" customWidth="1"/>
    <col min="10402" max="10403" width="9" style="30" customWidth="1"/>
    <col min="10404" max="10404" width="9.875" style="30" customWidth="1"/>
    <col min="10405" max="10405" width="9.25" style="30" customWidth="1"/>
    <col min="10406" max="10406" width="11.125" style="30" customWidth="1"/>
    <col min="10407" max="10407" width="11.375" style="30" customWidth="1"/>
    <col min="10408" max="10408" width="10.875" style="30" customWidth="1"/>
    <col min="10409" max="10409" width="8.375" style="30" customWidth="1"/>
    <col min="10410" max="10410" width="9.125" style="30" customWidth="1"/>
    <col min="10411" max="10412" width="9" style="30" customWidth="1"/>
    <col min="10413" max="10413" width="10.75" style="30" customWidth="1"/>
    <col min="10414" max="10414" width="10.625" style="30" customWidth="1"/>
    <col min="10415" max="10415" width="10.25" style="30" customWidth="1"/>
    <col min="10416" max="10416" width="8.125" style="30" customWidth="1"/>
    <col min="10417" max="10419" width="9" style="30" customWidth="1"/>
    <col min="10420" max="10420" width="11.375" style="30" customWidth="1"/>
    <col min="10421" max="10421" width="11.125" style="30" customWidth="1"/>
    <col min="10422" max="10422" width="14.5" style="30" customWidth="1"/>
    <col min="10423" max="10423" width="10.875" style="30" customWidth="1"/>
    <col min="10424" max="10424" width="8.5" style="30" customWidth="1"/>
    <col min="10425" max="10425" width="10.375" style="30" customWidth="1"/>
    <col min="10426" max="10426" width="9" style="30" customWidth="1"/>
    <col min="10427" max="10427" width="12" style="30" customWidth="1"/>
    <col min="10428" max="10435" width="10.875" style="30" customWidth="1"/>
    <col min="10436" max="10436" width="10.5" style="30" customWidth="1"/>
    <col min="10437" max="10437" width="11.875" style="30" customWidth="1"/>
    <col min="10438" max="10438" width="10.875" style="30" customWidth="1"/>
    <col min="10439" max="10440" width="9" style="30" customWidth="1"/>
    <col min="10441" max="10441" width="12.125" style="30" customWidth="1"/>
    <col min="10442" max="10442" width="9.625" style="30" customWidth="1"/>
    <col min="10443" max="10444" width="9" style="30" customWidth="1"/>
    <col min="10445" max="10445" width="12.625" style="30" customWidth="1"/>
    <col min="10446" max="10446" width="11" style="30" customWidth="1"/>
    <col min="10447" max="10447" width="11.75" style="30" bestFit="1" customWidth="1"/>
    <col min="10448" max="10448" width="11.875" style="30" customWidth="1"/>
    <col min="10449" max="10450" width="9" style="30" customWidth="1"/>
    <col min="10451" max="10451" width="12.25" style="30" customWidth="1"/>
    <col min="10452" max="10452" width="10.875" style="30" customWidth="1"/>
    <col min="10453" max="10453" width="9" style="30" customWidth="1"/>
    <col min="10454" max="10454" width="10.875" style="30" customWidth="1"/>
    <col min="10455" max="10455" width="10.5" style="30" customWidth="1"/>
    <col min="10456" max="10457" width="9" style="30" customWidth="1"/>
    <col min="10458" max="10458" width="12.625" style="30" customWidth="1"/>
    <col min="10459" max="10460" width="9" style="30" customWidth="1"/>
    <col min="10461" max="10461" width="12" style="30" customWidth="1"/>
    <col min="10462" max="10478" width="9" style="30" customWidth="1"/>
    <col min="10479" max="10479" width="12.375" style="30" customWidth="1"/>
    <col min="10480" max="10480" width="12.5" style="30" customWidth="1"/>
    <col min="10481" max="10481" width="11.875" style="30" customWidth="1"/>
    <col min="10482" max="10482" width="11.625" style="30" customWidth="1"/>
    <col min="10483" max="10483" width="12.125" style="30" customWidth="1"/>
    <col min="10484" max="10485" width="10.5" style="30" bestFit="1" customWidth="1"/>
    <col min="10486" max="10486" width="10.625" style="30" bestFit="1" customWidth="1"/>
    <col min="10487" max="10494" width="10.5" style="30" bestFit="1" customWidth="1"/>
    <col min="10495" max="10495" width="10.5" style="30" customWidth="1"/>
    <col min="10496" max="10496" width="10.5" style="30" bestFit="1" customWidth="1"/>
    <col min="10497" max="10497" width="11.5" style="30" customWidth="1"/>
    <col min="10498" max="10498" width="9.5" style="30" bestFit="1" customWidth="1"/>
    <col min="10499" max="10509" width="10.5" style="30" bestFit="1" customWidth="1"/>
    <col min="10510" max="10510" width="12.75" style="30" bestFit="1" customWidth="1"/>
    <col min="10511" max="10515" width="10.5" style="30" bestFit="1" customWidth="1"/>
    <col min="10516" max="10517" width="9.375" style="30"/>
    <col min="10518" max="10518" width="8.5" style="30" customWidth="1"/>
    <col min="10519" max="10519" width="8" style="30" customWidth="1"/>
    <col min="10520" max="10520" width="21.25" style="30" customWidth="1"/>
    <col min="10521" max="10521" width="16.25" style="30" customWidth="1"/>
    <col min="10522" max="10522" width="11.625" style="30" customWidth="1"/>
    <col min="10523" max="10523" width="13.625" style="30" customWidth="1"/>
    <col min="10524" max="10524" width="12.875" style="30" customWidth="1"/>
    <col min="10525" max="10525" width="15.5" style="30" customWidth="1"/>
    <col min="10526" max="10527" width="13.375" style="30" customWidth="1"/>
    <col min="10528" max="10528" width="14.375" style="30" customWidth="1"/>
    <col min="10529" max="10529" width="11.875" style="30" customWidth="1"/>
    <col min="10530" max="10531" width="14.25" style="30" customWidth="1"/>
    <col min="10532" max="10532" width="8.625" style="30" customWidth="1"/>
    <col min="10533" max="10533" width="10.625" style="30" customWidth="1"/>
    <col min="10534" max="10534" width="9.875" style="30" customWidth="1"/>
    <col min="10535" max="10535" width="14" style="30" customWidth="1"/>
    <col min="10536" max="10536" width="10.875" style="30" customWidth="1"/>
    <col min="10537" max="10537" width="12.375" style="30" customWidth="1"/>
    <col min="10538" max="10538" width="12" style="30" customWidth="1"/>
    <col min="10539" max="10539" width="13.625" style="30" customWidth="1"/>
    <col min="10540" max="10540" width="10" style="30" customWidth="1"/>
    <col min="10541" max="10541" width="9.625" style="30" customWidth="1"/>
    <col min="10542" max="10542" width="11.75" style="30" customWidth="1"/>
    <col min="10543" max="10543" width="11.375" style="30" customWidth="1"/>
    <col min="10544" max="10544" width="12.875" style="30" customWidth="1"/>
    <col min="10545" max="10545" width="13" style="30" customWidth="1"/>
    <col min="10546" max="10546" width="8.875" style="30" customWidth="1"/>
    <col min="10547" max="10547" width="13.125" style="30" customWidth="1"/>
    <col min="10548" max="10548" width="9.625" style="30" customWidth="1"/>
    <col min="10549" max="10549" width="12.875" style="30" customWidth="1"/>
    <col min="10550" max="10550" width="11.5" style="30" customWidth="1"/>
    <col min="10551" max="10551" width="9.75" style="30" customWidth="1"/>
    <col min="10552" max="10552" width="13.375" style="30" customWidth="1"/>
    <col min="10553" max="10553" width="12.125" style="30" customWidth="1"/>
    <col min="10554" max="10554" width="10.25" style="30" customWidth="1"/>
    <col min="10555" max="10555" width="11.625" style="30" bestFit="1" customWidth="1"/>
    <col min="10556" max="10556" width="9.875" style="30" customWidth="1"/>
    <col min="10557" max="10557" width="13.375" style="30" customWidth="1"/>
    <col min="10558" max="10558" width="11.5" style="30" customWidth="1"/>
    <col min="10559" max="10559" width="12" style="30" customWidth="1"/>
    <col min="10560" max="10560" width="9.125" style="30" customWidth="1"/>
    <col min="10561" max="10561" width="9" style="30" customWidth="1"/>
    <col min="10562" max="10562" width="12.875" style="30" bestFit="1" customWidth="1"/>
    <col min="10563" max="10564" width="12" style="30" customWidth="1"/>
    <col min="10565" max="10565" width="11.875" style="30" customWidth="1"/>
    <col min="10566" max="10566" width="11" style="30" customWidth="1"/>
    <col min="10567" max="10567" width="11.625" style="30" customWidth="1"/>
    <col min="10568" max="10568" width="8.875" style="30" customWidth="1"/>
    <col min="10569" max="10569" width="11.625" style="30" bestFit="1" customWidth="1"/>
    <col min="10570" max="10570" width="9.625" style="30" customWidth="1"/>
    <col min="10571" max="10571" width="12.125" style="30" customWidth="1"/>
    <col min="10572" max="10572" width="11.875" style="30" customWidth="1"/>
    <col min="10573" max="10573" width="13.375" style="30" customWidth="1"/>
    <col min="10574" max="10574" width="11.5" style="30" customWidth="1"/>
    <col min="10575" max="10575" width="9.25" style="30" customWidth="1"/>
    <col min="10576" max="10576" width="11.625" style="30" bestFit="1" customWidth="1"/>
    <col min="10577" max="10577" width="10.625" style="30" customWidth="1"/>
    <col min="10578" max="10578" width="12" style="30" customWidth="1"/>
    <col min="10579" max="10579" width="11.625" style="30" customWidth="1"/>
    <col min="10580" max="10580" width="14" style="30" customWidth="1"/>
    <col min="10581" max="10581" width="11.125" style="30" customWidth="1"/>
    <col min="10582" max="10582" width="9.75" style="30" customWidth="1"/>
    <col min="10583" max="10583" width="11.625" style="30" bestFit="1" customWidth="1"/>
    <col min="10584" max="10584" width="10.125" style="30" customWidth="1"/>
    <col min="10585" max="10585" width="11.625" style="30" customWidth="1"/>
    <col min="10586" max="10586" width="11.375" style="30" customWidth="1"/>
    <col min="10587" max="10587" width="12.375" style="30" customWidth="1"/>
    <col min="10588" max="10589" width="10.875" style="30" customWidth="1"/>
    <col min="10590" max="10590" width="10.5" style="30" bestFit="1" customWidth="1"/>
    <col min="10591" max="10591" width="9.625" style="30" customWidth="1"/>
    <col min="10592" max="10592" width="11.875" style="30" customWidth="1"/>
    <col min="10593" max="10593" width="11.75" style="30" customWidth="1"/>
    <col min="10594" max="10594" width="14.125" style="30" customWidth="1"/>
    <col min="10595" max="10595" width="13.125" style="30" customWidth="1"/>
    <col min="10596" max="10596" width="8.75" style="30" customWidth="1"/>
    <col min="10597" max="10597" width="11.5" style="30" bestFit="1" customWidth="1"/>
    <col min="10598" max="10598" width="9.625" style="30" customWidth="1"/>
    <col min="10599" max="10599" width="13.625" style="30" customWidth="1"/>
    <col min="10600" max="10600" width="11.5" style="30" customWidth="1"/>
    <col min="10601" max="10601" width="11.75" style="30" customWidth="1"/>
    <col min="10602" max="10602" width="9.875" style="30" customWidth="1"/>
    <col min="10603" max="10603" width="9" style="30" customWidth="1"/>
    <col min="10604" max="10604" width="9.625" style="30" bestFit="1" customWidth="1"/>
    <col min="10605" max="10605" width="12.625" style="30" customWidth="1"/>
    <col min="10606" max="10606" width="12.375" style="30" customWidth="1"/>
    <col min="10607" max="10607" width="11.625" style="30" customWidth="1"/>
    <col min="10608" max="10609" width="14.125" style="30" customWidth="1"/>
    <col min="10610" max="10610" width="9.125" style="30" customWidth="1"/>
    <col min="10611" max="10611" width="10.5" style="30" bestFit="1" customWidth="1"/>
    <col min="10612" max="10612" width="9.625" style="30" customWidth="1"/>
    <col min="10613" max="10613" width="14.25" style="30" customWidth="1"/>
    <col min="10614" max="10614" width="11.875" style="30" customWidth="1"/>
    <col min="10615" max="10615" width="11" style="30" customWidth="1"/>
    <col min="10616" max="10616" width="11.75" style="30" customWidth="1"/>
    <col min="10617" max="10617" width="11.25" style="30" customWidth="1"/>
    <col min="10618" max="10618" width="9.625" style="30" bestFit="1" customWidth="1"/>
    <col min="10619" max="10619" width="9.625" style="30" customWidth="1"/>
    <col min="10620" max="10620" width="14.125" style="30" customWidth="1"/>
    <col min="10621" max="10621" width="11.125" style="30" customWidth="1"/>
    <col min="10622" max="10622" width="11.25" style="30" customWidth="1"/>
    <col min="10623" max="10623" width="12" style="30" customWidth="1"/>
    <col min="10624" max="10624" width="8.75" style="30" customWidth="1"/>
    <col min="10625" max="10625" width="9.625" style="30" bestFit="1" customWidth="1"/>
    <col min="10626" max="10626" width="9.625" style="30" customWidth="1"/>
    <col min="10627" max="10628" width="11.25" style="30" customWidth="1"/>
    <col min="10629" max="10629" width="12" style="30" customWidth="1"/>
    <col min="10630" max="10631" width="10.625" style="30" customWidth="1"/>
    <col min="10632" max="10632" width="11" style="30" customWidth="1"/>
    <col min="10633" max="10633" width="10.625" style="30" customWidth="1"/>
    <col min="10634" max="10634" width="12.375" style="30" customWidth="1"/>
    <col min="10635" max="10635" width="12" style="30" customWidth="1"/>
    <col min="10636" max="10636" width="11.625" style="30" customWidth="1"/>
    <col min="10637" max="10637" width="10.5" style="30" customWidth="1"/>
    <col min="10638" max="10638" width="8.625" style="30" customWidth="1"/>
    <col min="10639" max="10639" width="11.25" style="30" customWidth="1"/>
    <col min="10640" max="10640" width="9.875" style="30" customWidth="1"/>
    <col min="10641" max="10641" width="11.125" style="30" customWidth="1"/>
    <col min="10642" max="10642" width="11.625" style="30" customWidth="1"/>
    <col min="10643" max="10643" width="12.625" style="30" customWidth="1"/>
    <col min="10644" max="10644" width="11.5" style="30" customWidth="1"/>
    <col min="10645" max="10645" width="9.375" style="30"/>
    <col min="10646" max="10646" width="13.125" style="30" customWidth="1"/>
    <col min="10647" max="10647" width="9.5" style="30" customWidth="1"/>
    <col min="10648" max="10648" width="11.625" style="30" customWidth="1"/>
    <col min="10649" max="10649" width="11.5" style="30" customWidth="1"/>
    <col min="10650" max="10650" width="9.625" style="30" customWidth="1"/>
    <col min="10651" max="10651" width="9.25" style="30" customWidth="1"/>
    <col min="10652" max="10652" width="8.75" style="30" customWidth="1"/>
    <col min="10653" max="10653" width="9" style="30" customWidth="1"/>
    <col min="10654" max="10654" width="8.625" style="30" customWidth="1"/>
    <col min="10655" max="10655" width="11.125" style="30" customWidth="1"/>
    <col min="10656" max="10656" width="11.25" style="30" customWidth="1"/>
    <col min="10657" max="10657" width="11.5" style="30" customWidth="1"/>
    <col min="10658" max="10659" width="9" style="30" customWidth="1"/>
    <col min="10660" max="10660" width="9.875" style="30" customWidth="1"/>
    <col min="10661" max="10661" width="9.25" style="30" customWidth="1"/>
    <col min="10662" max="10662" width="11.125" style="30" customWidth="1"/>
    <col min="10663" max="10663" width="11.375" style="30" customWidth="1"/>
    <col min="10664" max="10664" width="10.875" style="30" customWidth="1"/>
    <col min="10665" max="10665" width="8.375" style="30" customWidth="1"/>
    <col min="10666" max="10666" width="9.125" style="30" customWidth="1"/>
    <col min="10667" max="10668" width="9" style="30" customWidth="1"/>
    <col min="10669" max="10669" width="10.75" style="30" customWidth="1"/>
    <col min="10670" max="10670" width="10.625" style="30" customWidth="1"/>
    <col min="10671" max="10671" width="10.25" style="30" customWidth="1"/>
    <col min="10672" max="10672" width="8.125" style="30" customWidth="1"/>
    <col min="10673" max="10675" width="9" style="30" customWidth="1"/>
    <col min="10676" max="10676" width="11.375" style="30" customWidth="1"/>
    <col min="10677" max="10677" width="11.125" style="30" customWidth="1"/>
    <col min="10678" max="10678" width="14.5" style="30" customWidth="1"/>
    <col min="10679" max="10679" width="10.875" style="30" customWidth="1"/>
    <col min="10680" max="10680" width="8.5" style="30" customWidth="1"/>
    <col min="10681" max="10681" width="10.375" style="30" customWidth="1"/>
    <col min="10682" max="10682" width="9" style="30" customWidth="1"/>
    <col min="10683" max="10683" width="12" style="30" customWidth="1"/>
    <col min="10684" max="10691" width="10.875" style="30" customWidth="1"/>
    <col min="10692" max="10692" width="10.5" style="30" customWidth="1"/>
    <col min="10693" max="10693" width="11.875" style="30" customWidth="1"/>
    <col min="10694" max="10694" width="10.875" style="30" customWidth="1"/>
    <col min="10695" max="10696" width="9" style="30" customWidth="1"/>
    <col min="10697" max="10697" width="12.125" style="30" customWidth="1"/>
    <col min="10698" max="10698" width="9.625" style="30" customWidth="1"/>
    <col min="10699" max="10700" width="9" style="30" customWidth="1"/>
    <col min="10701" max="10701" width="12.625" style="30" customWidth="1"/>
    <col min="10702" max="10702" width="11" style="30" customWidth="1"/>
    <col min="10703" max="10703" width="11.75" style="30" bestFit="1" customWidth="1"/>
    <col min="10704" max="10704" width="11.875" style="30" customWidth="1"/>
    <col min="10705" max="10706" width="9" style="30" customWidth="1"/>
    <col min="10707" max="10707" width="12.25" style="30" customWidth="1"/>
    <col min="10708" max="10708" width="10.875" style="30" customWidth="1"/>
    <col min="10709" max="10709" width="9" style="30" customWidth="1"/>
    <col min="10710" max="10710" width="10.875" style="30" customWidth="1"/>
    <col min="10711" max="10711" width="10.5" style="30" customWidth="1"/>
    <col min="10712" max="10713" width="9" style="30" customWidth="1"/>
    <col min="10714" max="10714" width="12.625" style="30" customWidth="1"/>
    <col min="10715" max="10716" width="9" style="30" customWidth="1"/>
    <col min="10717" max="10717" width="12" style="30" customWidth="1"/>
    <col min="10718" max="10734" width="9" style="30" customWidth="1"/>
    <col min="10735" max="10735" width="12.375" style="30" customWidth="1"/>
    <col min="10736" max="10736" width="12.5" style="30" customWidth="1"/>
    <col min="10737" max="10737" width="11.875" style="30" customWidth="1"/>
    <col min="10738" max="10738" width="11.625" style="30" customWidth="1"/>
    <col min="10739" max="10739" width="12.125" style="30" customWidth="1"/>
    <col min="10740" max="10741" width="10.5" style="30" bestFit="1" customWidth="1"/>
    <col min="10742" max="10742" width="10.625" style="30" bestFit="1" customWidth="1"/>
    <col min="10743" max="10750" width="10.5" style="30" bestFit="1" customWidth="1"/>
    <col min="10751" max="10751" width="10.5" style="30" customWidth="1"/>
    <col min="10752" max="10752" width="10.5" style="30" bestFit="1" customWidth="1"/>
    <col min="10753" max="10753" width="11.5" style="30" customWidth="1"/>
    <col min="10754" max="10754" width="9.5" style="30" bestFit="1" customWidth="1"/>
    <col min="10755" max="10765" width="10.5" style="30" bestFit="1" customWidth="1"/>
    <col min="10766" max="10766" width="12.75" style="30" bestFit="1" customWidth="1"/>
    <col min="10767" max="10771" width="10.5" style="30" bestFit="1" customWidth="1"/>
    <col min="10772" max="10773" width="9.375" style="30"/>
    <col min="10774" max="10774" width="8.5" style="30" customWidth="1"/>
    <col min="10775" max="10775" width="8" style="30" customWidth="1"/>
    <col min="10776" max="10776" width="21.25" style="30" customWidth="1"/>
    <col min="10777" max="10777" width="16.25" style="30" customWidth="1"/>
    <col min="10778" max="10778" width="11.625" style="30" customWidth="1"/>
    <col min="10779" max="10779" width="13.625" style="30" customWidth="1"/>
    <col min="10780" max="10780" width="12.875" style="30" customWidth="1"/>
    <col min="10781" max="10781" width="15.5" style="30" customWidth="1"/>
    <col min="10782" max="10783" width="13.375" style="30" customWidth="1"/>
    <col min="10784" max="10784" width="14.375" style="30" customWidth="1"/>
    <col min="10785" max="10785" width="11.875" style="30" customWidth="1"/>
    <col min="10786" max="10787" width="14.25" style="30" customWidth="1"/>
    <col min="10788" max="10788" width="8.625" style="30" customWidth="1"/>
    <col min="10789" max="10789" width="10.625" style="30" customWidth="1"/>
    <col min="10790" max="10790" width="9.875" style="30" customWidth="1"/>
    <col min="10791" max="10791" width="14" style="30" customWidth="1"/>
    <col min="10792" max="10792" width="10.875" style="30" customWidth="1"/>
    <col min="10793" max="10793" width="12.375" style="30" customWidth="1"/>
    <col min="10794" max="10794" width="12" style="30" customWidth="1"/>
    <col min="10795" max="10795" width="13.625" style="30" customWidth="1"/>
    <col min="10796" max="10796" width="10" style="30" customWidth="1"/>
    <col min="10797" max="10797" width="9.625" style="30" customWidth="1"/>
    <col min="10798" max="10798" width="11.75" style="30" customWidth="1"/>
    <col min="10799" max="10799" width="11.375" style="30" customWidth="1"/>
    <col min="10800" max="10800" width="12.875" style="30" customWidth="1"/>
    <col min="10801" max="10801" width="13" style="30" customWidth="1"/>
    <col min="10802" max="10802" width="8.875" style="30" customWidth="1"/>
    <col min="10803" max="10803" width="13.125" style="30" customWidth="1"/>
    <col min="10804" max="10804" width="9.625" style="30" customWidth="1"/>
    <col min="10805" max="10805" width="12.875" style="30" customWidth="1"/>
    <col min="10806" max="10806" width="11.5" style="30" customWidth="1"/>
    <col min="10807" max="10807" width="9.75" style="30" customWidth="1"/>
    <col min="10808" max="10808" width="13.375" style="30" customWidth="1"/>
    <col min="10809" max="10809" width="12.125" style="30" customWidth="1"/>
    <col min="10810" max="10810" width="10.25" style="30" customWidth="1"/>
    <col min="10811" max="10811" width="11.625" style="30" bestFit="1" customWidth="1"/>
    <col min="10812" max="10812" width="9.875" style="30" customWidth="1"/>
    <col min="10813" max="10813" width="13.375" style="30" customWidth="1"/>
    <col min="10814" max="10814" width="11.5" style="30" customWidth="1"/>
    <col min="10815" max="10815" width="12" style="30" customWidth="1"/>
    <col min="10816" max="10816" width="9.125" style="30" customWidth="1"/>
    <col min="10817" max="10817" width="9" style="30" customWidth="1"/>
    <col min="10818" max="10818" width="12.875" style="30" bestFit="1" customWidth="1"/>
    <col min="10819" max="10820" width="12" style="30" customWidth="1"/>
    <col min="10821" max="10821" width="11.875" style="30" customWidth="1"/>
    <col min="10822" max="10822" width="11" style="30" customWidth="1"/>
    <col min="10823" max="10823" width="11.625" style="30" customWidth="1"/>
    <col min="10824" max="10824" width="8.875" style="30" customWidth="1"/>
    <col min="10825" max="10825" width="11.625" style="30" bestFit="1" customWidth="1"/>
    <col min="10826" max="10826" width="9.625" style="30" customWidth="1"/>
    <col min="10827" max="10827" width="12.125" style="30" customWidth="1"/>
    <col min="10828" max="10828" width="11.875" style="30" customWidth="1"/>
    <col min="10829" max="10829" width="13.375" style="30" customWidth="1"/>
    <col min="10830" max="10830" width="11.5" style="30" customWidth="1"/>
    <col min="10831" max="10831" width="9.25" style="30" customWidth="1"/>
    <col min="10832" max="10832" width="11.625" style="30" bestFit="1" customWidth="1"/>
    <col min="10833" max="10833" width="10.625" style="30" customWidth="1"/>
    <col min="10834" max="10834" width="12" style="30" customWidth="1"/>
    <col min="10835" max="10835" width="11.625" style="30" customWidth="1"/>
    <col min="10836" max="10836" width="14" style="30" customWidth="1"/>
    <col min="10837" max="10837" width="11.125" style="30" customWidth="1"/>
    <col min="10838" max="10838" width="9.75" style="30" customWidth="1"/>
    <col min="10839" max="10839" width="11.625" style="30" bestFit="1" customWidth="1"/>
    <col min="10840" max="10840" width="10.125" style="30" customWidth="1"/>
    <col min="10841" max="10841" width="11.625" style="30" customWidth="1"/>
    <col min="10842" max="10842" width="11.375" style="30" customWidth="1"/>
    <col min="10843" max="10843" width="12.375" style="30" customWidth="1"/>
    <col min="10844" max="10845" width="10.875" style="30" customWidth="1"/>
    <col min="10846" max="10846" width="10.5" style="30" bestFit="1" customWidth="1"/>
    <col min="10847" max="10847" width="9.625" style="30" customWidth="1"/>
    <col min="10848" max="10848" width="11.875" style="30" customWidth="1"/>
    <col min="10849" max="10849" width="11.75" style="30" customWidth="1"/>
    <col min="10850" max="10850" width="14.125" style="30" customWidth="1"/>
    <col min="10851" max="10851" width="13.125" style="30" customWidth="1"/>
    <col min="10852" max="10852" width="8.75" style="30" customWidth="1"/>
    <col min="10853" max="10853" width="11.5" style="30" bestFit="1" customWidth="1"/>
    <col min="10854" max="10854" width="9.625" style="30" customWidth="1"/>
    <col min="10855" max="10855" width="13.625" style="30" customWidth="1"/>
    <col min="10856" max="10856" width="11.5" style="30" customWidth="1"/>
    <col min="10857" max="10857" width="11.75" style="30" customWidth="1"/>
    <col min="10858" max="10858" width="9.875" style="30" customWidth="1"/>
    <col min="10859" max="10859" width="9" style="30" customWidth="1"/>
    <col min="10860" max="10860" width="9.625" style="30" bestFit="1" customWidth="1"/>
    <col min="10861" max="10861" width="12.625" style="30" customWidth="1"/>
    <col min="10862" max="10862" width="12.375" style="30" customWidth="1"/>
    <col min="10863" max="10863" width="11.625" style="30" customWidth="1"/>
    <col min="10864" max="10865" width="14.125" style="30" customWidth="1"/>
    <col min="10866" max="10866" width="9.125" style="30" customWidth="1"/>
    <col min="10867" max="10867" width="10.5" style="30" bestFit="1" customWidth="1"/>
    <col min="10868" max="10868" width="9.625" style="30" customWidth="1"/>
    <col min="10869" max="10869" width="14.25" style="30" customWidth="1"/>
    <col min="10870" max="10870" width="11.875" style="30" customWidth="1"/>
    <col min="10871" max="10871" width="11" style="30" customWidth="1"/>
    <col min="10872" max="10872" width="11.75" style="30" customWidth="1"/>
    <col min="10873" max="10873" width="11.25" style="30" customWidth="1"/>
    <col min="10874" max="10874" width="9.625" style="30" bestFit="1" customWidth="1"/>
    <col min="10875" max="10875" width="9.625" style="30" customWidth="1"/>
    <col min="10876" max="10876" width="14.125" style="30" customWidth="1"/>
    <col min="10877" max="10877" width="11.125" style="30" customWidth="1"/>
    <col min="10878" max="10878" width="11.25" style="30" customWidth="1"/>
    <col min="10879" max="10879" width="12" style="30" customWidth="1"/>
    <col min="10880" max="10880" width="8.75" style="30" customWidth="1"/>
    <col min="10881" max="10881" width="9.625" style="30" bestFit="1" customWidth="1"/>
    <col min="10882" max="10882" width="9.625" style="30" customWidth="1"/>
    <col min="10883" max="10884" width="11.25" style="30" customWidth="1"/>
    <col min="10885" max="10885" width="12" style="30" customWidth="1"/>
    <col min="10886" max="10887" width="10.625" style="30" customWidth="1"/>
    <col min="10888" max="10888" width="11" style="30" customWidth="1"/>
    <col min="10889" max="10889" width="10.625" style="30" customWidth="1"/>
    <col min="10890" max="10890" width="12.375" style="30" customWidth="1"/>
    <col min="10891" max="10891" width="12" style="30" customWidth="1"/>
    <col min="10892" max="10892" width="11.625" style="30" customWidth="1"/>
    <col min="10893" max="10893" width="10.5" style="30" customWidth="1"/>
    <col min="10894" max="10894" width="8.625" style="30" customWidth="1"/>
    <col min="10895" max="10895" width="11.25" style="30" customWidth="1"/>
    <col min="10896" max="10896" width="9.875" style="30" customWidth="1"/>
    <col min="10897" max="10897" width="11.125" style="30" customWidth="1"/>
    <col min="10898" max="10898" width="11.625" style="30" customWidth="1"/>
    <col min="10899" max="10899" width="12.625" style="30" customWidth="1"/>
    <col min="10900" max="10900" width="11.5" style="30" customWidth="1"/>
    <col min="10901" max="10901" width="9.375" style="30"/>
    <col min="10902" max="10902" width="13.125" style="30" customWidth="1"/>
    <col min="10903" max="10903" width="9.5" style="30" customWidth="1"/>
    <col min="10904" max="10904" width="11.625" style="30" customWidth="1"/>
    <col min="10905" max="10905" width="11.5" style="30" customWidth="1"/>
    <col min="10906" max="10906" width="9.625" style="30" customWidth="1"/>
    <col min="10907" max="10907" width="9.25" style="30" customWidth="1"/>
    <col min="10908" max="10908" width="8.75" style="30" customWidth="1"/>
    <col min="10909" max="10909" width="9" style="30" customWidth="1"/>
    <col min="10910" max="10910" width="8.625" style="30" customWidth="1"/>
    <col min="10911" max="10911" width="11.125" style="30" customWidth="1"/>
    <col min="10912" max="10912" width="11.25" style="30" customWidth="1"/>
    <col min="10913" max="10913" width="11.5" style="30" customWidth="1"/>
    <col min="10914" max="10915" width="9" style="30" customWidth="1"/>
    <col min="10916" max="10916" width="9.875" style="30" customWidth="1"/>
    <col min="10917" max="10917" width="9.25" style="30" customWidth="1"/>
    <col min="10918" max="10918" width="11.125" style="30" customWidth="1"/>
    <col min="10919" max="10919" width="11.375" style="30" customWidth="1"/>
    <col min="10920" max="10920" width="10.875" style="30" customWidth="1"/>
    <col min="10921" max="10921" width="8.375" style="30" customWidth="1"/>
    <col min="10922" max="10922" width="9.125" style="30" customWidth="1"/>
    <col min="10923" max="10924" width="9" style="30" customWidth="1"/>
    <col min="10925" max="10925" width="10.75" style="30" customWidth="1"/>
    <col min="10926" max="10926" width="10.625" style="30" customWidth="1"/>
    <col min="10927" max="10927" width="10.25" style="30" customWidth="1"/>
    <col min="10928" max="10928" width="8.125" style="30" customWidth="1"/>
    <col min="10929" max="10931" width="9" style="30" customWidth="1"/>
    <col min="10932" max="10932" width="11.375" style="30" customWidth="1"/>
    <col min="10933" max="10933" width="11.125" style="30" customWidth="1"/>
    <col min="10934" max="10934" width="14.5" style="30" customWidth="1"/>
    <col min="10935" max="10935" width="10.875" style="30" customWidth="1"/>
    <col min="10936" max="10936" width="8.5" style="30" customWidth="1"/>
    <col min="10937" max="10937" width="10.375" style="30" customWidth="1"/>
    <col min="10938" max="10938" width="9" style="30" customWidth="1"/>
    <col min="10939" max="10939" width="12" style="30" customWidth="1"/>
    <col min="10940" max="10947" width="10.875" style="30" customWidth="1"/>
    <col min="10948" max="10948" width="10.5" style="30" customWidth="1"/>
    <col min="10949" max="10949" width="11.875" style="30" customWidth="1"/>
    <col min="10950" max="10950" width="10.875" style="30" customWidth="1"/>
    <col min="10951" max="10952" width="9" style="30" customWidth="1"/>
    <col min="10953" max="10953" width="12.125" style="30" customWidth="1"/>
    <col min="10954" max="10954" width="9.625" style="30" customWidth="1"/>
    <col min="10955" max="10956" width="9" style="30" customWidth="1"/>
    <col min="10957" max="10957" width="12.625" style="30" customWidth="1"/>
    <col min="10958" max="10958" width="11" style="30" customWidth="1"/>
    <col min="10959" max="10959" width="11.75" style="30" bestFit="1" customWidth="1"/>
    <col min="10960" max="10960" width="11.875" style="30" customWidth="1"/>
    <col min="10961" max="10962" width="9" style="30" customWidth="1"/>
    <col min="10963" max="10963" width="12.25" style="30" customWidth="1"/>
    <col min="10964" max="10964" width="10.875" style="30" customWidth="1"/>
    <col min="10965" max="10965" width="9" style="30" customWidth="1"/>
    <col min="10966" max="10966" width="10.875" style="30" customWidth="1"/>
    <col min="10967" max="10967" width="10.5" style="30" customWidth="1"/>
    <col min="10968" max="10969" width="9" style="30" customWidth="1"/>
    <col min="10970" max="10970" width="12.625" style="30" customWidth="1"/>
    <col min="10971" max="10972" width="9" style="30" customWidth="1"/>
    <col min="10973" max="10973" width="12" style="30" customWidth="1"/>
    <col min="10974" max="10990" width="9" style="30" customWidth="1"/>
    <col min="10991" max="10991" width="12.375" style="30" customWidth="1"/>
    <col min="10992" max="10992" width="12.5" style="30" customWidth="1"/>
    <col min="10993" max="10993" width="11.875" style="30" customWidth="1"/>
    <col min="10994" max="10994" width="11.625" style="30" customWidth="1"/>
    <col min="10995" max="10995" width="12.125" style="30" customWidth="1"/>
    <col min="10996" max="10997" width="10.5" style="30" bestFit="1" customWidth="1"/>
    <col min="10998" max="10998" width="10.625" style="30" bestFit="1" customWidth="1"/>
    <col min="10999" max="11006" width="10.5" style="30" bestFit="1" customWidth="1"/>
    <col min="11007" max="11007" width="10.5" style="30" customWidth="1"/>
    <col min="11008" max="11008" width="10.5" style="30" bestFit="1" customWidth="1"/>
    <col min="11009" max="11009" width="11.5" style="30" customWidth="1"/>
    <col min="11010" max="11010" width="9.5" style="30" bestFit="1" customWidth="1"/>
    <col min="11011" max="11021" width="10.5" style="30" bestFit="1" customWidth="1"/>
    <col min="11022" max="11022" width="12.75" style="30" bestFit="1" customWidth="1"/>
    <col min="11023" max="11027" width="10.5" style="30" bestFit="1" customWidth="1"/>
    <col min="11028" max="11029" width="9.375" style="30"/>
    <col min="11030" max="11030" width="8.5" style="30" customWidth="1"/>
    <col min="11031" max="11031" width="8" style="30" customWidth="1"/>
    <col min="11032" max="11032" width="21.25" style="30" customWidth="1"/>
    <col min="11033" max="11033" width="16.25" style="30" customWidth="1"/>
    <col min="11034" max="11034" width="11.625" style="30" customWidth="1"/>
    <col min="11035" max="11035" width="13.625" style="30" customWidth="1"/>
    <col min="11036" max="11036" width="12.875" style="30" customWidth="1"/>
    <col min="11037" max="11037" width="15.5" style="30" customWidth="1"/>
    <col min="11038" max="11039" width="13.375" style="30" customWidth="1"/>
    <col min="11040" max="11040" width="14.375" style="30" customWidth="1"/>
    <col min="11041" max="11041" width="11.875" style="30" customWidth="1"/>
    <col min="11042" max="11043" width="14.25" style="30" customWidth="1"/>
    <col min="11044" max="11044" width="8.625" style="30" customWidth="1"/>
    <col min="11045" max="11045" width="10.625" style="30" customWidth="1"/>
    <col min="11046" max="11046" width="9.875" style="30" customWidth="1"/>
    <col min="11047" max="11047" width="14" style="30" customWidth="1"/>
    <col min="11048" max="11048" width="10.875" style="30" customWidth="1"/>
    <col min="11049" max="11049" width="12.375" style="30" customWidth="1"/>
    <col min="11050" max="11050" width="12" style="30" customWidth="1"/>
    <col min="11051" max="11051" width="13.625" style="30" customWidth="1"/>
    <col min="11052" max="11052" width="10" style="30" customWidth="1"/>
    <col min="11053" max="11053" width="9.625" style="30" customWidth="1"/>
    <col min="11054" max="11054" width="11.75" style="30" customWidth="1"/>
    <col min="11055" max="11055" width="11.375" style="30" customWidth="1"/>
    <col min="11056" max="11056" width="12.875" style="30" customWidth="1"/>
    <col min="11057" max="11057" width="13" style="30" customWidth="1"/>
    <col min="11058" max="11058" width="8.875" style="30" customWidth="1"/>
    <col min="11059" max="11059" width="13.125" style="30" customWidth="1"/>
    <col min="11060" max="11060" width="9.625" style="30" customWidth="1"/>
    <col min="11061" max="11061" width="12.875" style="30" customWidth="1"/>
    <col min="11062" max="11062" width="11.5" style="30" customWidth="1"/>
    <col min="11063" max="11063" width="9.75" style="30" customWidth="1"/>
    <col min="11064" max="11064" width="13.375" style="30" customWidth="1"/>
    <col min="11065" max="11065" width="12.125" style="30" customWidth="1"/>
    <col min="11066" max="11066" width="10.25" style="30" customWidth="1"/>
    <col min="11067" max="11067" width="11.625" style="30" bestFit="1" customWidth="1"/>
    <col min="11068" max="11068" width="9.875" style="30" customWidth="1"/>
    <col min="11069" max="11069" width="13.375" style="30" customWidth="1"/>
    <col min="11070" max="11070" width="11.5" style="30" customWidth="1"/>
    <col min="11071" max="11071" width="12" style="30" customWidth="1"/>
    <col min="11072" max="11072" width="9.125" style="30" customWidth="1"/>
    <col min="11073" max="11073" width="9" style="30" customWidth="1"/>
    <col min="11074" max="11074" width="12.875" style="30" bestFit="1" customWidth="1"/>
    <col min="11075" max="11076" width="12" style="30" customWidth="1"/>
    <col min="11077" max="11077" width="11.875" style="30" customWidth="1"/>
    <col min="11078" max="11078" width="11" style="30" customWidth="1"/>
    <col min="11079" max="11079" width="11.625" style="30" customWidth="1"/>
    <col min="11080" max="11080" width="8.875" style="30" customWidth="1"/>
    <col min="11081" max="11081" width="11.625" style="30" bestFit="1" customWidth="1"/>
    <col min="11082" max="11082" width="9.625" style="30" customWidth="1"/>
    <col min="11083" max="11083" width="12.125" style="30" customWidth="1"/>
    <col min="11084" max="11084" width="11.875" style="30" customWidth="1"/>
    <col min="11085" max="11085" width="13.375" style="30" customWidth="1"/>
    <col min="11086" max="11086" width="11.5" style="30" customWidth="1"/>
    <col min="11087" max="11087" width="9.25" style="30" customWidth="1"/>
    <col min="11088" max="11088" width="11.625" style="30" bestFit="1" customWidth="1"/>
    <col min="11089" max="11089" width="10.625" style="30" customWidth="1"/>
    <col min="11090" max="11090" width="12" style="30" customWidth="1"/>
    <col min="11091" max="11091" width="11.625" style="30" customWidth="1"/>
    <col min="11092" max="11092" width="14" style="30" customWidth="1"/>
    <col min="11093" max="11093" width="11.125" style="30" customWidth="1"/>
    <col min="11094" max="11094" width="9.75" style="30" customWidth="1"/>
    <col min="11095" max="11095" width="11.625" style="30" bestFit="1" customWidth="1"/>
    <col min="11096" max="11096" width="10.125" style="30" customWidth="1"/>
    <col min="11097" max="11097" width="11.625" style="30" customWidth="1"/>
    <col min="11098" max="11098" width="11.375" style="30" customWidth="1"/>
    <col min="11099" max="11099" width="12.375" style="30" customWidth="1"/>
    <col min="11100" max="11101" width="10.875" style="30" customWidth="1"/>
    <col min="11102" max="11102" width="10.5" style="30" bestFit="1" customWidth="1"/>
    <col min="11103" max="11103" width="9.625" style="30" customWidth="1"/>
    <col min="11104" max="11104" width="11.875" style="30" customWidth="1"/>
    <col min="11105" max="11105" width="11.75" style="30" customWidth="1"/>
    <col min="11106" max="11106" width="14.125" style="30" customWidth="1"/>
    <col min="11107" max="11107" width="13.125" style="30" customWidth="1"/>
    <col min="11108" max="11108" width="8.75" style="30" customWidth="1"/>
    <col min="11109" max="11109" width="11.5" style="30" bestFit="1" customWidth="1"/>
    <col min="11110" max="11110" width="9.625" style="30" customWidth="1"/>
    <col min="11111" max="11111" width="13.625" style="30" customWidth="1"/>
    <col min="11112" max="11112" width="11.5" style="30" customWidth="1"/>
    <col min="11113" max="11113" width="11.75" style="30" customWidth="1"/>
    <col min="11114" max="11114" width="9.875" style="30" customWidth="1"/>
    <col min="11115" max="11115" width="9" style="30" customWidth="1"/>
    <col min="11116" max="11116" width="9.625" style="30" bestFit="1" customWidth="1"/>
    <col min="11117" max="11117" width="12.625" style="30" customWidth="1"/>
    <col min="11118" max="11118" width="12.375" style="30" customWidth="1"/>
    <col min="11119" max="11119" width="11.625" style="30" customWidth="1"/>
    <col min="11120" max="11121" width="14.125" style="30" customWidth="1"/>
    <col min="11122" max="11122" width="9.125" style="30" customWidth="1"/>
    <col min="11123" max="11123" width="10.5" style="30" bestFit="1" customWidth="1"/>
    <col min="11124" max="11124" width="9.625" style="30" customWidth="1"/>
    <col min="11125" max="11125" width="14.25" style="30" customWidth="1"/>
    <col min="11126" max="11126" width="11.875" style="30" customWidth="1"/>
    <col min="11127" max="11127" width="11" style="30" customWidth="1"/>
    <col min="11128" max="11128" width="11.75" style="30" customWidth="1"/>
    <col min="11129" max="11129" width="11.25" style="30" customWidth="1"/>
    <col min="11130" max="11130" width="9.625" style="30" bestFit="1" customWidth="1"/>
    <col min="11131" max="11131" width="9.625" style="30" customWidth="1"/>
    <col min="11132" max="11132" width="14.125" style="30" customWidth="1"/>
    <col min="11133" max="11133" width="11.125" style="30" customWidth="1"/>
    <col min="11134" max="11134" width="11.25" style="30" customWidth="1"/>
    <col min="11135" max="11135" width="12" style="30" customWidth="1"/>
    <col min="11136" max="11136" width="8.75" style="30" customWidth="1"/>
    <col min="11137" max="11137" width="9.625" style="30" bestFit="1" customWidth="1"/>
    <col min="11138" max="11138" width="9.625" style="30" customWidth="1"/>
    <col min="11139" max="11140" width="11.25" style="30" customWidth="1"/>
    <col min="11141" max="11141" width="12" style="30" customWidth="1"/>
    <col min="11142" max="11143" width="10.625" style="30" customWidth="1"/>
    <col min="11144" max="11144" width="11" style="30" customWidth="1"/>
    <col min="11145" max="11145" width="10.625" style="30" customWidth="1"/>
    <col min="11146" max="11146" width="12.375" style="30" customWidth="1"/>
    <col min="11147" max="11147" width="12" style="30" customWidth="1"/>
    <col min="11148" max="11148" width="11.625" style="30" customWidth="1"/>
    <col min="11149" max="11149" width="10.5" style="30" customWidth="1"/>
    <col min="11150" max="11150" width="8.625" style="30" customWidth="1"/>
    <col min="11151" max="11151" width="11.25" style="30" customWidth="1"/>
    <col min="11152" max="11152" width="9.875" style="30" customWidth="1"/>
    <col min="11153" max="11153" width="11.125" style="30" customWidth="1"/>
    <col min="11154" max="11154" width="11.625" style="30" customWidth="1"/>
    <col min="11155" max="11155" width="12.625" style="30" customWidth="1"/>
    <col min="11156" max="11156" width="11.5" style="30" customWidth="1"/>
    <col min="11157" max="11157" width="9.375" style="30"/>
    <col min="11158" max="11158" width="13.125" style="30" customWidth="1"/>
    <col min="11159" max="11159" width="9.5" style="30" customWidth="1"/>
    <col min="11160" max="11160" width="11.625" style="30" customWidth="1"/>
    <col min="11161" max="11161" width="11.5" style="30" customWidth="1"/>
    <col min="11162" max="11162" width="9.625" style="30" customWidth="1"/>
    <col min="11163" max="11163" width="9.25" style="30" customWidth="1"/>
    <col min="11164" max="11164" width="8.75" style="30" customWidth="1"/>
    <col min="11165" max="11165" width="9" style="30" customWidth="1"/>
    <col min="11166" max="11166" width="8.625" style="30" customWidth="1"/>
    <col min="11167" max="11167" width="11.125" style="30" customWidth="1"/>
    <col min="11168" max="11168" width="11.25" style="30" customWidth="1"/>
    <col min="11169" max="11169" width="11.5" style="30" customWidth="1"/>
    <col min="11170" max="11171" width="9" style="30" customWidth="1"/>
    <col min="11172" max="11172" width="9.875" style="30" customWidth="1"/>
    <col min="11173" max="11173" width="9.25" style="30" customWidth="1"/>
    <col min="11174" max="11174" width="11.125" style="30" customWidth="1"/>
    <col min="11175" max="11175" width="11.375" style="30" customWidth="1"/>
    <col min="11176" max="11176" width="10.875" style="30" customWidth="1"/>
    <col min="11177" max="11177" width="8.375" style="30" customWidth="1"/>
    <col min="11178" max="11178" width="9.125" style="30" customWidth="1"/>
    <col min="11179" max="11180" width="9" style="30" customWidth="1"/>
    <col min="11181" max="11181" width="10.75" style="30" customWidth="1"/>
    <col min="11182" max="11182" width="10.625" style="30" customWidth="1"/>
    <col min="11183" max="11183" width="10.25" style="30" customWidth="1"/>
    <col min="11184" max="11184" width="8.125" style="30" customWidth="1"/>
    <col min="11185" max="11187" width="9" style="30" customWidth="1"/>
    <col min="11188" max="11188" width="11.375" style="30" customWidth="1"/>
    <col min="11189" max="11189" width="11.125" style="30" customWidth="1"/>
    <col min="11190" max="11190" width="14.5" style="30" customWidth="1"/>
    <col min="11191" max="11191" width="10.875" style="30" customWidth="1"/>
    <col min="11192" max="11192" width="8.5" style="30" customWidth="1"/>
    <col min="11193" max="11193" width="10.375" style="30" customWidth="1"/>
    <col min="11194" max="11194" width="9" style="30" customWidth="1"/>
    <col min="11195" max="11195" width="12" style="30" customWidth="1"/>
    <col min="11196" max="11203" width="10.875" style="30" customWidth="1"/>
    <col min="11204" max="11204" width="10.5" style="30" customWidth="1"/>
    <col min="11205" max="11205" width="11.875" style="30" customWidth="1"/>
    <col min="11206" max="11206" width="10.875" style="30" customWidth="1"/>
    <col min="11207" max="11208" width="9" style="30" customWidth="1"/>
    <col min="11209" max="11209" width="12.125" style="30" customWidth="1"/>
    <col min="11210" max="11210" width="9.625" style="30" customWidth="1"/>
    <col min="11211" max="11212" width="9" style="30" customWidth="1"/>
    <col min="11213" max="11213" width="12.625" style="30" customWidth="1"/>
    <col min="11214" max="11214" width="11" style="30" customWidth="1"/>
    <col min="11215" max="11215" width="11.75" style="30" bestFit="1" customWidth="1"/>
    <col min="11216" max="11216" width="11.875" style="30" customWidth="1"/>
    <col min="11217" max="11218" width="9" style="30" customWidth="1"/>
    <col min="11219" max="11219" width="12.25" style="30" customWidth="1"/>
    <col min="11220" max="11220" width="10.875" style="30" customWidth="1"/>
    <col min="11221" max="11221" width="9" style="30" customWidth="1"/>
    <col min="11222" max="11222" width="10.875" style="30" customWidth="1"/>
    <col min="11223" max="11223" width="10.5" style="30" customWidth="1"/>
    <col min="11224" max="11225" width="9" style="30" customWidth="1"/>
    <col min="11226" max="11226" width="12.625" style="30" customWidth="1"/>
    <col min="11227" max="11228" width="9" style="30" customWidth="1"/>
    <col min="11229" max="11229" width="12" style="30" customWidth="1"/>
    <col min="11230" max="11246" width="9" style="30" customWidth="1"/>
    <col min="11247" max="11247" width="12.375" style="30" customWidth="1"/>
    <col min="11248" max="11248" width="12.5" style="30" customWidth="1"/>
    <col min="11249" max="11249" width="11.875" style="30" customWidth="1"/>
    <col min="11250" max="11250" width="11.625" style="30" customWidth="1"/>
    <col min="11251" max="11251" width="12.125" style="30" customWidth="1"/>
    <col min="11252" max="11253" width="10.5" style="30" bestFit="1" customWidth="1"/>
    <col min="11254" max="11254" width="10.625" style="30" bestFit="1" customWidth="1"/>
    <col min="11255" max="11262" width="10.5" style="30" bestFit="1" customWidth="1"/>
    <col min="11263" max="11263" width="10.5" style="30" customWidth="1"/>
    <col min="11264" max="11264" width="10.5" style="30" bestFit="1" customWidth="1"/>
    <col min="11265" max="11265" width="11.5" style="30" customWidth="1"/>
    <col min="11266" max="11266" width="9.5" style="30" bestFit="1" customWidth="1"/>
    <col min="11267" max="11277" width="10.5" style="30" bestFit="1" customWidth="1"/>
    <col min="11278" max="11278" width="12.75" style="30" bestFit="1" customWidth="1"/>
    <col min="11279" max="11283" width="10.5" style="30" bestFit="1" customWidth="1"/>
    <col min="11284" max="11285" width="9.375" style="30"/>
    <col min="11286" max="11286" width="8.5" style="30" customWidth="1"/>
    <col min="11287" max="11287" width="8" style="30" customWidth="1"/>
    <col min="11288" max="11288" width="21.25" style="30" customWidth="1"/>
    <col min="11289" max="11289" width="16.25" style="30" customWidth="1"/>
    <col min="11290" max="11290" width="11.625" style="30" customWidth="1"/>
    <col min="11291" max="11291" width="13.625" style="30" customWidth="1"/>
    <col min="11292" max="11292" width="12.875" style="30" customWidth="1"/>
    <col min="11293" max="11293" width="15.5" style="30" customWidth="1"/>
    <col min="11294" max="11295" width="13.375" style="30" customWidth="1"/>
    <col min="11296" max="11296" width="14.375" style="30" customWidth="1"/>
    <col min="11297" max="11297" width="11.875" style="30" customWidth="1"/>
    <col min="11298" max="11299" width="14.25" style="30" customWidth="1"/>
    <col min="11300" max="11300" width="8.625" style="30" customWidth="1"/>
    <col min="11301" max="11301" width="10.625" style="30" customWidth="1"/>
    <col min="11302" max="11302" width="9.875" style="30" customWidth="1"/>
    <col min="11303" max="11303" width="14" style="30" customWidth="1"/>
    <col min="11304" max="11304" width="10.875" style="30" customWidth="1"/>
    <col min="11305" max="11305" width="12.375" style="30" customWidth="1"/>
    <col min="11306" max="11306" width="12" style="30" customWidth="1"/>
    <col min="11307" max="11307" width="13.625" style="30" customWidth="1"/>
    <col min="11308" max="11308" width="10" style="30" customWidth="1"/>
    <col min="11309" max="11309" width="9.625" style="30" customWidth="1"/>
    <col min="11310" max="11310" width="11.75" style="30" customWidth="1"/>
    <col min="11311" max="11311" width="11.375" style="30" customWidth="1"/>
    <col min="11312" max="11312" width="12.875" style="30" customWidth="1"/>
    <col min="11313" max="11313" width="13" style="30" customWidth="1"/>
    <col min="11314" max="11314" width="8.875" style="30" customWidth="1"/>
    <col min="11315" max="11315" width="13.125" style="30" customWidth="1"/>
    <col min="11316" max="11316" width="9.625" style="30" customWidth="1"/>
    <col min="11317" max="11317" width="12.875" style="30" customWidth="1"/>
    <col min="11318" max="11318" width="11.5" style="30" customWidth="1"/>
    <col min="11319" max="11319" width="9.75" style="30" customWidth="1"/>
    <col min="11320" max="11320" width="13.375" style="30" customWidth="1"/>
    <col min="11321" max="11321" width="12.125" style="30" customWidth="1"/>
    <col min="11322" max="11322" width="10.25" style="30" customWidth="1"/>
    <col min="11323" max="11323" width="11.625" style="30" bestFit="1" customWidth="1"/>
    <col min="11324" max="11324" width="9.875" style="30" customWidth="1"/>
    <col min="11325" max="11325" width="13.375" style="30" customWidth="1"/>
    <col min="11326" max="11326" width="11.5" style="30" customWidth="1"/>
    <col min="11327" max="11327" width="12" style="30" customWidth="1"/>
    <col min="11328" max="11328" width="9.125" style="30" customWidth="1"/>
    <col min="11329" max="11329" width="9" style="30" customWidth="1"/>
    <col min="11330" max="11330" width="12.875" style="30" bestFit="1" customWidth="1"/>
    <col min="11331" max="11332" width="12" style="30" customWidth="1"/>
    <col min="11333" max="11333" width="11.875" style="30" customWidth="1"/>
    <col min="11334" max="11334" width="11" style="30" customWidth="1"/>
    <col min="11335" max="11335" width="11.625" style="30" customWidth="1"/>
    <col min="11336" max="11336" width="8.875" style="30" customWidth="1"/>
    <col min="11337" max="11337" width="11.625" style="30" bestFit="1" customWidth="1"/>
    <col min="11338" max="11338" width="9.625" style="30" customWidth="1"/>
    <col min="11339" max="11339" width="12.125" style="30" customWidth="1"/>
    <col min="11340" max="11340" width="11.875" style="30" customWidth="1"/>
    <col min="11341" max="11341" width="13.375" style="30" customWidth="1"/>
    <col min="11342" max="11342" width="11.5" style="30" customWidth="1"/>
    <col min="11343" max="11343" width="9.25" style="30" customWidth="1"/>
    <col min="11344" max="11344" width="11.625" style="30" bestFit="1" customWidth="1"/>
    <col min="11345" max="11345" width="10.625" style="30" customWidth="1"/>
    <col min="11346" max="11346" width="12" style="30" customWidth="1"/>
    <col min="11347" max="11347" width="11.625" style="30" customWidth="1"/>
    <col min="11348" max="11348" width="14" style="30" customWidth="1"/>
    <col min="11349" max="11349" width="11.125" style="30" customWidth="1"/>
    <col min="11350" max="11350" width="9.75" style="30" customWidth="1"/>
    <col min="11351" max="11351" width="11.625" style="30" bestFit="1" customWidth="1"/>
    <col min="11352" max="11352" width="10.125" style="30" customWidth="1"/>
    <col min="11353" max="11353" width="11.625" style="30" customWidth="1"/>
    <col min="11354" max="11354" width="11.375" style="30" customWidth="1"/>
    <col min="11355" max="11355" width="12.375" style="30" customWidth="1"/>
    <col min="11356" max="11357" width="10.875" style="30" customWidth="1"/>
    <col min="11358" max="11358" width="10.5" style="30" bestFit="1" customWidth="1"/>
    <col min="11359" max="11359" width="9.625" style="30" customWidth="1"/>
    <col min="11360" max="11360" width="11.875" style="30" customWidth="1"/>
    <col min="11361" max="11361" width="11.75" style="30" customWidth="1"/>
    <col min="11362" max="11362" width="14.125" style="30" customWidth="1"/>
    <col min="11363" max="11363" width="13.125" style="30" customWidth="1"/>
    <col min="11364" max="11364" width="8.75" style="30" customWidth="1"/>
    <col min="11365" max="11365" width="11.5" style="30" bestFit="1" customWidth="1"/>
    <col min="11366" max="11366" width="9.625" style="30" customWidth="1"/>
    <col min="11367" max="11367" width="13.625" style="30" customWidth="1"/>
    <col min="11368" max="11368" width="11.5" style="30" customWidth="1"/>
    <col min="11369" max="11369" width="11.75" style="30" customWidth="1"/>
    <col min="11370" max="11370" width="9.875" style="30" customWidth="1"/>
    <col min="11371" max="11371" width="9" style="30" customWidth="1"/>
    <col min="11372" max="11372" width="9.625" style="30" bestFit="1" customWidth="1"/>
    <col min="11373" max="11373" width="12.625" style="30" customWidth="1"/>
    <col min="11374" max="11374" width="12.375" style="30" customWidth="1"/>
    <col min="11375" max="11375" width="11.625" style="30" customWidth="1"/>
    <col min="11376" max="11377" width="14.125" style="30" customWidth="1"/>
    <col min="11378" max="11378" width="9.125" style="30" customWidth="1"/>
    <col min="11379" max="11379" width="10.5" style="30" bestFit="1" customWidth="1"/>
    <col min="11380" max="11380" width="9.625" style="30" customWidth="1"/>
    <col min="11381" max="11381" width="14.25" style="30" customWidth="1"/>
    <col min="11382" max="11382" width="11.875" style="30" customWidth="1"/>
    <col min="11383" max="11383" width="11" style="30" customWidth="1"/>
    <col min="11384" max="11384" width="11.75" style="30" customWidth="1"/>
    <col min="11385" max="11385" width="11.25" style="30" customWidth="1"/>
    <col min="11386" max="11386" width="9.625" style="30" bestFit="1" customWidth="1"/>
    <col min="11387" max="11387" width="9.625" style="30" customWidth="1"/>
    <col min="11388" max="11388" width="14.125" style="30" customWidth="1"/>
    <col min="11389" max="11389" width="11.125" style="30" customWidth="1"/>
    <col min="11390" max="11390" width="11.25" style="30" customWidth="1"/>
    <col min="11391" max="11391" width="12" style="30" customWidth="1"/>
    <col min="11392" max="11392" width="8.75" style="30" customWidth="1"/>
    <col min="11393" max="11393" width="9.625" style="30" bestFit="1" customWidth="1"/>
    <col min="11394" max="11394" width="9.625" style="30" customWidth="1"/>
    <col min="11395" max="11396" width="11.25" style="30" customWidth="1"/>
    <col min="11397" max="11397" width="12" style="30" customWidth="1"/>
    <col min="11398" max="11399" width="10.625" style="30" customWidth="1"/>
    <col min="11400" max="11400" width="11" style="30" customWidth="1"/>
    <col min="11401" max="11401" width="10.625" style="30" customWidth="1"/>
    <col min="11402" max="11402" width="12.375" style="30" customWidth="1"/>
    <col min="11403" max="11403" width="12" style="30" customWidth="1"/>
    <col min="11404" max="11404" width="11.625" style="30" customWidth="1"/>
    <col min="11405" max="11405" width="10.5" style="30" customWidth="1"/>
    <col min="11406" max="11406" width="8.625" style="30" customWidth="1"/>
    <col min="11407" max="11407" width="11.25" style="30" customWidth="1"/>
    <col min="11408" max="11408" width="9.875" style="30" customWidth="1"/>
    <col min="11409" max="11409" width="11.125" style="30" customWidth="1"/>
    <col min="11410" max="11410" width="11.625" style="30" customWidth="1"/>
    <col min="11411" max="11411" width="12.625" style="30" customWidth="1"/>
    <col min="11412" max="11412" width="11.5" style="30" customWidth="1"/>
    <col min="11413" max="11413" width="9.375" style="30"/>
    <col min="11414" max="11414" width="13.125" style="30" customWidth="1"/>
    <col min="11415" max="11415" width="9.5" style="30" customWidth="1"/>
    <col min="11416" max="11416" width="11.625" style="30" customWidth="1"/>
    <col min="11417" max="11417" width="11.5" style="30" customWidth="1"/>
    <col min="11418" max="11418" width="9.625" style="30" customWidth="1"/>
    <col min="11419" max="11419" width="9.25" style="30" customWidth="1"/>
    <col min="11420" max="11420" width="8.75" style="30" customWidth="1"/>
    <col min="11421" max="11421" width="9" style="30" customWidth="1"/>
    <col min="11422" max="11422" width="8.625" style="30" customWidth="1"/>
    <col min="11423" max="11423" width="11.125" style="30" customWidth="1"/>
    <col min="11424" max="11424" width="11.25" style="30" customWidth="1"/>
    <col min="11425" max="11425" width="11.5" style="30" customWidth="1"/>
    <col min="11426" max="11427" width="9" style="30" customWidth="1"/>
    <col min="11428" max="11428" width="9.875" style="30" customWidth="1"/>
    <col min="11429" max="11429" width="9.25" style="30" customWidth="1"/>
    <col min="11430" max="11430" width="11.125" style="30" customWidth="1"/>
    <col min="11431" max="11431" width="11.375" style="30" customWidth="1"/>
    <col min="11432" max="11432" width="10.875" style="30" customWidth="1"/>
    <col min="11433" max="11433" width="8.375" style="30" customWidth="1"/>
    <col min="11434" max="11434" width="9.125" style="30" customWidth="1"/>
    <col min="11435" max="11436" width="9" style="30" customWidth="1"/>
    <col min="11437" max="11437" width="10.75" style="30" customWidth="1"/>
    <col min="11438" max="11438" width="10.625" style="30" customWidth="1"/>
    <col min="11439" max="11439" width="10.25" style="30" customWidth="1"/>
    <col min="11440" max="11440" width="8.125" style="30" customWidth="1"/>
    <col min="11441" max="11443" width="9" style="30" customWidth="1"/>
    <col min="11444" max="11444" width="11.375" style="30" customWidth="1"/>
    <col min="11445" max="11445" width="11.125" style="30" customWidth="1"/>
    <col min="11446" max="11446" width="14.5" style="30" customWidth="1"/>
    <col min="11447" max="11447" width="10.875" style="30" customWidth="1"/>
    <col min="11448" max="11448" width="8.5" style="30" customWidth="1"/>
    <col min="11449" max="11449" width="10.375" style="30" customWidth="1"/>
    <col min="11450" max="11450" width="9" style="30" customWidth="1"/>
    <col min="11451" max="11451" width="12" style="30" customWidth="1"/>
    <col min="11452" max="11459" width="10.875" style="30" customWidth="1"/>
    <col min="11460" max="11460" width="10.5" style="30" customWidth="1"/>
    <col min="11461" max="11461" width="11.875" style="30" customWidth="1"/>
    <col min="11462" max="11462" width="10.875" style="30" customWidth="1"/>
    <col min="11463" max="11464" width="9" style="30" customWidth="1"/>
    <col min="11465" max="11465" width="12.125" style="30" customWidth="1"/>
    <col min="11466" max="11466" width="9.625" style="30" customWidth="1"/>
    <col min="11467" max="11468" width="9" style="30" customWidth="1"/>
    <col min="11469" max="11469" width="12.625" style="30" customWidth="1"/>
    <col min="11470" max="11470" width="11" style="30" customWidth="1"/>
    <col min="11471" max="11471" width="11.75" style="30" bestFit="1" customWidth="1"/>
    <col min="11472" max="11472" width="11.875" style="30" customWidth="1"/>
    <col min="11473" max="11474" width="9" style="30" customWidth="1"/>
    <col min="11475" max="11475" width="12.25" style="30" customWidth="1"/>
    <col min="11476" max="11476" width="10.875" style="30" customWidth="1"/>
    <col min="11477" max="11477" width="9" style="30" customWidth="1"/>
    <col min="11478" max="11478" width="10.875" style="30" customWidth="1"/>
    <col min="11479" max="11479" width="10.5" style="30" customWidth="1"/>
    <col min="11480" max="11481" width="9" style="30" customWidth="1"/>
    <col min="11482" max="11482" width="12.625" style="30" customWidth="1"/>
    <col min="11483" max="11484" width="9" style="30" customWidth="1"/>
    <col min="11485" max="11485" width="12" style="30" customWidth="1"/>
    <col min="11486" max="11502" width="9" style="30" customWidth="1"/>
    <col min="11503" max="11503" width="12.375" style="30" customWidth="1"/>
    <col min="11504" max="11504" width="12.5" style="30" customWidth="1"/>
    <col min="11505" max="11505" width="11.875" style="30" customWidth="1"/>
    <col min="11506" max="11506" width="11.625" style="30" customWidth="1"/>
    <col min="11507" max="11507" width="12.125" style="30" customWidth="1"/>
    <col min="11508" max="11509" width="10.5" style="30" bestFit="1" customWidth="1"/>
    <col min="11510" max="11510" width="10.625" style="30" bestFit="1" customWidth="1"/>
    <col min="11511" max="11518" width="10.5" style="30" bestFit="1" customWidth="1"/>
    <col min="11519" max="11519" width="10.5" style="30" customWidth="1"/>
    <col min="11520" max="11520" width="10.5" style="30" bestFit="1" customWidth="1"/>
    <col min="11521" max="11521" width="11.5" style="30" customWidth="1"/>
    <col min="11522" max="11522" width="9.5" style="30" bestFit="1" customWidth="1"/>
    <col min="11523" max="11533" width="10.5" style="30" bestFit="1" customWidth="1"/>
    <col min="11534" max="11534" width="12.75" style="30" bestFit="1" customWidth="1"/>
    <col min="11535" max="11539" width="10.5" style="30" bestFit="1" customWidth="1"/>
    <col min="11540" max="11541" width="9.375" style="30"/>
    <col min="11542" max="11542" width="8.5" style="30" customWidth="1"/>
    <col min="11543" max="11543" width="8" style="30" customWidth="1"/>
    <col min="11544" max="11544" width="21.25" style="30" customWidth="1"/>
    <col min="11545" max="11545" width="16.25" style="30" customWidth="1"/>
    <col min="11546" max="11546" width="11.625" style="30" customWidth="1"/>
    <col min="11547" max="11547" width="13.625" style="30" customWidth="1"/>
    <col min="11548" max="11548" width="12.875" style="30" customWidth="1"/>
    <col min="11549" max="11549" width="15.5" style="30" customWidth="1"/>
    <col min="11550" max="11551" width="13.375" style="30" customWidth="1"/>
    <col min="11552" max="11552" width="14.375" style="30" customWidth="1"/>
    <col min="11553" max="11553" width="11.875" style="30" customWidth="1"/>
    <col min="11554" max="11555" width="14.25" style="30" customWidth="1"/>
    <col min="11556" max="11556" width="8.625" style="30" customWidth="1"/>
    <col min="11557" max="11557" width="10.625" style="30" customWidth="1"/>
    <col min="11558" max="11558" width="9.875" style="30" customWidth="1"/>
    <col min="11559" max="11559" width="14" style="30" customWidth="1"/>
    <col min="11560" max="11560" width="10.875" style="30" customWidth="1"/>
    <col min="11561" max="11561" width="12.375" style="30" customWidth="1"/>
    <col min="11562" max="11562" width="12" style="30" customWidth="1"/>
    <col min="11563" max="11563" width="13.625" style="30" customWidth="1"/>
    <col min="11564" max="11564" width="10" style="30" customWidth="1"/>
    <col min="11565" max="11565" width="9.625" style="30" customWidth="1"/>
    <col min="11566" max="11566" width="11.75" style="30" customWidth="1"/>
    <col min="11567" max="11567" width="11.375" style="30" customWidth="1"/>
    <col min="11568" max="11568" width="12.875" style="30" customWidth="1"/>
    <col min="11569" max="11569" width="13" style="30" customWidth="1"/>
    <col min="11570" max="11570" width="8.875" style="30" customWidth="1"/>
    <col min="11571" max="11571" width="13.125" style="30" customWidth="1"/>
    <col min="11572" max="11572" width="9.625" style="30" customWidth="1"/>
    <col min="11573" max="11573" width="12.875" style="30" customWidth="1"/>
    <col min="11574" max="11574" width="11.5" style="30" customWidth="1"/>
    <col min="11575" max="11575" width="9.75" style="30" customWidth="1"/>
    <col min="11576" max="11576" width="13.375" style="30" customWidth="1"/>
    <col min="11577" max="11577" width="12.125" style="30" customWidth="1"/>
    <col min="11578" max="11578" width="10.25" style="30" customWidth="1"/>
    <col min="11579" max="11579" width="11.625" style="30" bestFit="1" customWidth="1"/>
    <col min="11580" max="11580" width="9.875" style="30" customWidth="1"/>
    <col min="11581" max="11581" width="13.375" style="30" customWidth="1"/>
    <col min="11582" max="11582" width="11.5" style="30" customWidth="1"/>
    <col min="11583" max="11583" width="12" style="30" customWidth="1"/>
    <col min="11584" max="11584" width="9.125" style="30" customWidth="1"/>
    <col min="11585" max="11585" width="9" style="30" customWidth="1"/>
    <col min="11586" max="11586" width="12.875" style="30" bestFit="1" customWidth="1"/>
    <col min="11587" max="11588" width="12" style="30" customWidth="1"/>
    <col min="11589" max="11589" width="11.875" style="30" customWidth="1"/>
    <col min="11590" max="11590" width="11" style="30" customWidth="1"/>
    <col min="11591" max="11591" width="11.625" style="30" customWidth="1"/>
    <col min="11592" max="11592" width="8.875" style="30" customWidth="1"/>
    <col min="11593" max="11593" width="11.625" style="30" bestFit="1" customWidth="1"/>
    <col min="11594" max="11594" width="9.625" style="30" customWidth="1"/>
    <col min="11595" max="11595" width="12.125" style="30" customWidth="1"/>
    <col min="11596" max="11596" width="11.875" style="30" customWidth="1"/>
    <col min="11597" max="11597" width="13.375" style="30" customWidth="1"/>
    <col min="11598" max="11598" width="11.5" style="30" customWidth="1"/>
    <col min="11599" max="11599" width="9.25" style="30" customWidth="1"/>
    <col min="11600" max="11600" width="11.625" style="30" bestFit="1" customWidth="1"/>
    <col min="11601" max="11601" width="10.625" style="30" customWidth="1"/>
    <col min="11602" max="11602" width="12" style="30" customWidth="1"/>
    <col min="11603" max="11603" width="11.625" style="30" customWidth="1"/>
    <col min="11604" max="11604" width="14" style="30" customWidth="1"/>
    <col min="11605" max="11605" width="11.125" style="30" customWidth="1"/>
    <col min="11606" max="11606" width="9.75" style="30" customWidth="1"/>
    <col min="11607" max="11607" width="11.625" style="30" bestFit="1" customWidth="1"/>
    <col min="11608" max="11608" width="10.125" style="30" customWidth="1"/>
    <col min="11609" max="11609" width="11.625" style="30" customWidth="1"/>
    <col min="11610" max="11610" width="11.375" style="30" customWidth="1"/>
    <col min="11611" max="11611" width="12.375" style="30" customWidth="1"/>
    <col min="11612" max="11613" width="10.875" style="30" customWidth="1"/>
    <col min="11614" max="11614" width="10.5" style="30" bestFit="1" customWidth="1"/>
    <col min="11615" max="11615" width="9.625" style="30" customWidth="1"/>
    <col min="11616" max="11616" width="11.875" style="30" customWidth="1"/>
    <col min="11617" max="11617" width="11.75" style="30" customWidth="1"/>
    <col min="11618" max="11618" width="14.125" style="30" customWidth="1"/>
    <col min="11619" max="11619" width="13.125" style="30" customWidth="1"/>
    <col min="11620" max="11620" width="8.75" style="30" customWidth="1"/>
    <col min="11621" max="11621" width="11.5" style="30" bestFit="1" customWidth="1"/>
    <col min="11622" max="11622" width="9.625" style="30" customWidth="1"/>
    <col min="11623" max="11623" width="13.625" style="30" customWidth="1"/>
    <col min="11624" max="11624" width="11.5" style="30" customWidth="1"/>
    <col min="11625" max="11625" width="11.75" style="30" customWidth="1"/>
    <col min="11626" max="11626" width="9.875" style="30" customWidth="1"/>
    <col min="11627" max="11627" width="9" style="30" customWidth="1"/>
    <col min="11628" max="11628" width="9.625" style="30" bestFit="1" customWidth="1"/>
    <col min="11629" max="11629" width="12.625" style="30" customWidth="1"/>
    <col min="11630" max="11630" width="12.375" style="30" customWidth="1"/>
    <col min="11631" max="11631" width="11.625" style="30" customWidth="1"/>
    <col min="11632" max="11633" width="14.125" style="30" customWidth="1"/>
    <col min="11634" max="11634" width="9.125" style="30" customWidth="1"/>
    <col min="11635" max="11635" width="10.5" style="30" bestFit="1" customWidth="1"/>
    <col min="11636" max="11636" width="9.625" style="30" customWidth="1"/>
    <col min="11637" max="11637" width="14.25" style="30" customWidth="1"/>
    <col min="11638" max="11638" width="11.875" style="30" customWidth="1"/>
    <col min="11639" max="11639" width="11" style="30" customWidth="1"/>
    <col min="11640" max="11640" width="11.75" style="30" customWidth="1"/>
    <col min="11641" max="11641" width="11.25" style="30" customWidth="1"/>
    <col min="11642" max="11642" width="9.625" style="30" bestFit="1" customWidth="1"/>
    <col min="11643" max="11643" width="9.625" style="30" customWidth="1"/>
    <col min="11644" max="11644" width="14.125" style="30" customWidth="1"/>
    <col min="11645" max="11645" width="11.125" style="30" customWidth="1"/>
    <col min="11646" max="11646" width="11.25" style="30" customWidth="1"/>
    <col min="11647" max="11647" width="12" style="30" customWidth="1"/>
    <col min="11648" max="11648" width="8.75" style="30" customWidth="1"/>
    <col min="11649" max="11649" width="9.625" style="30" bestFit="1" customWidth="1"/>
    <col min="11650" max="11650" width="9.625" style="30" customWidth="1"/>
    <col min="11651" max="11652" width="11.25" style="30" customWidth="1"/>
    <col min="11653" max="11653" width="12" style="30" customWidth="1"/>
    <col min="11654" max="11655" width="10.625" style="30" customWidth="1"/>
    <col min="11656" max="11656" width="11" style="30" customWidth="1"/>
    <col min="11657" max="11657" width="10.625" style="30" customWidth="1"/>
    <col min="11658" max="11658" width="12.375" style="30" customWidth="1"/>
    <col min="11659" max="11659" width="12" style="30" customWidth="1"/>
    <col min="11660" max="11660" width="11.625" style="30" customWidth="1"/>
    <col min="11661" max="11661" width="10.5" style="30" customWidth="1"/>
    <col min="11662" max="11662" width="8.625" style="30" customWidth="1"/>
    <col min="11663" max="11663" width="11.25" style="30" customWidth="1"/>
    <col min="11664" max="11664" width="9.875" style="30" customWidth="1"/>
    <col min="11665" max="11665" width="11.125" style="30" customWidth="1"/>
    <col min="11666" max="11666" width="11.625" style="30" customWidth="1"/>
    <col min="11667" max="11667" width="12.625" style="30" customWidth="1"/>
    <col min="11668" max="11668" width="11.5" style="30" customWidth="1"/>
    <col min="11669" max="11669" width="9.375" style="30"/>
    <col min="11670" max="11670" width="13.125" style="30" customWidth="1"/>
    <col min="11671" max="11671" width="9.5" style="30" customWidth="1"/>
    <col min="11672" max="11672" width="11.625" style="30" customWidth="1"/>
    <col min="11673" max="11673" width="11.5" style="30" customWidth="1"/>
    <col min="11674" max="11674" width="9.625" style="30" customWidth="1"/>
    <col min="11675" max="11675" width="9.25" style="30" customWidth="1"/>
    <col min="11676" max="11676" width="8.75" style="30" customWidth="1"/>
    <col min="11677" max="11677" width="9" style="30" customWidth="1"/>
    <col min="11678" max="11678" width="8.625" style="30" customWidth="1"/>
    <col min="11679" max="11679" width="11.125" style="30" customWidth="1"/>
    <col min="11680" max="11680" width="11.25" style="30" customWidth="1"/>
    <col min="11681" max="11681" width="11.5" style="30" customWidth="1"/>
    <col min="11682" max="11683" width="9" style="30" customWidth="1"/>
    <col min="11684" max="11684" width="9.875" style="30" customWidth="1"/>
    <col min="11685" max="11685" width="9.25" style="30" customWidth="1"/>
    <col min="11686" max="11686" width="11.125" style="30" customWidth="1"/>
    <col min="11687" max="11687" width="11.375" style="30" customWidth="1"/>
    <col min="11688" max="11688" width="10.875" style="30" customWidth="1"/>
    <col min="11689" max="11689" width="8.375" style="30" customWidth="1"/>
    <col min="11690" max="11690" width="9.125" style="30" customWidth="1"/>
    <col min="11691" max="11692" width="9" style="30" customWidth="1"/>
    <col min="11693" max="11693" width="10.75" style="30" customWidth="1"/>
    <col min="11694" max="11694" width="10.625" style="30" customWidth="1"/>
    <col min="11695" max="11695" width="10.25" style="30" customWidth="1"/>
    <col min="11696" max="11696" width="8.125" style="30" customWidth="1"/>
    <col min="11697" max="11699" width="9" style="30" customWidth="1"/>
    <col min="11700" max="11700" width="11.375" style="30" customWidth="1"/>
    <col min="11701" max="11701" width="11.125" style="30" customWidth="1"/>
    <col min="11702" max="11702" width="14.5" style="30" customWidth="1"/>
    <col min="11703" max="11703" width="10.875" style="30" customWidth="1"/>
    <col min="11704" max="11704" width="8.5" style="30" customWidth="1"/>
    <col min="11705" max="11705" width="10.375" style="30" customWidth="1"/>
    <col min="11706" max="11706" width="9" style="30" customWidth="1"/>
    <col min="11707" max="11707" width="12" style="30" customWidth="1"/>
    <col min="11708" max="11715" width="10.875" style="30" customWidth="1"/>
    <col min="11716" max="11716" width="10.5" style="30" customWidth="1"/>
    <col min="11717" max="11717" width="11.875" style="30" customWidth="1"/>
    <col min="11718" max="11718" width="10.875" style="30" customWidth="1"/>
    <col min="11719" max="11720" width="9" style="30" customWidth="1"/>
    <col min="11721" max="11721" width="12.125" style="30" customWidth="1"/>
    <col min="11722" max="11722" width="9.625" style="30" customWidth="1"/>
    <col min="11723" max="11724" width="9" style="30" customWidth="1"/>
    <col min="11725" max="11725" width="12.625" style="30" customWidth="1"/>
    <col min="11726" max="11726" width="11" style="30" customWidth="1"/>
    <col min="11727" max="11727" width="11.75" style="30" bestFit="1" customWidth="1"/>
    <col min="11728" max="11728" width="11.875" style="30" customWidth="1"/>
    <col min="11729" max="11730" width="9" style="30" customWidth="1"/>
    <col min="11731" max="11731" width="12.25" style="30" customWidth="1"/>
    <col min="11732" max="11732" width="10.875" style="30" customWidth="1"/>
    <col min="11733" max="11733" width="9" style="30" customWidth="1"/>
    <col min="11734" max="11734" width="10.875" style="30" customWidth="1"/>
    <col min="11735" max="11735" width="10.5" style="30" customWidth="1"/>
    <col min="11736" max="11737" width="9" style="30" customWidth="1"/>
    <col min="11738" max="11738" width="12.625" style="30" customWidth="1"/>
    <col min="11739" max="11740" width="9" style="30" customWidth="1"/>
    <col min="11741" max="11741" width="12" style="30" customWidth="1"/>
    <col min="11742" max="11758" width="9" style="30" customWidth="1"/>
    <col min="11759" max="11759" width="12.375" style="30" customWidth="1"/>
    <col min="11760" max="11760" width="12.5" style="30" customWidth="1"/>
    <col min="11761" max="11761" width="11.875" style="30" customWidth="1"/>
    <col min="11762" max="11762" width="11.625" style="30" customWidth="1"/>
    <col min="11763" max="11763" width="12.125" style="30" customWidth="1"/>
    <col min="11764" max="11765" width="10.5" style="30" bestFit="1" customWidth="1"/>
    <col min="11766" max="11766" width="10.625" style="30" bestFit="1" customWidth="1"/>
    <col min="11767" max="11774" width="10.5" style="30" bestFit="1" customWidth="1"/>
    <col min="11775" max="11775" width="10.5" style="30" customWidth="1"/>
    <col min="11776" max="11776" width="10.5" style="30" bestFit="1" customWidth="1"/>
    <col min="11777" max="11777" width="11.5" style="30" customWidth="1"/>
    <col min="11778" max="11778" width="9.5" style="30" bestFit="1" customWidth="1"/>
    <col min="11779" max="11789" width="10.5" style="30" bestFit="1" customWidth="1"/>
    <col min="11790" max="11790" width="12.75" style="30" bestFit="1" customWidth="1"/>
    <col min="11791" max="11795" width="10.5" style="30" bestFit="1" customWidth="1"/>
    <col min="11796" max="11797" width="9.375" style="30"/>
    <col min="11798" max="11798" width="8.5" style="30" customWidth="1"/>
    <col min="11799" max="11799" width="8" style="30" customWidth="1"/>
    <col min="11800" max="11800" width="21.25" style="30" customWidth="1"/>
    <col min="11801" max="11801" width="16.25" style="30" customWidth="1"/>
    <col min="11802" max="11802" width="11.625" style="30" customWidth="1"/>
    <col min="11803" max="11803" width="13.625" style="30" customWidth="1"/>
    <col min="11804" max="11804" width="12.875" style="30" customWidth="1"/>
    <col min="11805" max="11805" width="15.5" style="30" customWidth="1"/>
    <col min="11806" max="11807" width="13.375" style="30" customWidth="1"/>
    <col min="11808" max="11808" width="14.375" style="30" customWidth="1"/>
    <col min="11809" max="11809" width="11.875" style="30" customWidth="1"/>
    <col min="11810" max="11811" width="14.25" style="30" customWidth="1"/>
    <col min="11812" max="11812" width="8.625" style="30" customWidth="1"/>
    <col min="11813" max="11813" width="10.625" style="30" customWidth="1"/>
    <col min="11814" max="11814" width="9.875" style="30" customWidth="1"/>
    <col min="11815" max="11815" width="14" style="30" customWidth="1"/>
    <col min="11816" max="11816" width="10.875" style="30" customWidth="1"/>
    <col min="11817" max="11817" width="12.375" style="30" customWidth="1"/>
    <col min="11818" max="11818" width="12" style="30" customWidth="1"/>
    <col min="11819" max="11819" width="13.625" style="30" customWidth="1"/>
    <col min="11820" max="11820" width="10" style="30" customWidth="1"/>
    <col min="11821" max="11821" width="9.625" style="30" customWidth="1"/>
    <col min="11822" max="11822" width="11.75" style="30" customWidth="1"/>
    <col min="11823" max="11823" width="11.375" style="30" customWidth="1"/>
    <col min="11824" max="11824" width="12.875" style="30" customWidth="1"/>
    <col min="11825" max="11825" width="13" style="30" customWidth="1"/>
    <col min="11826" max="11826" width="8.875" style="30" customWidth="1"/>
    <col min="11827" max="11827" width="13.125" style="30" customWidth="1"/>
    <col min="11828" max="11828" width="9.625" style="30" customWidth="1"/>
    <col min="11829" max="11829" width="12.875" style="30" customWidth="1"/>
    <col min="11830" max="11830" width="11.5" style="30" customWidth="1"/>
    <col min="11831" max="11831" width="9.75" style="30" customWidth="1"/>
    <col min="11832" max="11832" width="13.375" style="30" customWidth="1"/>
    <col min="11833" max="11833" width="12.125" style="30" customWidth="1"/>
    <col min="11834" max="11834" width="10.25" style="30" customWidth="1"/>
    <col min="11835" max="11835" width="11.625" style="30" bestFit="1" customWidth="1"/>
    <col min="11836" max="11836" width="9.875" style="30" customWidth="1"/>
    <col min="11837" max="11837" width="13.375" style="30" customWidth="1"/>
    <col min="11838" max="11838" width="11.5" style="30" customWidth="1"/>
    <col min="11839" max="11839" width="12" style="30" customWidth="1"/>
    <col min="11840" max="11840" width="9.125" style="30" customWidth="1"/>
    <col min="11841" max="11841" width="9" style="30" customWidth="1"/>
    <col min="11842" max="11842" width="12.875" style="30" bestFit="1" customWidth="1"/>
    <col min="11843" max="11844" width="12" style="30" customWidth="1"/>
    <col min="11845" max="11845" width="11.875" style="30" customWidth="1"/>
    <col min="11846" max="11846" width="11" style="30" customWidth="1"/>
    <col min="11847" max="11847" width="11.625" style="30" customWidth="1"/>
    <col min="11848" max="11848" width="8.875" style="30" customWidth="1"/>
    <col min="11849" max="11849" width="11.625" style="30" bestFit="1" customWidth="1"/>
    <col min="11850" max="11850" width="9.625" style="30" customWidth="1"/>
    <col min="11851" max="11851" width="12.125" style="30" customWidth="1"/>
    <col min="11852" max="11852" width="11.875" style="30" customWidth="1"/>
    <col min="11853" max="11853" width="13.375" style="30" customWidth="1"/>
    <col min="11854" max="11854" width="11.5" style="30" customWidth="1"/>
    <col min="11855" max="11855" width="9.25" style="30" customWidth="1"/>
    <col min="11856" max="11856" width="11.625" style="30" bestFit="1" customWidth="1"/>
    <col min="11857" max="11857" width="10.625" style="30" customWidth="1"/>
    <col min="11858" max="11858" width="12" style="30" customWidth="1"/>
    <col min="11859" max="11859" width="11.625" style="30" customWidth="1"/>
    <col min="11860" max="11860" width="14" style="30" customWidth="1"/>
    <col min="11861" max="11861" width="11.125" style="30" customWidth="1"/>
    <col min="11862" max="11862" width="9.75" style="30" customWidth="1"/>
    <col min="11863" max="11863" width="11.625" style="30" bestFit="1" customWidth="1"/>
    <col min="11864" max="11864" width="10.125" style="30" customWidth="1"/>
    <col min="11865" max="11865" width="11.625" style="30" customWidth="1"/>
    <col min="11866" max="11866" width="11.375" style="30" customWidth="1"/>
    <col min="11867" max="11867" width="12.375" style="30" customWidth="1"/>
    <col min="11868" max="11869" width="10.875" style="30" customWidth="1"/>
    <col min="11870" max="11870" width="10.5" style="30" bestFit="1" customWidth="1"/>
    <col min="11871" max="11871" width="9.625" style="30" customWidth="1"/>
    <col min="11872" max="11872" width="11.875" style="30" customWidth="1"/>
    <col min="11873" max="11873" width="11.75" style="30" customWidth="1"/>
    <col min="11874" max="11874" width="14.125" style="30" customWidth="1"/>
    <col min="11875" max="11875" width="13.125" style="30" customWidth="1"/>
    <col min="11876" max="11876" width="8.75" style="30" customWidth="1"/>
    <col min="11877" max="11877" width="11.5" style="30" bestFit="1" customWidth="1"/>
    <col min="11878" max="11878" width="9.625" style="30" customWidth="1"/>
    <col min="11879" max="11879" width="13.625" style="30" customWidth="1"/>
    <col min="11880" max="11880" width="11.5" style="30" customWidth="1"/>
    <col min="11881" max="11881" width="11.75" style="30" customWidth="1"/>
    <col min="11882" max="11882" width="9.875" style="30" customWidth="1"/>
    <col min="11883" max="11883" width="9" style="30" customWidth="1"/>
    <col min="11884" max="11884" width="9.625" style="30" bestFit="1" customWidth="1"/>
    <col min="11885" max="11885" width="12.625" style="30" customWidth="1"/>
    <col min="11886" max="11886" width="12.375" style="30" customWidth="1"/>
    <col min="11887" max="11887" width="11.625" style="30" customWidth="1"/>
    <col min="11888" max="11889" width="14.125" style="30" customWidth="1"/>
    <col min="11890" max="11890" width="9.125" style="30" customWidth="1"/>
    <col min="11891" max="11891" width="10.5" style="30" bestFit="1" customWidth="1"/>
    <col min="11892" max="11892" width="9.625" style="30" customWidth="1"/>
    <col min="11893" max="11893" width="14.25" style="30" customWidth="1"/>
    <col min="11894" max="11894" width="11.875" style="30" customWidth="1"/>
    <col min="11895" max="11895" width="11" style="30" customWidth="1"/>
    <col min="11896" max="11896" width="11.75" style="30" customWidth="1"/>
    <col min="11897" max="11897" width="11.25" style="30" customWidth="1"/>
    <col min="11898" max="11898" width="9.625" style="30" bestFit="1" customWidth="1"/>
    <col min="11899" max="11899" width="9.625" style="30" customWidth="1"/>
    <col min="11900" max="11900" width="14.125" style="30" customWidth="1"/>
    <col min="11901" max="11901" width="11.125" style="30" customWidth="1"/>
    <col min="11902" max="11902" width="11.25" style="30" customWidth="1"/>
    <col min="11903" max="11903" width="12" style="30" customWidth="1"/>
    <col min="11904" max="11904" width="8.75" style="30" customWidth="1"/>
    <col min="11905" max="11905" width="9.625" style="30" bestFit="1" customWidth="1"/>
    <col min="11906" max="11906" width="9.625" style="30" customWidth="1"/>
    <col min="11907" max="11908" width="11.25" style="30" customWidth="1"/>
    <col min="11909" max="11909" width="12" style="30" customWidth="1"/>
    <col min="11910" max="11911" width="10.625" style="30" customWidth="1"/>
    <col min="11912" max="11912" width="11" style="30" customWidth="1"/>
    <col min="11913" max="11913" width="10.625" style="30" customWidth="1"/>
    <col min="11914" max="11914" width="12.375" style="30" customWidth="1"/>
    <col min="11915" max="11915" width="12" style="30" customWidth="1"/>
    <col min="11916" max="11916" width="11.625" style="30" customWidth="1"/>
    <col min="11917" max="11917" width="10.5" style="30" customWidth="1"/>
    <col min="11918" max="11918" width="8.625" style="30" customWidth="1"/>
    <col min="11919" max="11919" width="11.25" style="30" customWidth="1"/>
    <col min="11920" max="11920" width="9.875" style="30" customWidth="1"/>
    <col min="11921" max="11921" width="11.125" style="30" customWidth="1"/>
    <col min="11922" max="11922" width="11.625" style="30" customWidth="1"/>
    <col min="11923" max="11923" width="12.625" style="30" customWidth="1"/>
    <col min="11924" max="11924" width="11.5" style="30" customWidth="1"/>
    <col min="11925" max="11925" width="9.375" style="30"/>
    <col min="11926" max="11926" width="13.125" style="30" customWidth="1"/>
    <col min="11927" max="11927" width="9.5" style="30" customWidth="1"/>
    <col min="11928" max="11928" width="11.625" style="30" customWidth="1"/>
    <col min="11929" max="11929" width="11.5" style="30" customWidth="1"/>
    <col min="11930" max="11930" width="9.625" style="30" customWidth="1"/>
    <col min="11931" max="11931" width="9.25" style="30" customWidth="1"/>
    <col min="11932" max="11932" width="8.75" style="30" customWidth="1"/>
    <col min="11933" max="11933" width="9" style="30" customWidth="1"/>
    <col min="11934" max="11934" width="8.625" style="30" customWidth="1"/>
    <col min="11935" max="11935" width="11.125" style="30" customWidth="1"/>
    <col min="11936" max="11936" width="11.25" style="30" customWidth="1"/>
    <col min="11937" max="11937" width="11.5" style="30" customWidth="1"/>
    <col min="11938" max="11939" width="9" style="30" customWidth="1"/>
    <col min="11940" max="11940" width="9.875" style="30" customWidth="1"/>
    <col min="11941" max="11941" width="9.25" style="30" customWidth="1"/>
    <col min="11942" max="11942" width="11.125" style="30" customWidth="1"/>
    <col min="11943" max="11943" width="11.375" style="30" customWidth="1"/>
    <col min="11944" max="11944" width="10.875" style="30" customWidth="1"/>
    <col min="11945" max="11945" width="8.375" style="30" customWidth="1"/>
    <col min="11946" max="11946" width="9.125" style="30" customWidth="1"/>
    <col min="11947" max="11948" width="9" style="30" customWidth="1"/>
    <col min="11949" max="11949" width="10.75" style="30" customWidth="1"/>
    <col min="11950" max="11950" width="10.625" style="30" customWidth="1"/>
    <col min="11951" max="11951" width="10.25" style="30" customWidth="1"/>
    <col min="11952" max="11952" width="8.125" style="30" customWidth="1"/>
    <col min="11953" max="11955" width="9" style="30" customWidth="1"/>
    <col min="11956" max="11956" width="11.375" style="30" customWidth="1"/>
    <col min="11957" max="11957" width="11.125" style="30" customWidth="1"/>
    <col min="11958" max="11958" width="14.5" style="30" customWidth="1"/>
    <col min="11959" max="11959" width="10.875" style="30" customWidth="1"/>
    <col min="11960" max="11960" width="8.5" style="30" customWidth="1"/>
    <col min="11961" max="11961" width="10.375" style="30" customWidth="1"/>
    <col min="11962" max="11962" width="9" style="30" customWidth="1"/>
    <col min="11963" max="11963" width="12" style="30" customWidth="1"/>
    <col min="11964" max="11971" width="10.875" style="30" customWidth="1"/>
    <col min="11972" max="11972" width="10.5" style="30" customWidth="1"/>
    <col min="11973" max="11973" width="11.875" style="30" customWidth="1"/>
    <col min="11974" max="11974" width="10.875" style="30" customWidth="1"/>
    <col min="11975" max="11976" width="9" style="30" customWidth="1"/>
    <col min="11977" max="11977" width="12.125" style="30" customWidth="1"/>
    <col min="11978" max="11978" width="9.625" style="30" customWidth="1"/>
    <col min="11979" max="11980" width="9" style="30" customWidth="1"/>
    <col min="11981" max="11981" width="12.625" style="30" customWidth="1"/>
    <col min="11982" max="11982" width="11" style="30" customWidth="1"/>
    <col min="11983" max="11983" width="11.75" style="30" bestFit="1" customWidth="1"/>
    <col min="11984" max="11984" width="11.875" style="30" customWidth="1"/>
    <col min="11985" max="11986" width="9" style="30" customWidth="1"/>
    <col min="11987" max="11987" width="12.25" style="30" customWidth="1"/>
    <col min="11988" max="11988" width="10.875" style="30" customWidth="1"/>
    <col min="11989" max="11989" width="9" style="30" customWidth="1"/>
    <col min="11990" max="11990" width="10.875" style="30" customWidth="1"/>
    <col min="11991" max="11991" width="10.5" style="30" customWidth="1"/>
    <col min="11992" max="11993" width="9" style="30" customWidth="1"/>
    <col min="11994" max="11994" width="12.625" style="30" customWidth="1"/>
    <col min="11995" max="11996" width="9" style="30" customWidth="1"/>
    <col min="11997" max="11997" width="12" style="30" customWidth="1"/>
    <col min="11998" max="12014" width="9" style="30" customWidth="1"/>
    <col min="12015" max="12015" width="12.375" style="30" customWidth="1"/>
    <col min="12016" max="12016" width="12.5" style="30" customWidth="1"/>
    <col min="12017" max="12017" width="11.875" style="30" customWidth="1"/>
    <col min="12018" max="12018" width="11.625" style="30" customWidth="1"/>
    <col min="12019" max="12019" width="12.125" style="30" customWidth="1"/>
    <col min="12020" max="12021" width="10.5" style="30" bestFit="1" customWidth="1"/>
    <col min="12022" max="12022" width="10.625" style="30" bestFit="1" customWidth="1"/>
    <col min="12023" max="12030" width="10.5" style="30" bestFit="1" customWidth="1"/>
    <col min="12031" max="12031" width="10.5" style="30" customWidth="1"/>
    <col min="12032" max="12032" width="10.5" style="30" bestFit="1" customWidth="1"/>
    <col min="12033" max="12033" width="11.5" style="30" customWidth="1"/>
    <col min="12034" max="12034" width="9.5" style="30" bestFit="1" customWidth="1"/>
    <col min="12035" max="12045" width="10.5" style="30" bestFit="1" customWidth="1"/>
    <col min="12046" max="12046" width="12.75" style="30" bestFit="1" customWidth="1"/>
    <col min="12047" max="12051" width="10.5" style="30" bestFit="1" customWidth="1"/>
    <col min="12052" max="12053" width="9.375" style="30"/>
    <col min="12054" max="12054" width="8.5" style="30" customWidth="1"/>
    <col min="12055" max="12055" width="8" style="30" customWidth="1"/>
    <col min="12056" max="12056" width="21.25" style="30" customWidth="1"/>
    <col min="12057" max="12057" width="16.25" style="30" customWidth="1"/>
    <col min="12058" max="12058" width="11.625" style="30" customWidth="1"/>
    <col min="12059" max="12059" width="13.625" style="30" customWidth="1"/>
    <col min="12060" max="12060" width="12.875" style="30" customWidth="1"/>
    <col min="12061" max="12061" width="15.5" style="30" customWidth="1"/>
    <col min="12062" max="12063" width="13.375" style="30" customWidth="1"/>
    <col min="12064" max="12064" width="14.375" style="30" customWidth="1"/>
    <col min="12065" max="12065" width="11.875" style="30" customWidth="1"/>
    <col min="12066" max="12067" width="14.25" style="30" customWidth="1"/>
    <col min="12068" max="12068" width="8.625" style="30" customWidth="1"/>
    <col min="12069" max="12069" width="10.625" style="30" customWidth="1"/>
    <col min="12070" max="12070" width="9.875" style="30" customWidth="1"/>
    <col min="12071" max="12071" width="14" style="30" customWidth="1"/>
    <col min="12072" max="12072" width="10.875" style="30" customWidth="1"/>
    <col min="12073" max="12073" width="12.375" style="30" customWidth="1"/>
    <col min="12074" max="12074" width="12" style="30" customWidth="1"/>
    <col min="12075" max="12075" width="13.625" style="30" customWidth="1"/>
    <col min="12076" max="12076" width="10" style="30" customWidth="1"/>
    <col min="12077" max="12077" width="9.625" style="30" customWidth="1"/>
    <col min="12078" max="12078" width="11.75" style="30" customWidth="1"/>
    <col min="12079" max="12079" width="11.375" style="30" customWidth="1"/>
    <col min="12080" max="12080" width="12.875" style="30" customWidth="1"/>
    <col min="12081" max="12081" width="13" style="30" customWidth="1"/>
    <col min="12082" max="12082" width="8.875" style="30" customWidth="1"/>
    <col min="12083" max="12083" width="13.125" style="30" customWidth="1"/>
    <col min="12084" max="12084" width="9.625" style="30" customWidth="1"/>
    <col min="12085" max="12085" width="12.875" style="30" customWidth="1"/>
    <col min="12086" max="12086" width="11.5" style="30" customWidth="1"/>
    <col min="12087" max="12087" width="9.75" style="30" customWidth="1"/>
    <col min="12088" max="12088" width="13.375" style="30" customWidth="1"/>
    <col min="12089" max="12089" width="12.125" style="30" customWidth="1"/>
    <col min="12090" max="12090" width="10.25" style="30" customWidth="1"/>
    <col min="12091" max="12091" width="11.625" style="30" bestFit="1" customWidth="1"/>
    <col min="12092" max="12092" width="9.875" style="30" customWidth="1"/>
    <col min="12093" max="12093" width="13.375" style="30" customWidth="1"/>
    <col min="12094" max="12094" width="11.5" style="30" customWidth="1"/>
    <col min="12095" max="12095" width="12" style="30" customWidth="1"/>
    <col min="12096" max="12096" width="9.125" style="30" customWidth="1"/>
    <col min="12097" max="12097" width="9" style="30" customWidth="1"/>
    <col min="12098" max="12098" width="12.875" style="30" bestFit="1" customWidth="1"/>
    <col min="12099" max="12100" width="12" style="30" customWidth="1"/>
    <col min="12101" max="12101" width="11.875" style="30" customWidth="1"/>
    <col min="12102" max="12102" width="11" style="30" customWidth="1"/>
    <col min="12103" max="12103" width="11.625" style="30" customWidth="1"/>
    <col min="12104" max="12104" width="8.875" style="30" customWidth="1"/>
    <col min="12105" max="12105" width="11.625" style="30" bestFit="1" customWidth="1"/>
    <col min="12106" max="12106" width="9.625" style="30" customWidth="1"/>
    <col min="12107" max="12107" width="12.125" style="30" customWidth="1"/>
    <col min="12108" max="12108" width="11.875" style="30" customWidth="1"/>
    <col min="12109" max="12109" width="13.375" style="30" customWidth="1"/>
    <col min="12110" max="12110" width="11.5" style="30" customWidth="1"/>
    <col min="12111" max="12111" width="9.25" style="30" customWidth="1"/>
    <col min="12112" max="12112" width="11.625" style="30" bestFit="1" customWidth="1"/>
    <col min="12113" max="12113" width="10.625" style="30" customWidth="1"/>
    <col min="12114" max="12114" width="12" style="30" customWidth="1"/>
    <col min="12115" max="12115" width="11.625" style="30" customWidth="1"/>
    <col min="12116" max="12116" width="14" style="30" customWidth="1"/>
    <col min="12117" max="12117" width="11.125" style="30" customWidth="1"/>
    <col min="12118" max="12118" width="9.75" style="30" customWidth="1"/>
    <col min="12119" max="12119" width="11.625" style="30" bestFit="1" customWidth="1"/>
    <col min="12120" max="12120" width="10.125" style="30" customWidth="1"/>
    <col min="12121" max="12121" width="11.625" style="30" customWidth="1"/>
    <col min="12122" max="12122" width="11.375" style="30" customWidth="1"/>
    <col min="12123" max="12123" width="12.375" style="30" customWidth="1"/>
    <col min="12124" max="12125" width="10.875" style="30" customWidth="1"/>
    <col min="12126" max="12126" width="10.5" style="30" bestFit="1" customWidth="1"/>
    <col min="12127" max="12127" width="9.625" style="30" customWidth="1"/>
    <col min="12128" max="12128" width="11.875" style="30" customWidth="1"/>
    <col min="12129" max="12129" width="11.75" style="30" customWidth="1"/>
    <col min="12130" max="12130" width="14.125" style="30" customWidth="1"/>
    <col min="12131" max="12131" width="13.125" style="30" customWidth="1"/>
    <col min="12132" max="12132" width="8.75" style="30" customWidth="1"/>
    <col min="12133" max="12133" width="11.5" style="30" bestFit="1" customWidth="1"/>
    <col min="12134" max="12134" width="9.625" style="30" customWidth="1"/>
    <col min="12135" max="12135" width="13.625" style="30" customWidth="1"/>
    <col min="12136" max="12136" width="11.5" style="30" customWidth="1"/>
    <col min="12137" max="12137" width="11.75" style="30" customWidth="1"/>
    <col min="12138" max="12138" width="9.875" style="30" customWidth="1"/>
    <col min="12139" max="12139" width="9" style="30" customWidth="1"/>
    <col min="12140" max="12140" width="9.625" style="30" bestFit="1" customWidth="1"/>
    <col min="12141" max="12141" width="12.625" style="30" customWidth="1"/>
    <col min="12142" max="12142" width="12.375" style="30" customWidth="1"/>
    <col min="12143" max="12143" width="11.625" style="30" customWidth="1"/>
    <col min="12144" max="12145" width="14.125" style="30" customWidth="1"/>
    <col min="12146" max="12146" width="9.125" style="30" customWidth="1"/>
    <col min="12147" max="12147" width="10.5" style="30" bestFit="1" customWidth="1"/>
    <col min="12148" max="12148" width="9.625" style="30" customWidth="1"/>
    <col min="12149" max="12149" width="14.25" style="30" customWidth="1"/>
    <col min="12150" max="12150" width="11.875" style="30" customWidth="1"/>
    <col min="12151" max="12151" width="11" style="30" customWidth="1"/>
    <col min="12152" max="12152" width="11.75" style="30" customWidth="1"/>
    <col min="12153" max="12153" width="11.25" style="30" customWidth="1"/>
    <col min="12154" max="12154" width="9.625" style="30" bestFit="1" customWidth="1"/>
    <col min="12155" max="12155" width="9.625" style="30" customWidth="1"/>
    <col min="12156" max="12156" width="14.125" style="30" customWidth="1"/>
    <col min="12157" max="12157" width="11.125" style="30" customWidth="1"/>
    <col min="12158" max="12158" width="11.25" style="30" customWidth="1"/>
    <col min="12159" max="12159" width="12" style="30" customWidth="1"/>
    <col min="12160" max="12160" width="8.75" style="30" customWidth="1"/>
    <col min="12161" max="12161" width="9.625" style="30" bestFit="1" customWidth="1"/>
    <col min="12162" max="12162" width="9.625" style="30" customWidth="1"/>
    <col min="12163" max="12164" width="11.25" style="30" customWidth="1"/>
    <col min="12165" max="12165" width="12" style="30" customWidth="1"/>
    <col min="12166" max="12167" width="10.625" style="30" customWidth="1"/>
    <col min="12168" max="12168" width="11" style="30" customWidth="1"/>
    <col min="12169" max="12169" width="10.625" style="30" customWidth="1"/>
    <col min="12170" max="12170" width="12.375" style="30" customWidth="1"/>
    <col min="12171" max="12171" width="12" style="30" customWidth="1"/>
    <col min="12172" max="12172" width="11.625" style="30" customWidth="1"/>
    <col min="12173" max="12173" width="10.5" style="30" customWidth="1"/>
    <col min="12174" max="12174" width="8.625" style="30" customWidth="1"/>
    <col min="12175" max="12175" width="11.25" style="30" customWidth="1"/>
    <col min="12176" max="12176" width="9.875" style="30" customWidth="1"/>
    <col min="12177" max="12177" width="11.125" style="30" customWidth="1"/>
    <col min="12178" max="12178" width="11.625" style="30" customWidth="1"/>
    <col min="12179" max="12179" width="12.625" style="30" customWidth="1"/>
    <col min="12180" max="12180" width="11.5" style="30" customWidth="1"/>
    <col min="12181" max="12181" width="9.375" style="30"/>
    <col min="12182" max="12182" width="13.125" style="30" customWidth="1"/>
    <col min="12183" max="12183" width="9.5" style="30" customWidth="1"/>
    <col min="12184" max="12184" width="11.625" style="30" customWidth="1"/>
    <col min="12185" max="12185" width="11.5" style="30" customWidth="1"/>
    <col min="12186" max="12186" width="9.625" style="30" customWidth="1"/>
    <col min="12187" max="12187" width="9.25" style="30" customWidth="1"/>
    <col min="12188" max="12188" width="8.75" style="30" customWidth="1"/>
    <col min="12189" max="12189" width="9" style="30" customWidth="1"/>
    <col min="12190" max="12190" width="8.625" style="30" customWidth="1"/>
    <col min="12191" max="12191" width="11.125" style="30" customWidth="1"/>
    <col min="12192" max="12192" width="11.25" style="30" customWidth="1"/>
    <col min="12193" max="12193" width="11.5" style="30" customWidth="1"/>
    <col min="12194" max="12195" width="9" style="30" customWidth="1"/>
    <col min="12196" max="12196" width="9.875" style="30" customWidth="1"/>
    <col min="12197" max="12197" width="9.25" style="30" customWidth="1"/>
    <col min="12198" max="12198" width="11.125" style="30" customWidth="1"/>
    <col min="12199" max="12199" width="11.375" style="30" customWidth="1"/>
    <col min="12200" max="12200" width="10.875" style="30" customWidth="1"/>
    <col min="12201" max="12201" width="8.375" style="30" customWidth="1"/>
    <col min="12202" max="12202" width="9.125" style="30" customWidth="1"/>
    <col min="12203" max="12204" width="9" style="30" customWidth="1"/>
    <col min="12205" max="12205" width="10.75" style="30" customWidth="1"/>
    <col min="12206" max="12206" width="10.625" style="30" customWidth="1"/>
    <col min="12207" max="12207" width="10.25" style="30" customWidth="1"/>
    <col min="12208" max="12208" width="8.125" style="30" customWidth="1"/>
    <col min="12209" max="12211" width="9" style="30" customWidth="1"/>
    <col min="12212" max="12212" width="11.375" style="30" customWidth="1"/>
    <col min="12213" max="12213" width="11.125" style="30" customWidth="1"/>
    <col min="12214" max="12214" width="14.5" style="30" customWidth="1"/>
    <col min="12215" max="12215" width="10.875" style="30" customWidth="1"/>
    <col min="12216" max="12216" width="8.5" style="30" customWidth="1"/>
    <col min="12217" max="12217" width="10.375" style="30" customWidth="1"/>
    <col min="12218" max="12218" width="9" style="30" customWidth="1"/>
    <col min="12219" max="12219" width="12" style="30" customWidth="1"/>
    <col min="12220" max="12227" width="10.875" style="30" customWidth="1"/>
    <col min="12228" max="12228" width="10.5" style="30" customWidth="1"/>
    <col min="12229" max="12229" width="11.875" style="30" customWidth="1"/>
    <col min="12230" max="12230" width="10.875" style="30" customWidth="1"/>
    <col min="12231" max="12232" width="9" style="30" customWidth="1"/>
    <col min="12233" max="12233" width="12.125" style="30" customWidth="1"/>
    <col min="12234" max="12234" width="9.625" style="30" customWidth="1"/>
    <col min="12235" max="12236" width="9" style="30" customWidth="1"/>
    <col min="12237" max="12237" width="12.625" style="30" customWidth="1"/>
    <col min="12238" max="12238" width="11" style="30" customWidth="1"/>
    <col min="12239" max="12239" width="11.75" style="30" bestFit="1" customWidth="1"/>
    <col min="12240" max="12240" width="11.875" style="30" customWidth="1"/>
    <col min="12241" max="12242" width="9" style="30" customWidth="1"/>
    <col min="12243" max="12243" width="12.25" style="30" customWidth="1"/>
    <col min="12244" max="12244" width="10.875" style="30" customWidth="1"/>
    <col min="12245" max="12245" width="9" style="30" customWidth="1"/>
    <col min="12246" max="12246" width="10.875" style="30" customWidth="1"/>
    <col min="12247" max="12247" width="10.5" style="30" customWidth="1"/>
    <col min="12248" max="12249" width="9" style="30" customWidth="1"/>
    <col min="12250" max="12250" width="12.625" style="30" customWidth="1"/>
    <col min="12251" max="12252" width="9" style="30" customWidth="1"/>
    <col min="12253" max="12253" width="12" style="30" customWidth="1"/>
    <col min="12254" max="12270" width="9" style="30" customWidth="1"/>
    <col min="12271" max="12271" width="12.375" style="30" customWidth="1"/>
    <col min="12272" max="12272" width="12.5" style="30" customWidth="1"/>
    <col min="12273" max="12273" width="11.875" style="30" customWidth="1"/>
    <col min="12274" max="12274" width="11.625" style="30" customWidth="1"/>
    <col min="12275" max="12275" width="12.125" style="30" customWidth="1"/>
    <col min="12276" max="12277" width="10.5" style="30" bestFit="1" customWidth="1"/>
    <col min="12278" max="12278" width="10.625" style="30" bestFit="1" customWidth="1"/>
    <col min="12279" max="12286" width="10.5" style="30" bestFit="1" customWidth="1"/>
    <col min="12287" max="12287" width="10.5" style="30" customWidth="1"/>
    <col min="12288" max="12288" width="10.5" style="30" bestFit="1" customWidth="1"/>
    <col min="12289" max="12289" width="11.5" style="30" customWidth="1"/>
    <col min="12290" max="12290" width="9.5" style="30" bestFit="1" customWidth="1"/>
    <col min="12291" max="12301" width="10.5" style="30" bestFit="1" customWidth="1"/>
    <col min="12302" max="12302" width="12.75" style="30" bestFit="1" customWidth="1"/>
    <col min="12303" max="12307" width="10.5" style="30" bestFit="1" customWidth="1"/>
    <col min="12308" max="12309" width="9.375" style="30"/>
    <col min="12310" max="12310" width="8.5" style="30" customWidth="1"/>
    <col min="12311" max="12311" width="8" style="30" customWidth="1"/>
    <col min="12312" max="12312" width="21.25" style="30" customWidth="1"/>
    <col min="12313" max="12313" width="16.25" style="30" customWidth="1"/>
    <col min="12314" max="12314" width="11.625" style="30" customWidth="1"/>
    <col min="12315" max="12315" width="13.625" style="30" customWidth="1"/>
    <col min="12316" max="12316" width="12.875" style="30" customWidth="1"/>
    <col min="12317" max="12317" width="15.5" style="30" customWidth="1"/>
    <col min="12318" max="12319" width="13.375" style="30" customWidth="1"/>
    <col min="12320" max="12320" width="14.375" style="30" customWidth="1"/>
    <col min="12321" max="12321" width="11.875" style="30" customWidth="1"/>
    <col min="12322" max="12323" width="14.25" style="30" customWidth="1"/>
    <col min="12324" max="12324" width="8.625" style="30" customWidth="1"/>
    <col min="12325" max="12325" width="10.625" style="30" customWidth="1"/>
    <col min="12326" max="12326" width="9.875" style="30" customWidth="1"/>
    <col min="12327" max="12327" width="14" style="30" customWidth="1"/>
    <col min="12328" max="12328" width="10.875" style="30" customWidth="1"/>
    <col min="12329" max="12329" width="12.375" style="30" customWidth="1"/>
    <col min="12330" max="12330" width="12" style="30" customWidth="1"/>
    <col min="12331" max="12331" width="13.625" style="30" customWidth="1"/>
    <col min="12332" max="12332" width="10" style="30" customWidth="1"/>
    <col min="12333" max="12333" width="9.625" style="30" customWidth="1"/>
    <col min="12334" max="12334" width="11.75" style="30" customWidth="1"/>
    <col min="12335" max="12335" width="11.375" style="30" customWidth="1"/>
    <col min="12336" max="12336" width="12.875" style="30" customWidth="1"/>
    <col min="12337" max="12337" width="13" style="30" customWidth="1"/>
    <col min="12338" max="12338" width="8.875" style="30" customWidth="1"/>
    <col min="12339" max="12339" width="13.125" style="30" customWidth="1"/>
    <col min="12340" max="12340" width="9.625" style="30" customWidth="1"/>
    <col min="12341" max="12341" width="12.875" style="30" customWidth="1"/>
    <col min="12342" max="12342" width="11.5" style="30" customWidth="1"/>
    <col min="12343" max="12343" width="9.75" style="30" customWidth="1"/>
    <col min="12344" max="12344" width="13.375" style="30" customWidth="1"/>
    <col min="12345" max="12345" width="12.125" style="30" customWidth="1"/>
    <col min="12346" max="12346" width="10.25" style="30" customWidth="1"/>
    <col min="12347" max="12347" width="11.625" style="30" bestFit="1" customWidth="1"/>
    <col min="12348" max="12348" width="9.875" style="30" customWidth="1"/>
    <col min="12349" max="12349" width="13.375" style="30" customWidth="1"/>
    <col min="12350" max="12350" width="11.5" style="30" customWidth="1"/>
    <col min="12351" max="12351" width="12" style="30" customWidth="1"/>
    <col min="12352" max="12352" width="9.125" style="30" customWidth="1"/>
    <col min="12353" max="12353" width="9" style="30" customWidth="1"/>
    <col min="12354" max="12354" width="12.875" style="30" bestFit="1" customWidth="1"/>
    <col min="12355" max="12356" width="12" style="30" customWidth="1"/>
    <col min="12357" max="12357" width="11.875" style="30" customWidth="1"/>
    <col min="12358" max="12358" width="11" style="30" customWidth="1"/>
    <col min="12359" max="12359" width="11.625" style="30" customWidth="1"/>
    <col min="12360" max="12360" width="8.875" style="30" customWidth="1"/>
    <col min="12361" max="12361" width="11.625" style="30" bestFit="1" customWidth="1"/>
    <col min="12362" max="12362" width="9.625" style="30" customWidth="1"/>
    <col min="12363" max="12363" width="12.125" style="30" customWidth="1"/>
    <col min="12364" max="12364" width="11.875" style="30" customWidth="1"/>
    <col min="12365" max="12365" width="13.375" style="30" customWidth="1"/>
    <col min="12366" max="12366" width="11.5" style="30" customWidth="1"/>
    <col min="12367" max="12367" width="9.25" style="30" customWidth="1"/>
    <col min="12368" max="12368" width="11.625" style="30" bestFit="1" customWidth="1"/>
    <col min="12369" max="12369" width="10.625" style="30" customWidth="1"/>
    <col min="12370" max="12370" width="12" style="30" customWidth="1"/>
    <col min="12371" max="12371" width="11.625" style="30" customWidth="1"/>
    <col min="12372" max="12372" width="14" style="30" customWidth="1"/>
    <col min="12373" max="12373" width="11.125" style="30" customWidth="1"/>
    <col min="12374" max="12374" width="9.75" style="30" customWidth="1"/>
    <col min="12375" max="12375" width="11.625" style="30" bestFit="1" customWidth="1"/>
    <col min="12376" max="12376" width="10.125" style="30" customWidth="1"/>
    <col min="12377" max="12377" width="11.625" style="30" customWidth="1"/>
    <col min="12378" max="12378" width="11.375" style="30" customWidth="1"/>
    <col min="12379" max="12379" width="12.375" style="30" customWidth="1"/>
    <col min="12380" max="12381" width="10.875" style="30" customWidth="1"/>
    <col min="12382" max="12382" width="10.5" style="30" bestFit="1" customWidth="1"/>
    <col min="12383" max="12383" width="9.625" style="30" customWidth="1"/>
    <col min="12384" max="12384" width="11.875" style="30" customWidth="1"/>
    <col min="12385" max="12385" width="11.75" style="30" customWidth="1"/>
    <col min="12386" max="12386" width="14.125" style="30" customWidth="1"/>
    <col min="12387" max="12387" width="13.125" style="30" customWidth="1"/>
    <col min="12388" max="12388" width="8.75" style="30" customWidth="1"/>
    <col min="12389" max="12389" width="11.5" style="30" bestFit="1" customWidth="1"/>
    <col min="12390" max="12390" width="9.625" style="30" customWidth="1"/>
    <col min="12391" max="12391" width="13.625" style="30" customWidth="1"/>
    <col min="12392" max="12392" width="11.5" style="30" customWidth="1"/>
    <col min="12393" max="12393" width="11.75" style="30" customWidth="1"/>
    <col min="12394" max="12394" width="9.875" style="30" customWidth="1"/>
    <col min="12395" max="12395" width="9" style="30" customWidth="1"/>
    <col min="12396" max="12396" width="9.625" style="30" bestFit="1" customWidth="1"/>
    <col min="12397" max="12397" width="12.625" style="30" customWidth="1"/>
    <col min="12398" max="12398" width="12.375" style="30" customWidth="1"/>
    <col min="12399" max="12399" width="11.625" style="30" customWidth="1"/>
    <col min="12400" max="12401" width="14.125" style="30" customWidth="1"/>
    <col min="12402" max="12402" width="9.125" style="30" customWidth="1"/>
    <col min="12403" max="12403" width="10.5" style="30" bestFit="1" customWidth="1"/>
    <col min="12404" max="12404" width="9.625" style="30" customWidth="1"/>
    <col min="12405" max="12405" width="14.25" style="30" customWidth="1"/>
    <col min="12406" max="12406" width="11.875" style="30" customWidth="1"/>
    <col min="12407" max="12407" width="11" style="30" customWidth="1"/>
    <col min="12408" max="12408" width="11.75" style="30" customWidth="1"/>
    <col min="12409" max="12409" width="11.25" style="30" customWidth="1"/>
    <col min="12410" max="12410" width="9.625" style="30" bestFit="1" customWidth="1"/>
    <col min="12411" max="12411" width="9.625" style="30" customWidth="1"/>
    <col min="12412" max="12412" width="14.125" style="30" customWidth="1"/>
    <col min="12413" max="12413" width="11.125" style="30" customWidth="1"/>
    <col min="12414" max="12414" width="11.25" style="30" customWidth="1"/>
    <col min="12415" max="12415" width="12" style="30" customWidth="1"/>
    <col min="12416" max="12416" width="8.75" style="30" customWidth="1"/>
    <col min="12417" max="12417" width="9.625" style="30" bestFit="1" customWidth="1"/>
    <col min="12418" max="12418" width="9.625" style="30" customWidth="1"/>
    <col min="12419" max="12420" width="11.25" style="30" customWidth="1"/>
    <col min="12421" max="12421" width="12" style="30" customWidth="1"/>
    <col min="12422" max="12423" width="10.625" style="30" customWidth="1"/>
    <col min="12424" max="12424" width="11" style="30" customWidth="1"/>
    <col min="12425" max="12425" width="10.625" style="30" customWidth="1"/>
    <col min="12426" max="12426" width="12.375" style="30" customWidth="1"/>
    <col min="12427" max="12427" width="12" style="30" customWidth="1"/>
    <col min="12428" max="12428" width="11.625" style="30" customWidth="1"/>
    <col min="12429" max="12429" width="10.5" style="30" customWidth="1"/>
    <col min="12430" max="12430" width="8.625" style="30" customWidth="1"/>
    <col min="12431" max="12431" width="11.25" style="30" customWidth="1"/>
    <col min="12432" max="12432" width="9.875" style="30" customWidth="1"/>
    <col min="12433" max="12433" width="11.125" style="30" customWidth="1"/>
    <col min="12434" max="12434" width="11.625" style="30" customWidth="1"/>
    <col min="12435" max="12435" width="12.625" style="30" customWidth="1"/>
    <col min="12436" max="12436" width="11.5" style="30" customWidth="1"/>
    <col min="12437" max="12437" width="9.375" style="30"/>
    <col min="12438" max="12438" width="13.125" style="30" customWidth="1"/>
    <col min="12439" max="12439" width="9.5" style="30" customWidth="1"/>
    <col min="12440" max="12440" width="11.625" style="30" customWidth="1"/>
    <col min="12441" max="12441" width="11.5" style="30" customWidth="1"/>
    <col min="12442" max="12442" width="9.625" style="30" customWidth="1"/>
    <col min="12443" max="12443" width="9.25" style="30" customWidth="1"/>
    <col min="12444" max="12444" width="8.75" style="30" customWidth="1"/>
    <col min="12445" max="12445" width="9" style="30" customWidth="1"/>
    <col min="12446" max="12446" width="8.625" style="30" customWidth="1"/>
    <col min="12447" max="12447" width="11.125" style="30" customWidth="1"/>
    <col min="12448" max="12448" width="11.25" style="30" customWidth="1"/>
    <col min="12449" max="12449" width="11.5" style="30" customWidth="1"/>
    <col min="12450" max="12451" width="9" style="30" customWidth="1"/>
    <col min="12452" max="12452" width="9.875" style="30" customWidth="1"/>
    <col min="12453" max="12453" width="9.25" style="30" customWidth="1"/>
    <col min="12454" max="12454" width="11.125" style="30" customWidth="1"/>
    <col min="12455" max="12455" width="11.375" style="30" customWidth="1"/>
    <col min="12456" max="12456" width="10.875" style="30" customWidth="1"/>
    <col min="12457" max="12457" width="8.375" style="30" customWidth="1"/>
    <col min="12458" max="12458" width="9.125" style="30" customWidth="1"/>
    <col min="12459" max="12460" width="9" style="30" customWidth="1"/>
    <col min="12461" max="12461" width="10.75" style="30" customWidth="1"/>
    <col min="12462" max="12462" width="10.625" style="30" customWidth="1"/>
    <col min="12463" max="12463" width="10.25" style="30" customWidth="1"/>
    <col min="12464" max="12464" width="8.125" style="30" customWidth="1"/>
    <col min="12465" max="12467" width="9" style="30" customWidth="1"/>
    <col min="12468" max="12468" width="11.375" style="30" customWidth="1"/>
    <col min="12469" max="12469" width="11.125" style="30" customWidth="1"/>
    <col min="12470" max="12470" width="14.5" style="30" customWidth="1"/>
    <col min="12471" max="12471" width="10.875" style="30" customWidth="1"/>
    <col min="12472" max="12472" width="8.5" style="30" customWidth="1"/>
    <col min="12473" max="12473" width="10.375" style="30" customWidth="1"/>
    <col min="12474" max="12474" width="9" style="30" customWidth="1"/>
    <col min="12475" max="12475" width="12" style="30" customWidth="1"/>
    <col min="12476" max="12483" width="10.875" style="30" customWidth="1"/>
    <col min="12484" max="12484" width="10.5" style="30" customWidth="1"/>
    <col min="12485" max="12485" width="11.875" style="30" customWidth="1"/>
    <col min="12486" max="12486" width="10.875" style="30" customWidth="1"/>
    <col min="12487" max="12488" width="9" style="30" customWidth="1"/>
    <col min="12489" max="12489" width="12.125" style="30" customWidth="1"/>
    <col min="12490" max="12490" width="9.625" style="30" customWidth="1"/>
    <col min="12491" max="12492" width="9" style="30" customWidth="1"/>
    <col min="12493" max="12493" width="12.625" style="30" customWidth="1"/>
    <col min="12494" max="12494" width="11" style="30" customWidth="1"/>
    <col min="12495" max="12495" width="11.75" style="30" bestFit="1" customWidth="1"/>
    <col min="12496" max="12496" width="11.875" style="30" customWidth="1"/>
    <col min="12497" max="12498" width="9" style="30" customWidth="1"/>
    <col min="12499" max="12499" width="12.25" style="30" customWidth="1"/>
    <col min="12500" max="12500" width="10.875" style="30" customWidth="1"/>
    <col min="12501" max="12501" width="9" style="30" customWidth="1"/>
    <col min="12502" max="12502" width="10.875" style="30" customWidth="1"/>
    <col min="12503" max="12503" width="10.5" style="30" customWidth="1"/>
    <col min="12504" max="12505" width="9" style="30" customWidth="1"/>
    <col min="12506" max="12506" width="12.625" style="30" customWidth="1"/>
    <col min="12507" max="12508" width="9" style="30" customWidth="1"/>
    <col min="12509" max="12509" width="12" style="30" customWidth="1"/>
    <col min="12510" max="12526" width="9" style="30" customWidth="1"/>
    <col min="12527" max="12527" width="12.375" style="30" customWidth="1"/>
    <col min="12528" max="12528" width="12.5" style="30" customWidth="1"/>
    <col min="12529" max="12529" width="11.875" style="30" customWidth="1"/>
    <col min="12530" max="12530" width="11.625" style="30" customWidth="1"/>
    <col min="12531" max="12531" width="12.125" style="30" customWidth="1"/>
    <col min="12532" max="12533" width="10.5" style="30" bestFit="1" customWidth="1"/>
    <col min="12534" max="12534" width="10.625" style="30" bestFit="1" customWidth="1"/>
    <col min="12535" max="12542" width="10.5" style="30" bestFit="1" customWidth="1"/>
    <col min="12543" max="12543" width="10.5" style="30" customWidth="1"/>
    <col min="12544" max="12544" width="10.5" style="30" bestFit="1" customWidth="1"/>
    <col min="12545" max="12545" width="11.5" style="30" customWidth="1"/>
    <col min="12546" max="12546" width="9.5" style="30" bestFit="1" customWidth="1"/>
    <col min="12547" max="12557" width="10.5" style="30" bestFit="1" customWidth="1"/>
    <col min="12558" max="12558" width="12.75" style="30" bestFit="1" customWidth="1"/>
    <col min="12559" max="12563" width="10.5" style="30" bestFit="1" customWidth="1"/>
    <col min="12564" max="12565" width="9.375" style="30"/>
    <col min="12566" max="12566" width="8.5" style="30" customWidth="1"/>
    <col min="12567" max="12567" width="8" style="30" customWidth="1"/>
    <col min="12568" max="12568" width="21.25" style="30" customWidth="1"/>
    <col min="12569" max="12569" width="16.25" style="30" customWidth="1"/>
    <col min="12570" max="12570" width="11.625" style="30" customWidth="1"/>
    <col min="12571" max="12571" width="13.625" style="30" customWidth="1"/>
    <col min="12572" max="12572" width="12.875" style="30" customWidth="1"/>
    <col min="12573" max="12573" width="15.5" style="30" customWidth="1"/>
    <col min="12574" max="12575" width="13.375" style="30" customWidth="1"/>
    <col min="12576" max="12576" width="14.375" style="30" customWidth="1"/>
    <col min="12577" max="12577" width="11.875" style="30" customWidth="1"/>
    <col min="12578" max="12579" width="14.25" style="30" customWidth="1"/>
    <col min="12580" max="12580" width="8.625" style="30" customWidth="1"/>
    <col min="12581" max="12581" width="10.625" style="30" customWidth="1"/>
    <col min="12582" max="12582" width="9.875" style="30" customWidth="1"/>
    <col min="12583" max="12583" width="14" style="30" customWidth="1"/>
    <col min="12584" max="12584" width="10.875" style="30" customWidth="1"/>
    <col min="12585" max="12585" width="12.375" style="30" customWidth="1"/>
    <col min="12586" max="12586" width="12" style="30" customWidth="1"/>
    <col min="12587" max="12587" width="13.625" style="30" customWidth="1"/>
    <col min="12588" max="12588" width="10" style="30" customWidth="1"/>
    <col min="12589" max="12589" width="9.625" style="30" customWidth="1"/>
    <col min="12590" max="12590" width="11.75" style="30" customWidth="1"/>
    <col min="12591" max="12591" width="11.375" style="30" customWidth="1"/>
    <col min="12592" max="12592" width="12.875" style="30" customWidth="1"/>
    <col min="12593" max="12593" width="13" style="30" customWidth="1"/>
    <col min="12594" max="12594" width="8.875" style="30" customWidth="1"/>
    <col min="12595" max="12595" width="13.125" style="30" customWidth="1"/>
    <col min="12596" max="12596" width="9.625" style="30" customWidth="1"/>
    <col min="12597" max="12597" width="12.875" style="30" customWidth="1"/>
    <col min="12598" max="12598" width="11.5" style="30" customWidth="1"/>
    <col min="12599" max="12599" width="9.75" style="30" customWidth="1"/>
    <col min="12600" max="12600" width="13.375" style="30" customWidth="1"/>
    <col min="12601" max="12601" width="12.125" style="30" customWidth="1"/>
    <col min="12602" max="12602" width="10.25" style="30" customWidth="1"/>
    <col min="12603" max="12603" width="11.625" style="30" bestFit="1" customWidth="1"/>
    <col min="12604" max="12604" width="9.875" style="30" customWidth="1"/>
    <col min="12605" max="12605" width="13.375" style="30" customWidth="1"/>
    <col min="12606" max="12606" width="11.5" style="30" customWidth="1"/>
    <col min="12607" max="12607" width="12" style="30" customWidth="1"/>
    <col min="12608" max="12608" width="9.125" style="30" customWidth="1"/>
    <col min="12609" max="12609" width="9" style="30" customWidth="1"/>
    <col min="12610" max="12610" width="12.875" style="30" bestFit="1" customWidth="1"/>
    <col min="12611" max="12612" width="12" style="30" customWidth="1"/>
    <col min="12613" max="12613" width="11.875" style="30" customWidth="1"/>
    <col min="12614" max="12614" width="11" style="30" customWidth="1"/>
    <col min="12615" max="12615" width="11.625" style="30" customWidth="1"/>
    <col min="12616" max="12616" width="8.875" style="30" customWidth="1"/>
    <col min="12617" max="12617" width="11.625" style="30" bestFit="1" customWidth="1"/>
    <col min="12618" max="12618" width="9.625" style="30" customWidth="1"/>
    <col min="12619" max="12619" width="12.125" style="30" customWidth="1"/>
    <col min="12620" max="12620" width="11.875" style="30" customWidth="1"/>
    <col min="12621" max="12621" width="13.375" style="30" customWidth="1"/>
    <col min="12622" max="12622" width="11.5" style="30" customWidth="1"/>
    <col min="12623" max="12623" width="9.25" style="30" customWidth="1"/>
    <col min="12624" max="12624" width="11.625" style="30" bestFit="1" customWidth="1"/>
    <col min="12625" max="12625" width="10.625" style="30" customWidth="1"/>
    <col min="12626" max="12626" width="12" style="30" customWidth="1"/>
    <col min="12627" max="12627" width="11.625" style="30" customWidth="1"/>
    <col min="12628" max="12628" width="14" style="30" customWidth="1"/>
    <col min="12629" max="12629" width="11.125" style="30" customWidth="1"/>
    <col min="12630" max="12630" width="9.75" style="30" customWidth="1"/>
    <col min="12631" max="12631" width="11.625" style="30" bestFit="1" customWidth="1"/>
    <col min="12632" max="12632" width="10.125" style="30" customWidth="1"/>
    <col min="12633" max="12633" width="11.625" style="30" customWidth="1"/>
    <col min="12634" max="12634" width="11.375" style="30" customWidth="1"/>
    <col min="12635" max="12635" width="12.375" style="30" customWidth="1"/>
    <col min="12636" max="12637" width="10.875" style="30" customWidth="1"/>
    <col min="12638" max="12638" width="10.5" style="30" bestFit="1" customWidth="1"/>
    <col min="12639" max="12639" width="9.625" style="30" customWidth="1"/>
    <col min="12640" max="12640" width="11.875" style="30" customWidth="1"/>
    <col min="12641" max="12641" width="11.75" style="30" customWidth="1"/>
    <col min="12642" max="12642" width="14.125" style="30" customWidth="1"/>
    <col min="12643" max="12643" width="13.125" style="30" customWidth="1"/>
    <col min="12644" max="12644" width="8.75" style="30" customWidth="1"/>
    <col min="12645" max="12645" width="11.5" style="30" bestFit="1" customWidth="1"/>
    <col min="12646" max="12646" width="9.625" style="30" customWidth="1"/>
    <col min="12647" max="12647" width="13.625" style="30" customWidth="1"/>
    <col min="12648" max="12648" width="11.5" style="30" customWidth="1"/>
    <col min="12649" max="12649" width="11.75" style="30" customWidth="1"/>
    <col min="12650" max="12650" width="9.875" style="30" customWidth="1"/>
    <col min="12651" max="12651" width="9" style="30" customWidth="1"/>
    <col min="12652" max="12652" width="9.625" style="30" bestFit="1" customWidth="1"/>
    <col min="12653" max="12653" width="12.625" style="30" customWidth="1"/>
    <col min="12654" max="12654" width="12.375" style="30" customWidth="1"/>
    <col min="12655" max="12655" width="11.625" style="30" customWidth="1"/>
    <col min="12656" max="12657" width="14.125" style="30" customWidth="1"/>
    <col min="12658" max="12658" width="9.125" style="30" customWidth="1"/>
    <col min="12659" max="12659" width="10.5" style="30" bestFit="1" customWidth="1"/>
    <col min="12660" max="12660" width="9.625" style="30" customWidth="1"/>
    <col min="12661" max="12661" width="14.25" style="30" customWidth="1"/>
    <col min="12662" max="12662" width="11.875" style="30" customWidth="1"/>
    <col min="12663" max="12663" width="11" style="30" customWidth="1"/>
    <col min="12664" max="12664" width="11.75" style="30" customWidth="1"/>
    <col min="12665" max="12665" width="11.25" style="30" customWidth="1"/>
    <col min="12666" max="12666" width="9.625" style="30" bestFit="1" customWidth="1"/>
    <col min="12667" max="12667" width="9.625" style="30" customWidth="1"/>
    <col min="12668" max="12668" width="14.125" style="30" customWidth="1"/>
    <col min="12669" max="12669" width="11.125" style="30" customWidth="1"/>
    <col min="12670" max="12670" width="11.25" style="30" customWidth="1"/>
    <col min="12671" max="12671" width="12" style="30" customWidth="1"/>
    <col min="12672" max="12672" width="8.75" style="30" customWidth="1"/>
    <col min="12673" max="12673" width="9.625" style="30" bestFit="1" customWidth="1"/>
    <col min="12674" max="12674" width="9.625" style="30" customWidth="1"/>
    <col min="12675" max="12676" width="11.25" style="30" customWidth="1"/>
    <col min="12677" max="12677" width="12" style="30" customWidth="1"/>
    <col min="12678" max="12679" width="10.625" style="30" customWidth="1"/>
    <col min="12680" max="12680" width="11" style="30" customWidth="1"/>
    <col min="12681" max="12681" width="10.625" style="30" customWidth="1"/>
    <col min="12682" max="12682" width="12.375" style="30" customWidth="1"/>
    <col min="12683" max="12683" width="12" style="30" customWidth="1"/>
    <col min="12684" max="12684" width="11.625" style="30" customWidth="1"/>
    <col min="12685" max="12685" width="10.5" style="30" customWidth="1"/>
    <col min="12686" max="12686" width="8.625" style="30" customWidth="1"/>
    <col min="12687" max="12687" width="11.25" style="30" customWidth="1"/>
    <col min="12688" max="12688" width="9.875" style="30" customWidth="1"/>
    <col min="12689" max="12689" width="11.125" style="30" customWidth="1"/>
    <col min="12690" max="12690" width="11.625" style="30" customWidth="1"/>
    <col min="12691" max="12691" width="12.625" style="30" customWidth="1"/>
    <col min="12692" max="12692" width="11.5" style="30" customWidth="1"/>
    <col min="12693" max="12693" width="9.375" style="30"/>
    <col min="12694" max="12694" width="13.125" style="30" customWidth="1"/>
    <col min="12695" max="12695" width="9.5" style="30" customWidth="1"/>
    <col min="12696" max="12696" width="11.625" style="30" customWidth="1"/>
    <col min="12697" max="12697" width="11.5" style="30" customWidth="1"/>
    <col min="12698" max="12698" width="9.625" style="30" customWidth="1"/>
    <col min="12699" max="12699" width="9.25" style="30" customWidth="1"/>
    <col min="12700" max="12700" width="8.75" style="30" customWidth="1"/>
    <col min="12701" max="12701" width="9" style="30" customWidth="1"/>
    <col min="12702" max="12702" width="8.625" style="30" customWidth="1"/>
    <col min="12703" max="12703" width="11.125" style="30" customWidth="1"/>
    <col min="12704" max="12704" width="11.25" style="30" customWidth="1"/>
    <col min="12705" max="12705" width="11.5" style="30" customWidth="1"/>
    <col min="12706" max="12707" width="9" style="30" customWidth="1"/>
    <col min="12708" max="12708" width="9.875" style="30" customWidth="1"/>
    <col min="12709" max="12709" width="9.25" style="30" customWidth="1"/>
    <col min="12710" max="12710" width="11.125" style="30" customWidth="1"/>
    <col min="12711" max="12711" width="11.375" style="30" customWidth="1"/>
    <col min="12712" max="12712" width="10.875" style="30" customWidth="1"/>
    <col min="12713" max="12713" width="8.375" style="30" customWidth="1"/>
    <col min="12714" max="12714" width="9.125" style="30" customWidth="1"/>
    <col min="12715" max="12716" width="9" style="30" customWidth="1"/>
    <col min="12717" max="12717" width="10.75" style="30" customWidth="1"/>
    <col min="12718" max="12718" width="10.625" style="30" customWidth="1"/>
    <col min="12719" max="12719" width="10.25" style="30" customWidth="1"/>
    <col min="12720" max="12720" width="8.125" style="30" customWidth="1"/>
    <col min="12721" max="12723" width="9" style="30" customWidth="1"/>
    <col min="12724" max="12724" width="11.375" style="30" customWidth="1"/>
    <col min="12725" max="12725" width="11.125" style="30" customWidth="1"/>
    <col min="12726" max="12726" width="14.5" style="30" customWidth="1"/>
    <col min="12727" max="12727" width="10.875" style="30" customWidth="1"/>
    <col min="12728" max="12728" width="8.5" style="30" customWidth="1"/>
    <col min="12729" max="12729" width="10.375" style="30" customWidth="1"/>
    <col min="12730" max="12730" width="9" style="30" customWidth="1"/>
    <col min="12731" max="12731" width="12" style="30" customWidth="1"/>
    <col min="12732" max="12739" width="10.875" style="30" customWidth="1"/>
    <col min="12740" max="12740" width="10.5" style="30" customWidth="1"/>
    <col min="12741" max="12741" width="11.875" style="30" customWidth="1"/>
    <col min="12742" max="12742" width="10.875" style="30" customWidth="1"/>
    <col min="12743" max="12744" width="9" style="30" customWidth="1"/>
    <col min="12745" max="12745" width="12.125" style="30" customWidth="1"/>
    <col min="12746" max="12746" width="9.625" style="30" customWidth="1"/>
    <col min="12747" max="12748" width="9" style="30" customWidth="1"/>
    <col min="12749" max="12749" width="12.625" style="30" customWidth="1"/>
    <col min="12750" max="12750" width="11" style="30" customWidth="1"/>
    <col min="12751" max="12751" width="11.75" style="30" bestFit="1" customWidth="1"/>
    <col min="12752" max="12752" width="11.875" style="30" customWidth="1"/>
    <col min="12753" max="12754" width="9" style="30" customWidth="1"/>
    <col min="12755" max="12755" width="12.25" style="30" customWidth="1"/>
    <col min="12756" max="12756" width="10.875" style="30" customWidth="1"/>
    <col min="12757" max="12757" width="9" style="30" customWidth="1"/>
    <col min="12758" max="12758" width="10.875" style="30" customWidth="1"/>
    <col min="12759" max="12759" width="10.5" style="30" customWidth="1"/>
    <col min="12760" max="12761" width="9" style="30" customWidth="1"/>
    <col min="12762" max="12762" width="12.625" style="30" customWidth="1"/>
    <col min="12763" max="12764" width="9" style="30" customWidth="1"/>
    <col min="12765" max="12765" width="12" style="30" customWidth="1"/>
    <col min="12766" max="12782" width="9" style="30" customWidth="1"/>
    <col min="12783" max="12783" width="12.375" style="30" customWidth="1"/>
    <col min="12784" max="12784" width="12.5" style="30" customWidth="1"/>
    <col min="12785" max="12785" width="11.875" style="30" customWidth="1"/>
    <col min="12786" max="12786" width="11.625" style="30" customWidth="1"/>
    <col min="12787" max="12787" width="12.125" style="30" customWidth="1"/>
    <col min="12788" max="12789" width="10.5" style="30" bestFit="1" customWidth="1"/>
    <col min="12790" max="12790" width="10.625" style="30" bestFit="1" customWidth="1"/>
    <col min="12791" max="12798" width="10.5" style="30" bestFit="1" customWidth="1"/>
    <col min="12799" max="12799" width="10.5" style="30" customWidth="1"/>
    <col min="12800" max="12800" width="10.5" style="30" bestFit="1" customWidth="1"/>
    <col min="12801" max="12801" width="11.5" style="30" customWidth="1"/>
    <col min="12802" max="12802" width="9.5" style="30" bestFit="1" customWidth="1"/>
    <col min="12803" max="12813" width="10.5" style="30" bestFit="1" customWidth="1"/>
    <col min="12814" max="12814" width="12.75" style="30" bestFit="1" customWidth="1"/>
    <col min="12815" max="12819" width="10.5" style="30" bestFit="1" customWidth="1"/>
    <col min="12820" max="12821" width="9.375" style="30"/>
    <col min="12822" max="12822" width="8.5" style="30" customWidth="1"/>
    <col min="12823" max="12823" width="8" style="30" customWidth="1"/>
    <col min="12824" max="12824" width="21.25" style="30" customWidth="1"/>
    <col min="12825" max="12825" width="16.25" style="30" customWidth="1"/>
    <col min="12826" max="12826" width="11.625" style="30" customWidth="1"/>
    <col min="12827" max="12827" width="13.625" style="30" customWidth="1"/>
    <col min="12828" max="12828" width="12.875" style="30" customWidth="1"/>
    <col min="12829" max="12829" width="15.5" style="30" customWidth="1"/>
    <col min="12830" max="12831" width="13.375" style="30" customWidth="1"/>
    <col min="12832" max="12832" width="14.375" style="30" customWidth="1"/>
    <col min="12833" max="12833" width="11.875" style="30" customWidth="1"/>
    <col min="12834" max="12835" width="14.25" style="30" customWidth="1"/>
    <col min="12836" max="12836" width="8.625" style="30" customWidth="1"/>
    <col min="12837" max="12837" width="10.625" style="30" customWidth="1"/>
    <col min="12838" max="12838" width="9.875" style="30" customWidth="1"/>
    <col min="12839" max="12839" width="14" style="30" customWidth="1"/>
    <col min="12840" max="12840" width="10.875" style="30" customWidth="1"/>
    <col min="12841" max="12841" width="12.375" style="30" customWidth="1"/>
    <col min="12842" max="12842" width="12" style="30" customWidth="1"/>
    <col min="12843" max="12843" width="13.625" style="30" customWidth="1"/>
    <col min="12844" max="12844" width="10" style="30" customWidth="1"/>
    <col min="12845" max="12845" width="9.625" style="30" customWidth="1"/>
    <col min="12846" max="12846" width="11.75" style="30" customWidth="1"/>
    <col min="12847" max="12847" width="11.375" style="30" customWidth="1"/>
    <col min="12848" max="12848" width="12.875" style="30" customWidth="1"/>
    <col min="12849" max="12849" width="13" style="30" customWidth="1"/>
    <col min="12850" max="12850" width="8.875" style="30" customWidth="1"/>
    <col min="12851" max="12851" width="13.125" style="30" customWidth="1"/>
    <col min="12852" max="12852" width="9.625" style="30" customWidth="1"/>
    <col min="12853" max="12853" width="12.875" style="30" customWidth="1"/>
    <col min="12854" max="12854" width="11.5" style="30" customWidth="1"/>
    <col min="12855" max="12855" width="9.75" style="30" customWidth="1"/>
    <col min="12856" max="12856" width="13.375" style="30" customWidth="1"/>
    <col min="12857" max="12857" width="12.125" style="30" customWidth="1"/>
    <col min="12858" max="12858" width="10.25" style="30" customWidth="1"/>
    <col min="12859" max="12859" width="11.625" style="30" bestFit="1" customWidth="1"/>
    <col min="12860" max="12860" width="9.875" style="30" customWidth="1"/>
    <col min="12861" max="12861" width="13.375" style="30" customWidth="1"/>
    <col min="12862" max="12862" width="11.5" style="30" customWidth="1"/>
    <col min="12863" max="12863" width="12" style="30" customWidth="1"/>
    <col min="12864" max="12864" width="9.125" style="30" customWidth="1"/>
    <col min="12865" max="12865" width="9" style="30" customWidth="1"/>
    <col min="12866" max="12866" width="12.875" style="30" bestFit="1" customWidth="1"/>
    <col min="12867" max="12868" width="12" style="30" customWidth="1"/>
    <col min="12869" max="12869" width="11.875" style="30" customWidth="1"/>
    <col min="12870" max="12870" width="11" style="30" customWidth="1"/>
    <col min="12871" max="12871" width="11.625" style="30" customWidth="1"/>
    <col min="12872" max="12872" width="8.875" style="30" customWidth="1"/>
    <col min="12873" max="12873" width="11.625" style="30" bestFit="1" customWidth="1"/>
    <col min="12874" max="12874" width="9.625" style="30" customWidth="1"/>
    <col min="12875" max="12875" width="12.125" style="30" customWidth="1"/>
    <col min="12876" max="12876" width="11.875" style="30" customWidth="1"/>
    <col min="12877" max="12877" width="13.375" style="30" customWidth="1"/>
    <col min="12878" max="12878" width="11.5" style="30" customWidth="1"/>
    <col min="12879" max="12879" width="9.25" style="30" customWidth="1"/>
    <col min="12880" max="12880" width="11.625" style="30" bestFit="1" customWidth="1"/>
    <col min="12881" max="12881" width="10.625" style="30" customWidth="1"/>
    <col min="12882" max="12882" width="12" style="30" customWidth="1"/>
    <col min="12883" max="12883" width="11.625" style="30" customWidth="1"/>
    <col min="12884" max="12884" width="14" style="30" customWidth="1"/>
    <col min="12885" max="12885" width="11.125" style="30" customWidth="1"/>
    <col min="12886" max="12886" width="9.75" style="30" customWidth="1"/>
    <col min="12887" max="12887" width="11.625" style="30" bestFit="1" customWidth="1"/>
    <col min="12888" max="12888" width="10.125" style="30" customWidth="1"/>
    <col min="12889" max="12889" width="11.625" style="30" customWidth="1"/>
    <col min="12890" max="12890" width="11.375" style="30" customWidth="1"/>
    <col min="12891" max="12891" width="12.375" style="30" customWidth="1"/>
    <col min="12892" max="12893" width="10.875" style="30" customWidth="1"/>
    <col min="12894" max="12894" width="10.5" style="30" bestFit="1" customWidth="1"/>
    <col min="12895" max="12895" width="9.625" style="30" customWidth="1"/>
    <col min="12896" max="12896" width="11.875" style="30" customWidth="1"/>
    <col min="12897" max="12897" width="11.75" style="30" customWidth="1"/>
    <col min="12898" max="12898" width="14.125" style="30" customWidth="1"/>
    <col min="12899" max="12899" width="13.125" style="30" customWidth="1"/>
    <col min="12900" max="12900" width="8.75" style="30" customWidth="1"/>
    <col min="12901" max="12901" width="11.5" style="30" bestFit="1" customWidth="1"/>
    <col min="12902" max="12902" width="9.625" style="30" customWidth="1"/>
    <col min="12903" max="12903" width="13.625" style="30" customWidth="1"/>
    <col min="12904" max="12904" width="11.5" style="30" customWidth="1"/>
    <col min="12905" max="12905" width="11.75" style="30" customWidth="1"/>
    <col min="12906" max="12906" width="9.875" style="30" customWidth="1"/>
    <col min="12907" max="12907" width="9" style="30" customWidth="1"/>
    <col min="12908" max="12908" width="9.625" style="30" bestFit="1" customWidth="1"/>
    <col min="12909" max="12909" width="12.625" style="30" customWidth="1"/>
    <col min="12910" max="12910" width="12.375" style="30" customWidth="1"/>
    <col min="12911" max="12911" width="11.625" style="30" customWidth="1"/>
    <col min="12912" max="12913" width="14.125" style="30" customWidth="1"/>
    <col min="12914" max="12914" width="9.125" style="30" customWidth="1"/>
    <col min="12915" max="12915" width="10.5" style="30" bestFit="1" customWidth="1"/>
    <col min="12916" max="12916" width="9.625" style="30" customWidth="1"/>
    <col min="12917" max="12917" width="14.25" style="30" customWidth="1"/>
    <col min="12918" max="12918" width="11.875" style="30" customWidth="1"/>
    <col min="12919" max="12919" width="11" style="30" customWidth="1"/>
    <col min="12920" max="12920" width="11.75" style="30" customWidth="1"/>
    <col min="12921" max="12921" width="11.25" style="30" customWidth="1"/>
    <col min="12922" max="12922" width="9.625" style="30" bestFit="1" customWidth="1"/>
    <col min="12923" max="12923" width="9.625" style="30" customWidth="1"/>
    <col min="12924" max="12924" width="14.125" style="30" customWidth="1"/>
    <col min="12925" max="12925" width="11.125" style="30" customWidth="1"/>
    <col min="12926" max="12926" width="11.25" style="30" customWidth="1"/>
    <col min="12927" max="12927" width="12" style="30" customWidth="1"/>
    <col min="12928" max="12928" width="8.75" style="30" customWidth="1"/>
    <col min="12929" max="12929" width="9.625" style="30" bestFit="1" customWidth="1"/>
    <col min="12930" max="12930" width="9.625" style="30" customWidth="1"/>
    <col min="12931" max="12932" width="11.25" style="30" customWidth="1"/>
    <col min="12933" max="12933" width="12" style="30" customWidth="1"/>
    <col min="12934" max="12935" width="10.625" style="30" customWidth="1"/>
    <col min="12936" max="12936" width="11" style="30" customWidth="1"/>
    <col min="12937" max="12937" width="10.625" style="30" customWidth="1"/>
    <col min="12938" max="12938" width="12.375" style="30" customWidth="1"/>
    <col min="12939" max="12939" width="12" style="30" customWidth="1"/>
    <col min="12940" max="12940" width="11.625" style="30" customWidth="1"/>
    <col min="12941" max="12941" width="10.5" style="30" customWidth="1"/>
    <col min="12942" max="12942" width="8.625" style="30" customWidth="1"/>
    <col min="12943" max="12943" width="11.25" style="30" customWidth="1"/>
    <col min="12944" max="12944" width="9.875" style="30" customWidth="1"/>
    <col min="12945" max="12945" width="11.125" style="30" customWidth="1"/>
    <col min="12946" max="12946" width="11.625" style="30" customWidth="1"/>
    <col min="12947" max="12947" width="12.625" style="30" customWidth="1"/>
    <col min="12948" max="12948" width="11.5" style="30" customWidth="1"/>
    <col min="12949" max="12949" width="9.375" style="30"/>
    <col min="12950" max="12950" width="13.125" style="30" customWidth="1"/>
    <col min="12951" max="12951" width="9.5" style="30" customWidth="1"/>
    <col min="12952" max="12952" width="11.625" style="30" customWidth="1"/>
    <col min="12953" max="12953" width="11.5" style="30" customWidth="1"/>
    <col min="12954" max="12954" width="9.625" style="30" customWidth="1"/>
    <col min="12955" max="12955" width="9.25" style="30" customWidth="1"/>
    <col min="12956" max="12956" width="8.75" style="30" customWidth="1"/>
    <col min="12957" max="12957" width="9" style="30" customWidth="1"/>
    <col min="12958" max="12958" width="8.625" style="30" customWidth="1"/>
    <col min="12959" max="12959" width="11.125" style="30" customWidth="1"/>
    <col min="12960" max="12960" width="11.25" style="30" customWidth="1"/>
    <col min="12961" max="12961" width="11.5" style="30" customWidth="1"/>
    <col min="12962" max="12963" width="9" style="30" customWidth="1"/>
    <col min="12964" max="12964" width="9.875" style="30" customWidth="1"/>
    <col min="12965" max="12965" width="9.25" style="30" customWidth="1"/>
    <col min="12966" max="12966" width="11.125" style="30" customWidth="1"/>
    <col min="12967" max="12967" width="11.375" style="30" customWidth="1"/>
    <col min="12968" max="12968" width="10.875" style="30" customWidth="1"/>
    <col min="12969" max="12969" width="8.375" style="30" customWidth="1"/>
    <col min="12970" max="12970" width="9.125" style="30" customWidth="1"/>
    <col min="12971" max="12972" width="9" style="30" customWidth="1"/>
    <col min="12973" max="12973" width="10.75" style="30" customWidth="1"/>
    <col min="12974" max="12974" width="10.625" style="30" customWidth="1"/>
    <col min="12975" max="12975" width="10.25" style="30" customWidth="1"/>
    <col min="12976" max="12976" width="8.125" style="30" customWidth="1"/>
    <col min="12977" max="12979" width="9" style="30" customWidth="1"/>
    <col min="12980" max="12980" width="11.375" style="30" customWidth="1"/>
    <col min="12981" max="12981" width="11.125" style="30" customWidth="1"/>
    <col min="12982" max="12982" width="14.5" style="30" customWidth="1"/>
    <col min="12983" max="12983" width="10.875" style="30" customWidth="1"/>
    <col min="12984" max="12984" width="8.5" style="30" customWidth="1"/>
    <col min="12985" max="12985" width="10.375" style="30" customWidth="1"/>
    <col min="12986" max="12986" width="9" style="30" customWidth="1"/>
    <col min="12987" max="12987" width="12" style="30" customWidth="1"/>
    <col min="12988" max="12995" width="10.875" style="30" customWidth="1"/>
    <col min="12996" max="12996" width="10.5" style="30" customWidth="1"/>
    <col min="12997" max="12997" width="11.875" style="30" customWidth="1"/>
    <col min="12998" max="12998" width="10.875" style="30" customWidth="1"/>
    <col min="12999" max="13000" width="9" style="30" customWidth="1"/>
    <col min="13001" max="13001" width="12.125" style="30" customWidth="1"/>
    <col min="13002" max="13002" width="9.625" style="30" customWidth="1"/>
    <col min="13003" max="13004" width="9" style="30" customWidth="1"/>
    <col min="13005" max="13005" width="12.625" style="30" customWidth="1"/>
    <col min="13006" max="13006" width="11" style="30" customWidth="1"/>
    <col min="13007" max="13007" width="11.75" style="30" bestFit="1" customWidth="1"/>
    <col min="13008" max="13008" width="11.875" style="30" customWidth="1"/>
    <col min="13009" max="13010" width="9" style="30" customWidth="1"/>
    <col min="13011" max="13011" width="12.25" style="30" customWidth="1"/>
    <col min="13012" max="13012" width="10.875" style="30" customWidth="1"/>
    <col min="13013" max="13013" width="9" style="30" customWidth="1"/>
    <col min="13014" max="13014" width="10.875" style="30" customWidth="1"/>
    <col min="13015" max="13015" width="10.5" style="30" customWidth="1"/>
    <col min="13016" max="13017" width="9" style="30" customWidth="1"/>
    <col min="13018" max="13018" width="12.625" style="30" customWidth="1"/>
    <col min="13019" max="13020" width="9" style="30" customWidth="1"/>
    <col min="13021" max="13021" width="12" style="30" customWidth="1"/>
    <col min="13022" max="13038" width="9" style="30" customWidth="1"/>
    <col min="13039" max="13039" width="12.375" style="30" customWidth="1"/>
    <col min="13040" max="13040" width="12.5" style="30" customWidth="1"/>
    <col min="13041" max="13041" width="11.875" style="30" customWidth="1"/>
    <col min="13042" max="13042" width="11.625" style="30" customWidth="1"/>
    <col min="13043" max="13043" width="12.125" style="30" customWidth="1"/>
    <col min="13044" max="13045" width="10.5" style="30" bestFit="1" customWidth="1"/>
    <col min="13046" max="13046" width="10.625" style="30" bestFit="1" customWidth="1"/>
    <col min="13047" max="13054" width="10.5" style="30" bestFit="1" customWidth="1"/>
    <col min="13055" max="13055" width="10.5" style="30" customWidth="1"/>
    <col min="13056" max="13056" width="10.5" style="30" bestFit="1" customWidth="1"/>
    <col min="13057" max="13057" width="11.5" style="30" customWidth="1"/>
    <col min="13058" max="13058" width="9.5" style="30" bestFit="1" customWidth="1"/>
    <col min="13059" max="13069" width="10.5" style="30" bestFit="1" customWidth="1"/>
    <col min="13070" max="13070" width="12.75" style="30" bestFit="1" customWidth="1"/>
    <col min="13071" max="13075" width="10.5" style="30" bestFit="1" customWidth="1"/>
    <col min="13076" max="13077" width="9.375" style="30"/>
    <col min="13078" max="13078" width="8.5" style="30" customWidth="1"/>
    <col min="13079" max="13079" width="8" style="30" customWidth="1"/>
    <col min="13080" max="13080" width="21.25" style="30" customWidth="1"/>
    <col min="13081" max="13081" width="16.25" style="30" customWidth="1"/>
    <col min="13082" max="13082" width="11.625" style="30" customWidth="1"/>
    <col min="13083" max="13083" width="13.625" style="30" customWidth="1"/>
    <col min="13084" max="13084" width="12.875" style="30" customWidth="1"/>
    <col min="13085" max="13085" width="15.5" style="30" customWidth="1"/>
    <col min="13086" max="13087" width="13.375" style="30" customWidth="1"/>
    <col min="13088" max="13088" width="14.375" style="30" customWidth="1"/>
    <col min="13089" max="13089" width="11.875" style="30" customWidth="1"/>
    <col min="13090" max="13091" width="14.25" style="30" customWidth="1"/>
    <col min="13092" max="13092" width="8.625" style="30" customWidth="1"/>
    <col min="13093" max="13093" width="10.625" style="30" customWidth="1"/>
    <col min="13094" max="13094" width="9.875" style="30" customWidth="1"/>
    <col min="13095" max="13095" width="14" style="30" customWidth="1"/>
    <col min="13096" max="13096" width="10.875" style="30" customWidth="1"/>
    <col min="13097" max="13097" width="12.375" style="30" customWidth="1"/>
    <col min="13098" max="13098" width="12" style="30" customWidth="1"/>
    <col min="13099" max="13099" width="13.625" style="30" customWidth="1"/>
    <col min="13100" max="13100" width="10" style="30" customWidth="1"/>
    <col min="13101" max="13101" width="9.625" style="30" customWidth="1"/>
    <col min="13102" max="13102" width="11.75" style="30" customWidth="1"/>
    <col min="13103" max="13103" width="11.375" style="30" customWidth="1"/>
    <col min="13104" max="13104" width="12.875" style="30" customWidth="1"/>
    <col min="13105" max="13105" width="13" style="30" customWidth="1"/>
    <col min="13106" max="13106" width="8.875" style="30" customWidth="1"/>
    <col min="13107" max="13107" width="13.125" style="30" customWidth="1"/>
    <col min="13108" max="13108" width="9.625" style="30" customWidth="1"/>
    <col min="13109" max="13109" width="12.875" style="30" customWidth="1"/>
    <col min="13110" max="13110" width="11.5" style="30" customWidth="1"/>
    <col min="13111" max="13111" width="9.75" style="30" customWidth="1"/>
    <col min="13112" max="13112" width="13.375" style="30" customWidth="1"/>
    <col min="13113" max="13113" width="12.125" style="30" customWidth="1"/>
    <col min="13114" max="13114" width="10.25" style="30" customWidth="1"/>
    <col min="13115" max="13115" width="11.625" style="30" bestFit="1" customWidth="1"/>
    <col min="13116" max="13116" width="9.875" style="30" customWidth="1"/>
    <col min="13117" max="13117" width="13.375" style="30" customWidth="1"/>
    <col min="13118" max="13118" width="11.5" style="30" customWidth="1"/>
    <col min="13119" max="13119" width="12" style="30" customWidth="1"/>
    <col min="13120" max="13120" width="9.125" style="30" customWidth="1"/>
    <col min="13121" max="13121" width="9" style="30" customWidth="1"/>
    <col min="13122" max="13122" width="12.875" style="30" bestFit="1" customWidth="1"/>
    <col min="13123" max="13124" width="12" style="30" customWidth="1"/>
    <col min="13125" max="13125" width="11.875" style="30" customWidth="1"/>
    <col min="13126" max="13126" width="11" style="30" customWidth="1"/>
    <col min="13127" max="13127" width="11.625" style="30" customWidth="1"/>
    <col min="13128" max="13128" width="8.875" style="30" customWidth="1"/>
    <col min="13129" max="13129" width="11.625" style="30" bestFit="1" customWidth="1"/>
    <col min="13130" max="13130" width="9.625" style="30" customWidth="1"/>
    <col min="13131" max="13131" width="12.125" style="30" customWidth="1"/>
    <col min="13132" max="13132" width="11.875" style="30" customWidth="1"/>
    <col min="13133" max="13133" width="13.375" style="30" customWidth="1"/>
    <col min="13134" max="13134" width="11.5" style="30" customWidth="1"/>
    <col min="13135" max="13135" width="9.25" style="30" customWidth="1"/>
    <col min="13136" max="13136" width="11.625" style="30" bestFit="1" customWidth="1"/>
    <col min="13137" max="13137" width="10.625" style="30" customWidth="1"/>
    <col min="13138" max="13138" width="12" style="30" customWidth="1"/>
    <col min="13139" max="13139" width="11.625" style="30" customWidth="1"/>
    <col min="13140" max="13140" width="14" style="30" customWidth="1"/>
    <col min="13141" max="13141" width="11.125" style="30" customWidth="1"/>
    <col min="13142" max="13142" width="9.75" style="30" customWidth="1"/>
    <col min="13143" max="13143" width="11.625" style="30" bestFit="1" customWidth="1"/>
    <col min="13144" max="13144" width="10.125" style="30" customWidth="1"/>
    <col min="13145" max="13145" width="11.625" style="30" customWidth="1"/>
    <col min="13146" max="13146" width="11.375" style="30" customWidth="1"/>
    <col min="13147" max="13147" width="12.375" style="30" customWidth="1"/>
    <col min="13148" max="13149" width="10.875" style="30" customWidth="1"/>
    <col min="13150" max="13150" width="10.5" style="30" bestFit="1" customWidth="1"/>
    <col min="13151" max="13151" width="9.625" style="30" customWidth="1"/>
    <col min="13152" max="13152" width="11.875" style="30" customWidth="1"/>
    <col min="13153" max="13153" width="11.75" style="30" customWidth="1"/>
    <col min="13154" max="13154" width="14.125" style="30" customWidth="1"/>
    <col min="13155" max="13155" width="13.125" style="30" customWidth="1"/>
    <col min="13156" max="13156" width="8.75" style="30" customWidth="1"/>
    <col min="13157" max="13157" width="11.5" style="30" bestFit="1" customWidth="1"/>
    <col min="13158" max="13158" width="9.625" style="30" customWidth="1"/>
    <col min="13159" max="13159" width="13.625" style="30" customWidth="1"/>
    <col min="13160" max="13160" width="11.5" style="30" customWidth="1"/>
    <col min="13161" max="13161" width="11.75" style="30" customWidth="1"/>
    <col min="13162" max="13162" width="9.875" style="30" customWidth="1"/>
    <col min="13163" max="13163" width="9" style="30" customWidth="1"/>
    <col min="13164" max="13164" width="9.625" style="30" bestFit="1" customWidth="1"/>
    <col min="13165" max="13165" width="12.625" style="30" customWidth="1"/>
    <col min="13166" max="13166" width="12.375" style="30" customWidth="1"/>
    <col min="13167" max="13167" width="11.625" style="30" customWidth="1"/>
    <col min="13168" max="13169" width="14.125" style="30" customWidth="1"/>
    <col min="13170" max="13170" width="9.125" style="30" customWidth="1"/>
    <col min="13171" max="13171" width="10.5" style="30" bestFit="1" customWidth="1"/>
    <col min="13172" max="13172" width="9.625" style="30" customWidth="1"/>
    <col min="13173" max="13173" width="14.25" style="30" customWidth="1"/>
    <col min="13174" max="13174" width="11.875" style="30" customWidth="1"/>
    <col min="13175" max="13175" width="11" style="30" customWidth="1"/>
    <col min="13176" max="13176" width="11.75" style="30" customWidth="1"/>
    <col min="13177" max="13177" width="11.25" style="30" customWidth="1"/>
    <col min="13178" max="13178" width="9.625" style="30" bestFit="1" customWidth="1"/>
    <col min="13179" max="13179" width="9.625" style="30" customWidth="1"/>
    <col min="13180" max="13180" width="14.125" style="30" customWidth="1"/>
    <col min="13181" max="13181" width="11.125" style="30" customWidth="1"/>
    <col min="13182" max="13182" width="11.25" style="30" customWidth="1"/>
    <col min="13183" max="13183" width="12" style="30" customWidth="1"/>
    <col min="13184" max="13184" width="8.75" style="30" customWidth="1"/>
    <col min="13185" max="13185" width="9.625" style="30" bestFit="1" customWidth="1"/>
    <col min="13186" max="13186" width="9.625" style="30" customWidth="1"/>
    <col min="13187" max="13188" width="11.25" style="30" customWidth="1"/>
    <col min="13189" max="13189" width="12" style="30" customWidth="1"/>
    <col min="13190" max="13191" width="10.625" style="30" customWidth="1"/>
    <col min="13192" max="13192" width="11" style="30" customWidth="1"/>
    <col min="13193" max="13193" width="10.625" style="30" customWidth="1"/>
    <col min="13194" max="13194" width="12.375" style="30" customWidth="1"/>
    <col min="13195" max="13195" width="12" style="30" customWidth="1"/>
    <col min="13196" max="13196" width="11.625" style="30" customWidth="1"/>
    <col min="13197" max="13197" width="10.5" style="30" customWidth="1"/>
    <col min="13198" max="13198" width="8.625" style="30" customWidth="1"/>
    <col min="13199" max="13199" width="11.25" style="30" customWidth="1"/>
    <col min="13200" max="13200" width="9.875" style="30" customWidth="1"/>
    <col min="13201" max="13201" width="11.125" style="30" customWidth="1"/>
    <col min="13202" max="13202" width="11.625" style="30" customWidth="1"/>
    <col min="13203" max="13203" width="12.625" style="30" customWidth="1"/>
    <col min="13204" max="13204" width="11.5" style="30" customWidth="1"/>
    <col min="13205" max="13205" width="9.375" style="30"/>
    <col min="13206" max="13206" width="13.125" style="30" customWidth="1"/>
    <col min="13207" max="13207" width="9.5" style="30" customWidth="1"/>
    <col min="13208" max="13208" width="11.625" style="30" customWidth="1"/>
    <col min="13209" max="13209" width="11.5" style="30" customWidth="1"/>
    <col min="13210" max="13210" width="9.625" style="30" customWidth="1"/>
    <col min="13211" max="13211" width="9.25" style="30" customWidth="1"/>
    <col min="13212" max="13212" width="8.75" style="30" customWidth="1"/>
    <col min="13213" max="13213" width="9" style="30" customWidth="1"/>
    <col min="13214" max="13214" width="8.625" style="30" customWidth="1"/>
    <col min="13215" max="13215" width="11.125" style="30" customWidth="1"/>
    <col min="13216" max="13216" width="11.25" style="30" customWidth="1"/>
    <col min="13217" max="13217" width="11.5" style="30" customWidth="1"/>
    <col min="13218" max="13219" width="9" style="30" customWidth="1"/>
    <col min="13220" max="13220" width="9.875" style="30" customWidth="1"/>
    <col min="13221" max="13221" width="9.25" style="30" customWidth="1"/>
    <col min="13222" max="13222" width="11.125" style="30" customWidth="1"/>
    <col min="13223" max="13223" width="11.375" style="30" customWidth="1"/>
    <col min="13224" max="13224" width="10.875" style="30" customWidth="1"/>
    <col min="13225" max="13225" width="8.375" style="30" customWidth="1"/>
    <col min="13226" max="13226" width="9.125" style="30" customWidth="1"/>
    <col min="13227" max="13228" width="9" style="30" customWidth="1"/>
    <col min="13229" max="13229" width="10.75" style="30" customWidth="1"/>
    <col min="13230" max="13230" width="10.625" style="30" customWidth="1"/>
    <col min="13231" max="13231" width="10.25" style="30" customWidth="1"/>
    <col min="13232" max="13232" width="8.125" style="30" customWidth="1"/>
    <col min="13233" max="13235" width="9" style="30" customWidth="1"/>
    <col min="13236" max="13236" width="11.375" style="30" customWidth="1"/>
    <col min="13237" max="13237" width="11.125" style="30" customWidth="1"/>
    <col min="13238" max="13238" width="14.5" style="30" customWidth="1"/>
    <col min="13239" max="13239" width="10.875" style="30" customWidth="1"/>
    <col min="13240" max="13240" width="8.5" style="30" customWidth="1"/>
    <col min="13241" max="13241" width="10.375" style="30" customWidth="1"/>
    <col min="13242" max="13242" width="9" style="30" customWidth="1"/>
    <col min="13243" max="13243" width="12" style="30" customWidth="1"/>
    <col min="13244" max="13251" width="10.875" style="30" customWidth="1"/>
    <col min="13252" max="13252" width="10.5" style="30" customWidth="1"/>
    <col min="13253" max="13253" width="11.875" style="30" customWidth="1"/>
    <col min="13254" max="13254" width="10.875" style="30" customWidth="1"/>
    <col min="13255" max="13256" width="9" style="30" customWidth="1"/>
    <col min="13257" max="13257" width="12.125" style="30" customWidth="1"/>
    <col min="13258" max="13258" width="9.625" style="30" customWidth="1"/>
    <col min="13259" max="13260" width="9" style="30" customWidth="1"/>
    <col min="13261" max="13261" width="12.625" style="30" customWidth="1"/>
    <col min="13262" max="13262" width="11" style="30" customWidth="1"/>
    <col min="13263" max="13263" width="11.75" style="30" bestFit="1" customWidth="1"/>
    <col min="13264" max="13264" width="11.875" style="30" customWidth="1"/>
    <col min="13265" max="13266" width="9" style="30" customWidth="1"/>
    <col min="13267" max="13267" width="12.25" style="30" customWidth="1"/>
    <col min="13268" max="13268" width="10.875" style="30" customWidth="1"/>
    <col min="13269" max="13269" width="9" style="30" customWidth="1"/>
    <col min="13270" max="13270" width="10.875" style="30" customWidth="1"/>
    <col min="13271" max="13271" width="10.5" style="30" customWidth="1"/>
    <col min="13272" max="13273" width="9" style="30" customWidth="1"/>
    <col min="13274" max="13274" width="12.625" style="30" customWidth="1"/>
    <col min="13275" max="13276" width="9" style="30" customWidth="1"/>
    <col min="13277" max="13277" width="12" style="30" customWidth="1"/>
    <col min="13278" max="13294" width="9" style="30" customWidth="1"/>
    <col min="13295" max="13295" width="12.375" style="30" customWidth="1"/>
    <col min="13296" max="13296" width="12.5" style="30" customWidth="1"/>
    <col min="13297" max="13297" width="11.875" style="30" customWidth="1"/>
    <col min="13298" max="13298" width="11.625" style="30" customWidth="1"/>
    <col min="13299" max="13299" width="12.125" style="30" customWidth="1"/>
    <col min="13300" max="13301" width="10.5" style="30" bestFit="1" customWidth="1"/>
    <col min="13302" max="13302" width="10.625" style="30" bestFit="1" customWidth="1"/>
    <col min="13303" max="13310" width="10.5" style="30" bestFit="1" customWidth="1"/>
    <col min="13311" max="13311" width="10.5" style="30" customWidth="1"/>
    <col min="13312" max="13312" width="10.5" style="30" bestFit="1" customWidth="1"/>
    <col min="13313" max="13313" width="11.5" style="30" customWidth="1"/>
    <col min="13314" max="13314" width="9.5" style="30" bestFit="1" customWidth="1"/>
    <col min="13315" max="13325" width="10.5" style="30" bestFit="1" customWidth="1"/>
    <col min="13326" max="13326" width="12.75" style="30" bestFit="1" customWidth="1"/>
    <col min="13327" max="13331" width="10.5" style="30" bestFit="1" customWidth="1"/>
    <col min="13332" max="13333" width="9.375" style="30"/>
    <col min="13334" max="13334" width="8.5" style="30" customWidth="1"/>
    <col min="13335" max="13335" width="8" style="30" customWidth="1"/>
    <col min="13336" max="13336" width="21.25" style="30" customWidth="1"/>
    <col min="13337" max="13337" width="16.25" style="30" customWidth="1"/>
    <col min="13338" max="13338" width="11.625" style="30" customWidth="1"/>
    <col min="13339" max="13339" width="13.625" style="30" customWidth="1"/>
    <col min="13340" max="13340" width="12.875" style="30" customWidth="1"/>
    <col min="13341" max="13341" width="15.5" style="30" customWidth="1"/>
    <col min="13342" max="13343" width="13.375" style="30" customWidth="1"/>
    <col min="13344" max="13344" width="14.375" style="30" customWidth="1"/>
    <col min="13345" max="13345" width="11.875" style="30" customWidth="1"/>
    <col min="13346" max="13347" width="14.25" style="30" customWidth="1"/>
    <col min="13348" max="13348" width="8.625" style="30" customWidth="1"/>
    <col min="13349" max="13349" width="10.625" style="30" customWidth="1"/>
    <col min="13350" max="13350" width="9.875" style="30" customWidth="1"/>
    <col min="13351" max="13351" width="14" style="30" customWidth="1"/>
    <col min="13352" max="13352" width="10.875" style="30" customWidth="1"/>
    <col min="13353" max="13353" width="12.375" style="30" customWidth="1"/>
    <col min="13354" max="13354" width="12" style="30" customWidth="1"/>
    <col min="13355" max="13355" width="13.625" style="30" customWidth="1"/>
    <col min="13356" max="13356" width="10" style="30" customWidth="1"/>
    <col min="13357" max="13357" width="9.625" style="30" customWidth="1"/>
    <col min="13358" max="13358" width="11.75" style="30" customWidth="1"/>
    <col min="13359" max="13359" width="11.375" style="30" customWidth="1"/>
    <col min="13360" max="13360" width="12.875" style="30" customWidth="1"/>
    <col min="13361" max="13361" width="13" style="30" customWidth="1"/>
    <col min="13362" max="13362" width="8.875" style="30" customWidth="1"/>
    <col min="13363" max="13363" width="13.125" style="30" customWidth="1"/>
    <col min="13364" max="13364" width="9.625" style="30" customWidth="1"/>
    <col min="13365" max="13365" width="12.875" style="30" customWidth="1"/>
    <col min="13366" max="13366" width="11.5" style="30" customWidth="1"/>
    <col min="13367" max="13367" width="9.75" style="30" customWidth="1"/>
    <col min="13368" max="13368" width="13.375" style="30" customWidth="1"/>
    <col min="13369" max="13369" width="12.125" style="30" customWidth="1"/>
    <col min="13370" max="13370" width="10.25" style="30" customWidth="1"/>
    <col min="13371" max="13371" width="11.625" style="30" bestFit="1" customWidth="1"/>
    <col min="13372" max="13372" width="9.875" style="30" customWidth="1"/>
    <col min="13373" max="13373" width="13.375" style="30" customWidth="1"/>
    <col min="13374" max="13374" width="11.5" style="30" customWidth="1"/>
    <col min="13375" max="13375" width="12" style="30" customWidth="1"/>
    <col min="13376" max="13376" width="9.125" style="30" customWidth="1"/>
    <col min="13377" max="13377" width="9" style="30" customWidth="1"/>
    <col min="13378" max="13378" width="12.875" style="30" bestFit="1" customWidth="1"/>
    <col min="13379" max="13380" width="12" style="30" customWidth="1"/>
    <col min="13381" max="13381" width="11.875" style="30" customWidth="1"/>
    <col min="13382" max="13382" width="11" style="30" customWidth="1"/>
    <col min="13383" max="13383" width="11.625" style="30" customWidth="1"/>
    <col min="13384" max="13384" width="8.875" style="30" customWidth="1"/>
    <col min="13385" max="13385" width="11.625" style="30" bestFit="1" customWidth="1"/>
    <col min="13386" max="13386" width="9.625" style="30" customWidth="1"/>
    <col min="13387" max="13387" width="12.125" style="30" customWidth="1"/>
    <col min="13388" max="13388" width="11.875" style="30" customWidth="1"/>
    <col min="13389" max="13389" width="13.375" style="30" customWidth="1"/>
    <col min="13390" max="13390" width="11.5" style="30" customWidth="1"/>
    <col min="13391" max="13391" width="9.25" style="30" customWidth="1"/>
    <col min="13392" max="13392" width="11.625" style="30" bestFit="1" customWidth="1"/>
    <col min="13393" max="13393" width="10.625" style="30" customWidth="1"/>
    <col min="13394" max="13394" width="12" style="30" customWidth="1"/>
    <col min="13395" max="13395" width="11.625" style="30" customWidth="1"/>
    <col min="13396" max="13396" width="14" style="30" customWidth="1"/>
    <col min="13397" max="13397" width="11.125" style="30" customWidth="1"/>
    <col min="13398" max="13398" width="9.75" style="30" customWidth="1"/>
    <col min="13399" max="13399" width="11.625" style="30" bestFit="1" customWidth="1"/>
    <col min="13400" max="13400" width="10.125" style="30" customWidth="1"/>
    <col min="13401" max="13401" width="11.625" style="30" customWidth="1"/>
    <col min="13402" max="13402" width="11.375" style="30" customWidth="1"/>
    <col min="13403" max="13403" width="12.375" style="30" customWidth="1"/>
    <col min="13404" max="13405" width="10.875" style="30" customWidth="1"/>
    <col min="13406" max="13406" width="10.5" style="30" bestFit="1" customWidth="1"/>
    <col min="13407" max="13407" width="9.625" style="30" customWidth="1"/>
    <col min="13408" max="13408" width="11.875" style="30" customWidth="1"/>
    <col min="13409" max="13409" width="11.75" style="30" customWidth="1"/>
    <col min="13410" max="13410" width="14.125" style="30" customWidth="1"/>
    <col min="13411" max="13411" width="13.125" style="30" customWidth="1"/>
    <col min="13412" max="13412" width="8.75" style="30" customWidth="1"/>
    <col min="13413" max="13413" width="11.5" style="30" bestFit="1" customWidth="1"/>
    <col min="13414" max="13414" width="9.625" style="30" customWidth="1"/>
    <col min="13415" max="13415" width="13.625" style="30" customWidth="1"/>
    <col min="13416" max="13416" width="11.5" style="30" customWidth="1"/>
    <col min="13417" max="13417" width="11.75" style="30" customWidth="1"/>
    <col min="13418" max="13418" width="9.875" style="30" customWidth="1"/>
    <col min="13419" max="13419" width="9" style="30" customWidth="1"/>
    <col min="13420" max="13420" width="9.625" style="30" bestFit="1" customWidth="1"/>
    <col min="13421" max="13421" width="12.625" style="30" customWidth="1"/>
    <col min="13422" max="13422" width="12.375" style="30" customWidth="1"/>
    <col min="13423" max="13423" width="11.625" style="30" customWidth="1"/>
    <col min="13424" max="13425" width="14.125" style="30" customWidth="1"/>
    <col min="13426" max="13426" width="9.125" style="30" customWidth="1"/>
    <col min="13427" max="13427" width="10.5" style="30" bestFit="1" customWidth="1"/>
    <col min="13428" max="13428" width="9.625" style="30" customWidth="1"/>
    <col min="13429" max="13429" width="14.25" style="30" customWidth="1"/>
    <col min="13430" max="13430" width="11.875" style="30" customWidth="1"/>
    <col min="13431" max="13431" width="11" style="30" customWidth="1"/>
    <col min="13432" max="13432" width="11.75" style="30" customWidth="1"/>
    <col min="13433" max="13433" width="11.25" style="30" customWidth="1"/>
    <col min="13434" max="13434" width="9.625" style="30" bestFit="1" customWidth="1"/>
    <col min="13435" max="13435" width="9.625" style="30" customWidth="1"/>
    <col min="13436" max="13436" width="14.125" style="30" customWidth="1"/>
    <col min="13437" max="13437" width="11.125" style="30" customWidth="1"/>
    <col min="13438" max="13438" width="11.25" style="30" customWidth="1"/>
    <col min="13439" max="13439" width="12" style="30" customWidth="1"/>
    <col min="13440" max="13440" width="8.75" style="30" customWidth="1"/>
    <col min="13441" max="13441" width="9.625" style="30" bestFit="1" customWidth="1"/>
    <col min="13442" max="13442" width="9.625" style="30" customWidth="1"/>
    <col min="13443" max="13444" width="11.25" style="30" customWidth="1"/>
    <col min="13445" max="13445" width="12" style="30" customWidth="1"/>
    <col min="13446" max="13447" width="10.625" style="30" customWidth="1"/>
    <col min="13448" max="13448" width="11" style="30" customWidth="1"/>
    <col min="13449" max="13449" width="10.625" style="30" customWidth="1"/>
    <col min="13450" max="13450" width="12.375" style="30" customWidth="1"/>
    <col min="13451" max="13451" width="12" style="30" customWidth="1"/>
    <col min="13452" max="13452" width="11.625" style="30" customWidth="1"/>
    <col min="13453" max="13453" width="10.5" style="30" customWidth="1"/>
    <col min="13454" max="13454" width="8.625" style="30" customWidth="1"/>
    <col min="13455" max="13455" width="11.25" style="30" customWidth="1"/>
    <col min="13456" max="13456" width="9.875" style="30" customWidth="1"/>
    <col min="13457" max="13457" width="11.125" style="30" customWidth="1"/>
    <col min="13458" max="13458" width="11.625" style="30" customWidth="1"/>
    <col min="13459" max="13459" width="12.625" style="30" customWidth="1"/>
    <col min="13460" max="13460" width="11.5" style="30" customWidth="1"/>
    <col min="13461" max="13461" width="9.375" style="30"/>
    <col min="13462" max="13462" width="13.125" style="30" customWidth="1"/>
    <col min="13463" max="13463" width="9.5" style="30" customWidth="1"/>
    <col min="13464" max="13464" width="11.625" style="30" customWidth="1"/>
    <col min="13465" max="13465" width="11.5" style="30" customWidth="1"/>
    <col min="13466" max="13466" width="9.625" style="30" customWidth="1"/>
    <col min="13467" max="13467" width="9.25" style="30" customWidth="1"/>
    <col min="13468" max="13468" width="8.75" style="30" customWidth="1"/>
    <col min="13469" max="13469" width="9" style="30" customWidth="1"/>
    <col min="13470" max="13470" width="8.625" style="30" customWidth="1"/>
    <col min="13471" max="13471" width="11.125" style="30" customWidth="1"/>
    <col min="13472" max="13472" width="11.25" style="30" customWidth="1"/>
    <col min="13473" max="13473" width="11.5" style="30" customWidth="1"/>
    <col min="13474" max="13475" width="9" style="30" customWidth="1"/>
    <col min="13476" max="13476" width="9.875" style="30" customWidth="1"/>
    <col min="13477" max="13477" width="9.25" style="30" customWidth="1"/>
    <col min="13478" max="13478" width="11.125" style="30" customWidth="1"/>
    <col min="13479" max="13479" width="11.375" style="30" customWidth="1"/>
    <col min="13480" max="13480" width="10.875" style="30" customWidth="1"/>
    <col min="13481" max="13481" width="8.375" style="30" customWidth="1"/>
    <col min="13482" max="13482" width="9.125" style="30" customWidth="1"/>
    <col min="13483" max="13484" width="9" style="30" customWidth="1"/>
    <col min="13485" max="13485" width="10.75" style="30" customWidth="1"/>
    <col min="13486" max="13486" width="10.625" style="30" customWidth="1"/>
    <col min="13487" max="13487" width="10.25" style="30" customWidth="1"/>
    <col min="13488" max="13488" width="8.125" style="30" customWidth="1"/>
    <col min="13489" max="13491" width="9" style="30" customWidth="1"/>
    <col min="13492" max="13492" width="11.375" style="30" customWidth="1"/>
    <col min="13493" max="13493" width="11.125" style="30" customWidth="1"/>
    <col min="13494" max="13494" width="14.5" style="30" customWidth="1"/>
    <col min="13495" max="13495" width="10.875" style="30" customWidth="1"/>
    <col min="13496" max="13496" width="8.5" style="30" customWidth="1"/>
    <col min="13497" max="13497" width="10.375" style="30" customWidth="1"/>
    <col min="13498" max="13498" width="9" style="30" customWidth="1"/>
    <col min="13499" max="13499" width="12" style="30" customWidth="1"/>
    <col min="13500" max="13507" width="10.875" style="30" customWidth="1"/>
    <col min="13508" max="13508" width="10.5" style="30" customWidth="1"/>
    <col min="13509" max="13509" width="11.875" style="30" customWidth="1"/>
    <col min="13510" max="13510" width="10.875" style="30" customWidth="1"/>
    <col min="13511" max="13512" width="9" style="30" customWidth="1"/>
    <col min="13513" max="13513" width="12.125" style="30" customWidth="1"/>
    <col min="13514" max="13514" width="9.625" style="30" customWidth="1"/>
    <col min="13515" max="13516" width="9" style="30" customWidth="1"/>
    <col min="13517" max="13517" width="12.625" style="30" customWidth="1"/>
    <col min="13518" max="13518" width="11" style="30" customWidth="1"/>
    <col min="13519" max="13519" width="11.75" style="30" bestFit="1" customWidth="1"/>
    <col min="13520" max="13520" width="11.875" style="30" customWidth="1"/>
    <col min="13521" max="13522" width="9" style="30" customWidth="1"/>
    <col min="13523" max="13523" width="12.25" style="30" customWidth="1"/>
    <col min="13524" max="13524" width="10.875" style="30" customWidth="1"/>
    <col min="13525" max="13525" width="9" style="30" customWidth="1"/>
    <col min="13526" max="13526" width="10.875" style="30" customWidth="1"/>
    <col min="13527" max="13527" width="10.5" style="30" customWidth="1"/>
    <col min="13528" max="13529" width="9" style="30" customWidth="1"/>
    <col min="13530" max="13530" width="12.625" style="30" customWidth="1"/>
    <col min="13531" max="13532" width="9" style="30" customWidth="1"/>
    <col min="13533" max="13533" width="12" style="30" customWidth="1"/>
    <col min="13534" max="13550" width="9" style="30" customWidth="1"/>
    <col min="13551" max="13551" width="12.375" style="30" customWidth="1"/>
    <col min="13552" max="13552" width="12.5" style="30" customWidth="1"/>
    <col min="13553" max="13553" width="11.875" style="30" customWidth="1"/>
    <col min="13554" max="13554" width="11.625" style="30" customWidth="1"/>
    <col min="13555" max="13555" width="12.125" style="30" customWidth="1"/>
    <col min="13556" max="13557" width="10.5" style="30" bestFit="1" customWidth="1"/>
    <col min="13558" max="13558" width="10.625" style="30" bestFit="1" customWidth="1"/>
    <col min="13559" max="13566" width="10.5" style="30" bestFit="1" customWidth="1"/>
    <col min="13567" max="13567" width="10.5" style="30" customWidth="1"/>
    <col min="13568" max="13568" width="10.5" style="30" bestFit="1" customWidth="1"/>
    <col min="13569" max="13569" width="11.5" style="30" customWidth="1"/>
    <col min="13570" max="13570" width="9.5" style="30" bestFit="1" customWidth="1"/>
    <col min="13571" max="13581" width="10.5" style="30" bestFit="1" customWidth="1"/>
    <col min="13582" max="13582" width="12.75" style="30" bestFit="1" customWidth="1"/>
    <col min="13583" max="13587" width="10.5" style="30" bestFit="1" customWidth="1"/>
    <col min="13588" max="13589" width="9.375" style="30"/>
    <col min="13590" max="13590" width="8.5" style="30" customWidth="1"/>
    <col min="13591" max="13591" width="8" style="30" customWidth="1"/>
    <col min="13592" max="13592" width="21.25" style="30" customWidth="1"/>
    <col min="13593" max="13593" width="16.25" style="30" customWidth="1"/>
    <col min="13594" max="13594" width="11.625" style="30" customWidth="1"/>
    <col min="13595" max="13595" width="13.625" style="30" customWidth="1"/>
    <col min="13596" max="13596" width="12.875" style="30" customWidth="1"/>
    <col min="13597" max="13597" width="15.5" style="30" customWidth="1"/>
    <col min="13598" max="13599" width="13.375" style="30" customWidth="1"/>
    <col min="13600" max="13600" width="14.375" style="30" customWidth="1"/>
    <col min="13601" max="13601" width="11.875" style="30" customWidth="1"/>
    <col min="13602" max="13603" width="14.25" style="30" customWidth="1"/>
    <col min="13604" max="13604" width="8.625" style="30" customWidth="1"/>
    <col min="13605" max="13605" width="10.625" style="30" customWidth="1"/>
    <col min="13606" max="13606" width="9.875" style="30" customWidth="1"/>
    <col min="13607" max="13607" width="14" style="30" customWidth="1"/>
    <col min="13608" max="13608" width="10.875" style="30" customWidth="1"/>
    <col min="13609" max="13609" width="12.375" style="30" customWidth="1"/>
    <col min="13610" max="13610" width="12" style="30" customWidth="1"/>
    <col min="13611" max="13611" width="13.625" style="30" customWidth="1"/>
    <col min="13612" max="13612" width="10" style="30" customWidth="1"/>
    <col min="13613" max="13613" width="9.625" style="30" customWidth="1"/>
    <col min="13614" max="13614" width="11.75" style="30" customWidth="1"/>
    <col min="13615" max="13615" width="11.375" style="30" customWidth="1"/>
    <col min="13616" max="13616" width="12.875" style="30" customWidth="1"/>
    <col min="13617" max="13617" width="13" style="30" customWidth="1"/>
    <col min="13618" max="13618" width="8.875" style="30" customWidth="1"/>
    <col min="13619" max="13619" width="13.125" style="30" customWidth="1"/>
    <col min="13620" max="13620" width="9.625" style="30" customWidth="1"/>
    <col min="13621" max="13621" width="12.875" style="30" customWidth="1"/>
    <col min="13622" max="13622" width="11.5" style="30" customWidth="1"/>
    <col min="13623" max="13623" width="9.75" style="30" customWidth="1"/>
    <col min="13624" max="13624" width="13.375" style="30" customWidth="1"/>
    <col min="13625" max="13625" width="12.125" style="30" customWidth="1"/>
    <col min="13626" max="13626" width="10.25" style="30" customWidth="1"/>
    <col min="13627" max="13627" width="11.625" style="30" bestFit="1" customWidth="1"/>
    <col min="13628" max="13628" width="9.875" style="30" customWidth="1"/>
    <col min="13629" max="13629" width="13.375" style="30" customWidth="1"/>
    <col min="13630" max="13630" width="11.5" style="30" customWidth="1"/>
    <col min="13631" max="13631" width="12" style="30" customWidth="1"/>
    <col min="13632" max="13632" width="9.125" style="30" customWidth="1"/>
    <col min="13633" max="13633" width="9" style="30" customWidth="1"/>
    <col min="13634" max="13634" width="12.875" style="30" bestFit="1" customWidth="1"/>
    <col min="13635" max="13636" width="12" style="30" customWidth="1"/>
    <col min="13637" max="13637" width="11.875" style="30" customWidth="1"/>
    <col min="13638" max="13638" width="11" style="30" customWidth="1"/>
    <col min="13639" max="13639" width="11.625" style="30" customWidth="1"/>
    <col min="13640" max="13640" width="8.875" style="30" customWidth="1"/>
    <col min="13641" max="13641" width="11.625" style="30" bestFit="1" customWidth="1"/>
    <col min="13642" max="13642" width="9.625" style="30" customWidth="1"/>
    <col min="13643" max="13643" width="12.125" style="30" customWidth="1"/>
    <col min="13644" max="13644" width="11.875" style="30" customWidth="1"/>
    <col min="13645" max="13645" width="13.375" style="30" customWidth="1"/>
    <col min="13646" max="13646" width="11.5" style="30" customWidth="1"/>
    <col min="13647" max="13647" width="9.25" style="30" customWidth="1"/>
    <col min="13648" max="13648" width="11.625" style="30" bestFit="1" customWidth="1"/>
    <col min="13649" max="13649" width="10.625" style="30" customWidth="1"/>
    <col min="13650" max="13650" width="12" style="30" customWidth="1"/>
    <col min="13651" max="13651" width="11.625" style="30" customWidth="1"/>
    <col min="13652" max="13652" width="14" style="30" customWidth="1"/>
    <col min="13653" max="13653" width="11.125" style="30" customWidth="1"/>
    <col min="13654" max="13654" width="9.75" style="30" customWidth="1"/>
    <col min="13655" max="13655" width="11.625" style="30" bestFit="1" customWidth="1"/>
    <col min="13656" max="13656" width="10.125" style="30" customWidth="1"/>
    <col min="13657" max="13657" width="11.625" style="30" customWidth="1"/>
    <col min="13658" max="13658" width="11.375" style="30" customWidth="1"/>
    <col min="13659" max="13659" width="12.375" style="30" customWidth="1"/>
    <col min="13660" max="13661" width="10.875" style="30" customWidth="1"/>
    <col min="13662" max="13662" width="10.5" style="30" bestFit="1" customWidth="1"/>
    <col min="13663" max="13663" width="9.625" style="30" customWidth="1"/>
    <col min="13664" max="13664" width="11.875" style="30" customWidth="1"/>
    <col min="13665" max="13665" width="11.75" style="30" customWidth="1"/>
    <col min="13666" max="13666" width="14.125" style="30" customWidth="1"/>
    <col min="13667" max="13667" width="13.125" style="30" customWidth="1"/>
    <col min="13668" max="13668" width="8.75" style="30" customWidth="1"/>
    <col min="13669" max="13669" width="11.5" style="30" bestFit="1" customWidth="1"/>
    <col min="13670" max="13670" width="9.625" style="30" customWidth="1"/>
    <col min="13671" max="13671" width="13.625" style="30" customWidth="1"/>
    <col min="13672" max="13672" width="11.5" style="30" customWidth="1"/>
    <col min="13673" max="13673" width="11.75" style="30" customWidth="1"/>
    <col min="13674" max="13674" width="9.875" style="30" customWidth="1"/>
    <col min="13675" max="13675" width="9" style="30" customWidth="1"/>
    <col min="13676" max="13676" width="9.625" style="30" bestFit="1" customWidth="1"/>
    <col min="13677" max="13677" width="12.625" style="30" customWidth="1"/>
    <col min="13678" max="13678" width="12.375" style="30" customWidth="1"/>
    <col min="13679" max="13679" width="11.625" style="30" customWidth="1"/>
    <col min="13680" max="13681" width="14.125" style="30" customWidth="1"/>
    <col min="13682" max="13682" width="9.125" style="30" customWidth="1"/>
    <col min="13683" max="13683" width="10.5" style="30" bestFit="1" customWidth="1"/>
    <col min="13684" max="13684" width="9.625" style="30" customWidth="1"/>
    <col min="13685" max="13685" width="14.25" style="30" customWidth="1"/>
    <col min="13686" max="13686" width="11.875" style="30" customWidth="1"/>
    <col min="13687" max="13687" width="11" style="30" customWidth="1"/>
    <col min="13688" max="13688" width="11.75" style="30" customWidth="1"/>
    <col min="13689" max="13689" width="11.25" style="30" customWidth="1"/>
    <col min="13690" max="13690" width="9.625" style="30" bestFit="1" customWidth="1"/>
    <col min="13691" max="13691" width="9.625" style="30" customWidth="1"/>
    <col min="13692" max="13692" width="14.125" style="30" customWidth="1"/>
    <col min="13693" max="13693" width="11.125" style="30" customWidth="1"/>
    <col min="13694" max="13694" width="11.25" style="30" customWidth="1"/>
    <col min="13695" max="13695" width="12" style="30" customWidth="1"/>
    <col min="13696" max="13696" width="8.75" style="30" customWidth="1"/>
    <col min="13697" max="13697" width="9.625" style="30" bestFit="1" customWidth="1"/>
    <col min="13698" max="13698" width="9.625" style="30" customWidth="1"/>
    <col min="13699" max="13700" width="11.25" style="30" customWidth="1"/>
    <col min="13701" max="13701" width="12" style="30" customWidth="1"/>
    <col min="13702" max="13703" width="10.625" style="30" customWidth="1"/>
    <col min="13704" max="13704" width="11" style="30" customWidth="1"/>
    <col min="13705" max="13705" width="10.625" style="30" customWidth="1"/>
    <col min="13706" max="13706" width="12.375" style="30" customWidth="1"/>
    <col min="13707" max="13707" width="12" style="30" customWidth="1"/>
    <col min="13708" max="13708" width="11.625" style="30" customWidth="1"/>
    <col min="13709" max="13709" width="10.5" style="30" customWidth="1"/>
    <col min="13710" max="13710" width="8.625" style="30" customWidth="1"/>
    <col min="13711" max="13711" width="11.25" style="30" customWidth="1"/>
    <col min="13712" max="13712" width="9.875" style="30" customWidth="1"/>
    <col min="13713" max="13713" width="11.125" style="30" customWidth="1"/>
    <col min="13714" max="13714" width="11.625" style="30" customWidth="1"/>
    <col min="13715" max="13715" width="12.625" style="30" customWidth="1"/>
    <col min="13716" max="13716" width="11.5" style="30" customWidth="1"/>
    <col min="13717" max="13717" width="9.375" style="30"/>
    <col min="13718" max="13718" width="13.125" style="30" customWidth="1"/>
    <col min="13719" max="13719" width="9.5" style="30" customWidth="1"/>
    <col min="13720" max="13720" width="11.625" style="30" customWidth="1"/>
    <col min="13721" max="13721" width="11.5" style="30" customWidth="1"/>
    <col min="13722" max="13722" width="9.625" style="30" customWidth="1"/>
    <col min="13723" max="13723" width="9.25" style="30" customWidth="1"/>
    <col min="13724" max="13724" width="8.75" style="30" customWidth="1"/>
    <col min="13725" max="13725" width="9" style="30" customWidth="1"/>
    <col min="13726" max="13726" width="8.625" style="30" customWidth="1"/>
    <col min="13727" max="13727" width="11.125" style="30" customWidth="1"/>
    <col min="13728" max="13728" width="11.25" style="30" customWidth="1"/>
    <col min="13729" max="13729" width="11.5" style="30" customWidth="1"/>
    <col min="13730" max="13731" width="9" style="30" customWidth="1"/>
    <col min="13732" max="13732" width="9.875" style="30" customWidth="1"/>
    <col min="13733" max="13733" width="9.25" style="30" customWidth="1"/>
    <col min="13734" max="13734" width="11.125" style="30" customWidth="1"/>
    <col min="13735" max="13735" width="11.375" style="30" customWidth="1"/>
    <col min="13736" max="13736" width="10.875" style="30" customWidth="1"/>
    <col min="13737" max="13737" width="8.375" style="30" customWidth="1"/>
    <col min="13738" max="13738" width="9.125" style="30" customWidth="1"/>
    <col min="13739" max="13740" width="9" style="30" customWidth="1"/>
    <col min="13741" max="13741" width="10.75" style="30" customWidth="1"/>
    <col min="13742" max="13742" width="10.625" style="30" customWidth="1"/>
    <col min="13743" max="13743" width="10.25" style="30" customWidth="1"/>
    <col min="13744" max="13744" width="8.125" style="30" customWidth="1"/>
    <col min="13745" max="13747" width="9" style="30" customWidth="1"/>
    <col min="13748" max="13748" width="11.375" style="30" customWidth="1"/>
    <col min="13749" max="13749" width="11.125" style="30" customWidth="1"/>
    <col min="13750" max="13750" width="14.5" style="30" customWidth="1"/>
    <col min="13751" max="13751" width="10.875" style="30" customWidth="1"/>
    <col min="13752" max="13752" width="8.5" style="30" customWidth="1"/>
    <col min="13753" max="13753" width="10.375" style="30" customWidth="1"/>
    <col min="13754" max="13754" width="9" style="30" customWidth="1"/>
    <col min="13755" max="13755" width="12" style="30" customWidth="1"/>
    <col min="13756" max="13763" width="10.875" style="30" customWidth="1"/>
    <col min="13764" max="13764" width="10.5" style="30" customWidth="1"/>
    <col min="13765" max="13765" width="11.875" style="30" customWidth="1"/>
    <col min="13766" max="13766" width="10.875" style="30" customWidth="1"/>
    <col min="13767" max="13768" width="9" style="30" customWidth="1"/>
    <col min="13769" max="13769" width="12.125" style="30" customWidth="1"/>
    <col min="13770" max="13770" width="9.625" style="30" customWidth="1"/>
    <col min="13771" max="13772" width="9" style="30" customWidth="1"/>
    <col min="13773" max="13773" width="12.625" style="30" customWidth="1"/>
    <col min="13774" max="13774" width="11" style="30" customWidth="1"/>
    <col min="13775" max="13775" width="11.75" style="30" bestFit="1" customWidth="1"/>
    <col min="13776" max="13776" width="11.875" style="30" customWidth="1"/>
    <col min="13777" max="13778" width="9" style="30" customWidth="1"/>
    <col min="13779" max="13779" width="12.25" style="30" customWidth="1"/>
    <col min="13780" max="13780" width="10.875" style="30" customWidth="1"/>
    <col min="13781" max="13781" width="9" style="30" customWidth="1"/>
    <col min="13782" max="13782" width="10.875" style="30" customWidth="1"/>
    <col min="13783" max="13783" width="10.5" style="30" customWidth="1"/>
    <col min="13784" max="13785" width="9" style="30" customWidth="1"/>
    <col min="13786" max="13786" width="12.625" style="30" customWidth="1"/>
    <col min="13787" max="13788" width="9" style="30" customWidth="1"/>
    <col min="13789" max="13789" width="12" style="30" customWidth="1"/>
    <col min="13790" max="13806" width="9" style="30" customWidth="1"/>
    <col min="13807" max="13807" width="12.375" style="30" customWidth="1"/>
    <col min="13808" max="13808" width="12.5" style="30" customWidth="1"/>
    <col min="13809" max="13809" width="11.875" style="30" customWidth="1"/>
    <col min="13810" max="13810" width="11.625" style="30" customWidth="1"/>
    <col min="13811" max="13811" width="12.125" style="30" customWidth="1"/>
    <col min="13812" max="13813" width="10.5" style="30" bestFit="1" customWidth="1"/>
    <col min="13814" max="13814" width="10.625" style="30" bestFit="1" customWidth="1"/>
    <col min="13815" max="13822" width="10.5" style="30" bestFit="1" customWidth="1"/>
    <col min="13823" max="13823" width="10.5" style="30" customWidth="1"/>
    <col min="13824" max="13824" width="10.5" style="30" bestFit="1" customWidth="1"/>
    <col min="13825" max="13825" width="11.5" style="30" customWidth="1"/>
    <col min="13826" max="13826" width="9.5" style="30" bestFit="1" customWidth="1"/>
    <col min="13827" max="13837" width="10.5" style="30" bestFit="1" customWidth="1"/>
    <col min="13838" max="13838" width="12.75" style="30" bestFit="1" customWidth="1"/>
    <col min="13839" max="13843" width="10.5" style="30" bestFit="1" customWidth="1"/>
    <col min="13844" max="13845" width="9.375" style="30"/>
    <col min="13846" max="13846" width="8.5" style="30" customWidth="1"/>
    <col min="13847" max="13847" width="8" style="30" customWidth="1"/>
    <col min="13848" max="13848" width="21.25" style="30" customWidth="1"/>
    <col min="13849" max="13849" width="16.25" style="30" customWidth="1"/>
    <col min="13850" max="13850" width="11.625" style="30" customWidth="1"/>
    <col min="13851" max="13851" width="13.625" style="30" customWidth="1"/>
    <col min="13852" max="13852" width="12.875" style="30" customWidth="1"/>
    <col min="13853" max="13853" width="15.5" style="30" customWidth="1"/>
    <col min="13854" max="13855" width="13.375" style="30" customWidth="1"/>
    <col min="13856" max="13856" width="14.375" style="30" customWidth="1"/>
    <col min="13857" max="13857" width="11.875" style="30" customWidth="1"/>
    <col min="13858" max="13859" width="14.25" style="30" customWidth="1"/>
    <col min="13860" max="13860" width="8.625" style="30" customWidth="1"/>
    <col min="13861" max="13861" width="10.625" style="30" customWidth="1"/>
    <col min="13862" max="13862" width="9.875" style="30" customWidth="1"/>
    <col min="13863" max="13863" width="14" style="30" customWidth="1"/>
    <col min="13864" max="13864" width="10.875" style="30" customWidth="1"/>
    <col min="13865" max="13865" width="12.375" style="30" customWidth="1"/>
    <col min="13866" max="13866" width="12" style="30" customWidth="1"/>
    <col min="13867" max="13867" width="13.625" style="30" customWidth="1"/>
    <col min="13868" max="13868" width="10" style="30" customWidth="1"/>
    <col min="13869" max="13869" width="9.625" style="30" customWidth="1"/>
    <col min="13870" max="13870" width="11.75" style="30" customWidth="1"/>
    <col min="13871" max="13871" width="11.375" style="30" customWidth="1"/>
    <col min="13872" max="13872" width="12.875" style="30" customWidth="1"/>
    <col min="13873" max="13873" width="13" style="30" customWidth="1"/>
    <col min="13874" max="13874" width="8.875" style="30" customWidth="1"/>
    <col min="13875" max="13875" width="13.125" style="30" customWidth="1"/>
    <col min="13876" max="13876" width="9.625" style="30" customWidth="1"/>
    <col min="13877" max="13877" width="12.875" style="30" customWidth="1"/>
    <col min="13878" max="13878" width="11.5" style="30" customWidth="1"/>
    <col min="13879" max="13879" width="9.75" style="30" customWidth="1"/>
    <col min="13880" max="13880" width="13.375" style="30" customWidth="1"/>
    <col min="13881" max="13881" width="12.125" style="30" customWidth="1"/>
    <col min="13882" max="13882" width="10.25" style="30" customWidth="1"/>
    <col min="13883" max="13883" width="11.625" style="30" bestFit="1" customWidth="1"/>
    <col min="13884" max="13884" width="9.875" style="30" customWidth="1"/>
    <col min="13885" max="13885" width="13.375" style="30" customWidth="1"/>
    <col min="13886" max="13886" width="11.5" style="30" customWidth="1"/>
    <col min="13887" max="13887" width="12" style="30" customWidth="1"/>
    <col min="13888" max="13888" width="9.125" style="30" customWidth="1"/>
    <col min="13889" max="13889" width="9" style="30" customWidth="1"/>
    <col min="13890" max="13890" width="12.875" style="30" bestFit="1" customWidth="1"/>
    <col min="13891" max="13892" width="12" style="30" customWidth="1"/>
    <col min="13893" max="13893" width="11.875" style="30" customWidth="1"/>
    <col min="13894" max="13894" width="11" style="30" customWidth="1"/>
    <col min="13895" max="13895" width="11.625" style="30" customWidth="1"/>
    <col min="13896" max="13896" width="8.875" style="30" customWidth="1"/>
    <col min="13897" max="13897" width="11.625" style="30" bestFit="1" customWidth="1"/>
    <col min="13898" max="13898" width="9.625" style="30" customWidth="1"/>
    <col min="13899" max="13899" width="12.125" style="30" customWidth="1"/>
    <col min="13900" max="13900" width="11.875" style="30" customWidth="1"/>
    <col min="13901" max="13901" width="13.375" style="30" customWidth="1"/>
    <col min="13902" max="13902" width="11.5" style="30" customWidth="1"/>
    <col min="13903" max="13903" width="9.25" style="30" customWidth="1"/>
    <col min="13904" max="13904" width="11.625" style="30" bestFit="1" customWidth="1"/>
    <col min="13905" max="13905" width="10.625" style="30" customWidth="1"/>
    <col min="13906" max="13906" width="12" style="30" customWidth="1"/>
    <col min="13907" max="13907" width="11.625" style="30" customWidth="1"/>
    <col min="13908" max="13908" width="14" style="30" customWidth="1"/>
    <col min="13909" max="13909" width="11.125" style="30" customWidth="1"/>
    <col min="13910" max="13910" width="9.75" style="30" customWidth="1"/>
    <col min="13911" max="13911" width="11.625" style="30" bestFit="1" customWidth="1"/>
    <col min="13912" max="13912" width="10.125" style="30" customWidth="1"/>
    <col min="13913" max="13913" width="11.625" style="30" customWidth="1"/>
    <col min="13914" max="13914" width="11.375" style="30" customWidth="1"/>
    <col min="13915" max="13915" width="12.375" style="30" customWidth="1"/>
    <col min="13916" max="13917" width="10.875" style="30" customWidth="1"/>
    <col min="13918" max="13918" width="10.5" style="30" bestFit="1" customWidth="1"/>
    <col min="13919" max="13919" width="9.625" style="30" customWidth="1"/>
    <col min="13920" max="13920" width="11.875" style="30" customWidth="1"/>
    <col min="13921" max="13921" width="11.75" style="30" customWidth="1"/>
    <col min="13922" max="13922" width="14.125" style="30" customWidth="1"/>
    <col min="13923" max="13923" width="13.125" style="30" customWidth="1"/>
    <col min="13924" max="13924" width="8.75" style="30" customWidth="1"/>
    <col min="13925" max="13925" width="11.5" style="30" bestFit="1" customWidth="1"/>
    <col min="13926" max="13926" width="9.625" style="30" customWidth="1"/>
    <col min="13927" max="13927" width="13.625" style="30" customWidth="1"/>
    <col min="13928" max="13928" width="11.5" style="30" customWidth="1"/>
    <col min="13929" max="13929" width="11.75" style="30" customWidth="1"/>
    <col min="13930" max="13930" width="9.875" style="30" customWidth="1"/>
    <col min="13931" max="13931" width="9" style="30" customWidth="1"/>
    <col min="13932" max="13932" width="9.625" style="30" bestFit="1" customWidth="1"/>
    <col min="13933" max="13933" width="12.625" style="30" customWidth="1"/>
    <col min="13934" max="13934" width="12.375" style="30" customWidth="1"/>
    <col min="13935" max="13935" width="11.625" style="30" customWidth="1"/>
    <col min="13936" max="13937" width="14.125" style="30" customWidth="1"/>
    <col min="13938" max="13938" width="9.125" style="30" customWidth="1"/>
    <col min="13939" max="13939" width="10.5" style="30" bestFit="1" customWidth="1"/>
    <col min="13940" max="13940" width="9.625" style="30" customWidth="1"/>
    <col min="13941" max="13941" width="14.25" style="30" customWidth="1"/>
    <col min="13942" max="13942" width="11.875" style="30" customWidth="1"/>
    <col min="13943" max="13943" width="11" style="30" customWidth="1"/>
    <col min="13944" max="13944" width="11.75" style="30" customWidth="1"/>
    <col min="13945" max="13945" width="11.25" style="30" customWidth="1"/>
    <col min="13946" max="13946" width="9.625" style="30" bestFit="1" customWidth="1"/>
    <col min="13947" max="13947" width="9.625" style="30" customWidth="1"/>
    <col min="13948" max="13948" width="14.125" style="30" customWidth="1"/>
    <col min="13949" max="13949" width="11.125" style="30" customWidth="1"/>
    <col min="13950" max="13950" width="11.25" style="30" customWidth="1"/>
    <col min="13951" max="13951" width="12" style="30" customWidth="1"/>
    <col min="13952" max="13952" width="8.75" style="30" customWidth="1"/>
    <col min="13953" max="13953" width="9.625" style="30" bestFit="1" customWidth="1"/>
    <col min="13954" max="13954" width="9.625" style="30" customWidth="1"/>
    <col min="13955" max="13956" width="11.25" style="30" customWidth="1"/>
    <col min="13957" max="13957" width="12" style="30" customWidth="1"/>
    <col min="13958" max="13959" width="10.625" style="30" customWidth="1"/>
    <col min="13960" max="13960" width="11" style="30" customWidth="1"/>
    <col min="13961" max="13961" width="10.625" style="30" customWidth="1"/>
    <col min="13962" max="13962" width="12.375" style="30" customWidth="1"/>
    <col min="13963" max="13963" width="12" style="30" customWidth="1"/>
    <col min="13964" max="13964" width="11.625" style="30" customWidth="1"/>
    <col min="13965" max="13965" width="10.5" style="30" customWidth="1"/>
    <col min="13966" max="13966" width="8.625" style="30" customWidth="1"/>
    <col min="13967" max="13967" width="11.25" style="30" customWidth="1"/>
    <col min="13968" max="13968" width="9.875" style="30" customWidth="1"/>
    <col min="13969" max="13969" width="11.125" style="30" customWidth="1"/>
    <col min="13970" max="13970" width="11.625" style="30" customWidth="1"/>
    <col min="13971" max="13971" width="12.625" style="30" customWidth="1"/>
    <col min="13972" max="13972" width="11.5" style="30" customWidth="1"/>
    <col min="13973" max="13973" width="9.375" style="30"/>
    <col min="13974" max="13974" width="13.125" style="30" customWidth="1"/>
    <col min="13975" max="13975" width="9.5" style="30" customWidth="1"/>
    <col min="13976" max="13976" width="11.625" style="30" customWidth="1"/>
    <col min="13977" max="13977" width="11.5" style="30" customWidth="1"/>
    <col min="13978" max="13978" width="9.625" style="30" customWidth="1"/>
    <col min="13979" max="13979" width="9.25" style="30" customWidth="1"/>
    <col min="13980" max="13980" width="8.75" style="30" customWidth="1"/>
    <col min="13981" max="13981" width="9" style="30" customWidth="1"/>
    <col min="13982" max="13982" width="8.625" style="30" customWidth="1"/>
    <col min="13983" max="13983" width="11.125" style="30" customWidth="1"/>
    <col min="13984" max="13984" width="11.25" style="30" customWidth="1"/>
    <col min="13985" max="13985" width="11.5" style="30" customWidth="1"/>
    <col min="13986" max="13987" width="9" style="30" customWidth="1"/>
    <col min="13988" max="13988" width="9.875" style="30" customWidth="1"/>
    <col min="13989" max="13989" width="9.25" style="30" customWidth="1"/>
    <col min="13990" max="13990" width="11.125" style="30" customWidth="1"/>
    <col min="13991" max="13991" width="11.375" style="30" customWidth="1"/>
    <col min="13992" max="13992" width="10.875" style="30" customWidth="1"/>
    <col min="13993" max="13993" width="8.375" style="30" customWidth="1"/>
    <col min="13994" max="13994" width="9.125" style="30" customWidth="1"/>
    <col min="13995" max="13996" width="9" style="30" customWidth="1"/>
    <col min="13997" max="13997" width="10.75" style="30" customWidth="1"/>
    <col min="13998" max="13998" width="10.625" style="30" customWidth="1"/>
    <col min="13999" max="13999" width="10.25" style="30" customWidth="1"/>
    <col min="14000" max="14000" width="8.125" style="30" customWidth="1"/>
    <col min="14001" max="14003" width="9" style="30" customWidth="1"/>
    <col min="14004" max="14004" width="11.375" style="30" customWidth="1"/>
    <col min="14005" max="14005" width="11.125" style="30" customWidth="1"/>
    <col min="14006" max="14006" width="14.5" style="30" customWidth="1"/>
    <col min="14007" max="14007" width="10.875" style="30" customWidth="1"/>
    <col min="14008" max="14008" width="8.5" style="30" customWidth="1"/>
    <col min="14009" max="14009" width="10.375" style="30" customWidth="1"/>
    <col min="14010" max="14010" width="9" style="30" customWidth="1"/>
    <col min="14011" max="14011" width="12" style="30" customWidth="1"/>
    <col min="14012" max="14019" width="10.875" style="30" customWidth="1"/>
    <col min="14020" max="14020" width="10.5" style="30" customWidth="1"/>
    <col min="14021" max="14021" width="11.875" style="30" customWidth="1"/>
    <col min="14022" max="14022" width="10.875" style="30" customWidth="1"/>
    <col min="14023" max="14024" width="9" style="30" customWidth="1"/>
    <col min="14025" max="14025" width="12.125" style="30" customWidth="1"/>
    <col min="14026" max="14026" width="9.625" style="30" customWidth="1"/>
    <col min="14027" max="14028" width="9" style="30" customWidth="1"/>
    <col min="14029" max="14029" width="12.625" style="30" customWidth="1"/>
    <col min="14030" max="14030" width="11" style="30" customWidth="1"/>
    <col min="14031" max="14031" width="11.75" style="30" bestFit="1" customWidth="1"/>
    <col min="14032" max="14032" width="11.875" style="30" customWidth="1"/>
    <col min="14033" max="14034" width="9" style="30" customWidth="1"/>
    <col min="14035" max="14035" width="12.25" style="30" customWidth="1"/>
    <col min="14036" max="14036" width="10.875" style="30" customWidth="1"/>
    <col min="14037" max="14037" width="9" style="30" customWidth="1"/>
    <col min="14038" max="14038" width="10.875" style="30" customWidth="1"/>
    <col min="14039" max="14039" width="10.5" style="30" customWidth="1"/>
    <col min="14040" max="14041" width="9" style="30" customWidth="1"/>
    <col min="14042" max="14042" width="12.625" style="30" customWidth="1"/>
    <col min="14043" max="14044" width="9" style="30" customWidth="1"/>
    <col min="14045" max="14045" width="12" style="30" customWidth="1"/>
    <col min="14046" max="14062" width="9" style="30" customWidth="1"/>
    <col min="14063" max="14063" width="12.375" style="30" customWidth="1"/>
    <col min="14064" max="14064" width="12.5" style="30" customWidth="1"/>
    <col min="14065" max="14065" width="11.875" style="30" customWidth="1"/>
    <col min="14066" max="14066" width="11.625" style="30" customWidth="1"/>
    <col min="14067" max="14067" width="12.125" style="30" customWidth="1"/>
    <col min="14068" max="14069" width="10.5" style="30" bestFit="1" customWidth="1"/>
    <col min="14070" max="14070" width="10.625" style="30" bestFit="1" customWidth="1"/>
    <col min="14071" max="14078" width="10.5" style="30" bestFit="1" customWidth="1"/>
    <col min="14079" max="14079" width="10.5" style="30" customWidth="1"/>
    <col min="14080" max="14080" width="10.5" style="30" bestFit="1" customWidth="1"/>
    <col min="14081" max="14081" width="11.5" style="30" customWidth="1"/>
    <col min="14082" max="14082" width="9.5" style="30" bestFit="1" customWidth="1"/>
    <col min="14083" max="14093" width="10.5" style="30" bestFit="1" customWidth="1"/>
    <col min="14094" max="14094" width="12.75" style="30" bestFit="1" customWidth="1"/>
    <col min="14095" max="14099" width="10.5" style="30" bestFit="1" customWidth="1"/>
    <col min="14100" max="14101" width="9.375" style="30"/>
    <col min="14102" max="14102" width="8.5" style="30" customWidth="1"/>
    <col min="14103" max="14103" width="8" style="30" customWidth="1"/>
    <col min="14104" max="14104" width="21.25" style="30" customWidth="1"/>
    <col min="14105" max="14105" width="16.25" style="30" customWidth="1"/>
    <col min="14106" max="14106" width="11.625" style="30" customWidth="1"/>
    <col min="14107" max="14107" width="13.625" style="30" customWidth="1"/>
    <col min="14108" max="14108" width="12.875" style="30" customWidth="1"/>
    <col min="14109" max="14109" width="15.5" style="30" customWidth="1"/>
    <col min="14110" max="14111" width="13.375" style="30" customWidth="1"/>
    <col min="14112" max="14112" width="14.375" style="30" customWidth="1"/>
    <col min="14113" max="14113" width="11.875" style="30" customWidth="1"/>
    <col min="14114" max="14115" width="14.25" style="30" customWidth="1"/>
    <col min="14116" max="14116" width="8.625" style="30" customWidth="1"/>
    <col min="14117" max="14117" width="10.625" style="30" customWidth="1"/>
    <col min="14118" max="14118" width="9.875" style="30" customWidth="1"/>
    <col min="14119" max="14119" width="14" style="30" customWidth="1"/>
    <col min="14120" max="14120" width="10.875" style="30" customWidth="1"/>
    <col min="14121" max="14121" width="12.375" style="30" customWidth="1"/>
    <col min="14122" max="14122" width="12" style="30" customWidth="1"/>
    <col min="14123" max="14123" width="13.625" style="30" customWidth="1"/>
    <col min="14124" max="14124" width="10" style="30" customWidth="1"/>
    <col min="14125" max="14125" width="9.625" style="30" customWidth="1"/>
    <col min="14126" max="14126" width="11.75" style="30" customWidth="1"/>
    <col min="14127" max="14127" width="11.375" style="30" customWidth="1"/>
    <col min="14128" max="14128" width="12.875" style="30" customWidth="1"/>
    <col min="14129" max="14129" width="13" style="30" customWidth="1"/>
    <col min="14130" max="14130" width="8.875" style="30" customWidth="1"/>
    <col min="14131" max="14131" width="13.125" style="30" customWidth="1"/>
    <col min="14132" max="14132" width="9.625" style="30" customWidth="1"/>
    <col min="14133" max="14133" width="12.875" style="30" customWidth="1"/>
    <col min="14134" max="14134" width="11.5" style="30" customWidth="1"/>
    <col min="14135" max="14135" width="9.75" style="30" customWidth="1"/>
    <col min="14136" max="14136" width="13.375" style="30" customWidth="1"/>
    <col min="14137" max="14137" width="12.125" style="30" customWidth="1"/>
    <col min="14138" max="14138" width="10.25" style="30" customWidth="1"/>
    <col min="14139" max="14139" width="11.625" style="30" bestFit="1" customWidth="1"/>
    <col min="14140" max="14140" width="9.875" style="30" customWidth="1"/>
    <col min="14141" max="14141" width="13.375" style="30" customWidth="1"/>
    <col min="14142" max="14142" width="11.5" style="30" customWidth="1"/>
    <col min="14143" max="14143" width="12" style="30" customWidth="1"/>
    <col min="14144" max="14144" width="9.125" style="30" customWidth="1"/>
    <col min="14145" max="14145" width="9" style="30" customWidth="1"/>
    <col min="14146" max="14146" width="12.875" style="30" bestFit="1" customWidth="1"/>
    <col min="14147" max="14148" width="12" style="30" customWidth="1"/>
    <col min="14149" max="14149" width="11.875" style="30" customWidth="1"/>
    <col min="14150" max="14150" width="11" style="30" customWidth="1"/>
    <col min="14151" max="14151" width="11.625" style="30" customWidth="1"/>
    <col min="14152" max="14152" width="8.875" style="30" customWidth="1"/>
    <col min="14153" max="14153" width="11.625" style="30" bestFit="1" customWidth="1"/>
    <col min="14154" max="14154" width="9.625" style="30" customWidth="1"/>
    <col min="14155" max="14155" width="12.125" style="30" customWidth="1"/>
    <col min="14156" max="14156" width="11.875" style="30" customWidth="1"/>
    <col min="14157" max="14157" width="13.375" style="30" customWidth="1"/>
    <col min="14158" max="14158" width="11.5" style="30" customWidth="1"/>
    <col min="14159" max="14159" width="9.25" style="30" customWidth="1"/>
    <col min="14160" max="14160" width="11.625" style="30" bestFit="1" customWidth="1"/>
    <col min="14161" max="14161" width="10.625" style="30" customWidth="1"/>
    <col min="14162" max="14162" width="12" style="30" customWidth="1"/>
    <col min="14163" max="14163" width="11.625" style="30" customWidth="1"/>
    <col min="14164" max="14164" width="14" style="30" customWidth="1"/>
    <col min="14165" max="14165" width="11.125" style="30" customWidth="1"/>
    <col min="14166" max="14166" width="9.75" style="30" customWidth="1"/>
    <col min="14167" max="14167" width="11.625" style="30" bestFit="1" customWidth="1"/>
    <col min="14168" max="14168" width="10.125" style="30" customWidth="1"/>
    <col min="14169" max="14169" width="11.625" style="30" customWidth="1"/>
    <col min="14170" max="14170" width="11.375" style="30" customWidth="1"/>
    <col min="14171" max="14171" width="12.375" style="30" customWidth="1"/>
    <col min="14172" max="14173" width="10.875" style="30" customWidth="1"/>
    <col min="14174" max="14174" width="10.5" style="30" bestFit="1" customWidth="1"/>
    <col min="14175" max="14175" width="9.625" style="30" customWidth="1"/>
    <col min="14176" max="14176" width="11.875" style="30" customWidth="1"/>
    <col min="14177" max="14177" width="11.75" style="30" customWidth="1"/>
    <col min="14178" max="14178" width="14.125" style="30" customWidth="1"/>
    <col min="14179" max="14179" width="13.125" style="30" customWidth="1"/>
    <col min="14180" max="14180" width="8.75" style="30" customWidth="1"/>
    <col min="14181" max="14181" width="11.5" style="30" bestFit="1" customWidth="1"/>
    <col min="14182" max="14182" width="9.625" style="30" customWidth="1"/>
    <col min="14183" max="14183" width="13.625" style="30" customWidth="1"/>
    <col min="14184" max="14184" width="11.5" style="30" customWidth="1"/>
    <col min="14185" max="14185" width="11.75" style="30" customWidth="1"/>
    <col min="14186" max="14186" width="9.875" style="30" customWidth="1"/>
    <col min="14187" max="14187" width="9" style="30" customWidth="1"/>
    <col min="14188" max="14188" width="9.625" style="30" bestFit="1" customWidth="1"/>
    <col min="14189" max="14189" width="12.625" style="30" customWidth="1"/>
    <col min="14190" max="14190" width="12.375" style="30" customWidth="1"/>
    <col min="14191" max="14191" width="11.625" style="30" customWidth="1"/>
    <col min="14192" max="14193" width="14.125" style="30" customWidth="1"/>
    <col min="14194" max="14194" width="9.125" style="30" customWidth="1"/>
    <col min="14195" max="14195" width="10.5" style="30" bestFit="1" customWidth="1"/>
    <col min="14196" max="14196" width="9.625" style="30" customWidth="1"/>
    <col min="14197" max="14197" width="14.25" style="30" customWidth="1"/>
    <col min="14198" max="14198" width="11.875" style="30" customWidth="1"/>
    <col min="14199" max="14199" width="11" style="30" customWidth="1"/>
    <col min="14200" max="14200" width="11.75" style="30" customWidth="1"/>
    <col min="14201" max="14201" width="11.25" style="30" customWidth="1"/>
    <col min="14202" max="14202" width="9.625" style="30" bestFit="1" customWidth="1"/>
    <col min="14203" max="14203" width="9.625" style="30" customWidth="1"/>
    <col min="14204" max="14204" width="14.125" style="30" customWidth="1"/>
    <col min="14205" max="14205" width="11.125" style="30" customWidth="1"/>
    <col min="14206" max="14206" width="11.25" style="30" customWidth="1"/>
    <col min="14207" max="14207" width="12" style="30" customWidth="1"/>
    <col min="14208" max="14208" width="8.75" style="30" customWidth="1"/>
    <col min="14209" max="14209" width="9.625" style="30" bestFit="1" customWidth="1"/>
    <col min="14210" max="14210" width="9.625" style="30" customWidth="1"/>
    <col min="14211" max="14212" width="11.25" style="30" customWidth="1"/>
    <col min="14213" max="14213" width="12" style="30" customWidth="1"/>
    <col min="14214" max="14215" width="10.625" style="30" customWidth="1"/>
    <col min="14216" max="14216" width="11" style="30" customWidth="1"/>
    <col min="14217" max="14217" width="10.625" style="30" customWidth="1"/>
    <col min="14218" max="14218" width="12.375" style="30" customWidth="1"/>
    <col min="14219" max="14219" width="12" style="30" customWidth="1"/>
    <col min="14220" max="14220" width="11.625" style="30" customWidth="1"/>
    <col min="14221" max="14221" width="10.5" style="30" customWidth="1"/>
    <col min="14222" max="14222" width="8.625" style="30" customWidth="1"/>
    <col min="14223" max="14223" width="11.25" style="30" customWidth="1"/>
    <col min="14224" max="14224" width="9.875" style="30" customWidth="1"/>
    <col min="14225" max="14225" width="11.125" style="30" customWidth="1"/>
    <col min="14226" max="14226" width="11.625" style="30" customWidth="1"/>
    <col min="14227" max="14227" width="12.625" style="30" customWidth="1"/>
    <col min="14228" max="14228" width="11.5" style="30" customWidth="1"/>
    <col min="14229" max="14229" width="9.375" style="30"/>
    <col min="14230" max="14230" width="13.125" style="30" customWidth="1"/>
    <col min="14231" max="14231" width="9.5" style="30" customWidth="1"/>
    <col min="14232" max="14232" width="11.625" style="30" customWidth="1"/>
    <col min="14233" max="14233" width="11.5" style="30" customWidth="1"/>
    <col min="14234" max="14234" width="9.625" style="30" customWidth="1"/>
    <col min="14235" max="14235" width="9.25" style="30" customWidth="1"/>
    <col min="14236" max="14236" width="8.75" style="30" customWidth="1"/>
    <col min="14237" max="14237" width="9" style="30" customWidth="1"/>
    <col min="14238" max="14238" width="8.625" style="30" customWidth="1"/>
    <col min="14239" max="14239" width="11.125" style="30" customWidth="1"/>
    <col min="14240" max="14240" width="11.25" style="30" customWidth="1"/>
    <col min="14241" max="14241" width="11.5" style="30" customWidth="1"/>
    <col min="14242" max="14243" width="9" style="30" customWidth="1"/>
    <col min="14244" max="14244" width="9.875" style="30" customWidth="1"/>
    <col min="14245" max="14245" width="9.25" style="30" customWidth="1"/>
    <col min="14246" max="14246" width="11.125" style="30" customWidth="1"/>
    <col min="14247" max="14247" width="11.375" style="30" customWidth="1"/>
    <col min="14248" max="14248" width="10.875" style="30" customWidth="1"/>
    <col min="14249" max="14249" width="8.375" style="30" customWidth="1"/>
    <col min="14250" max="14250" width="9.125" style="30" customWidth="1"/>
    <col min="14251" max="14252" width="9" style="30" customWidth="1"/>
    <col min="14253" max="14253" width="10.75" style="30" customWidth="1"/>
    <col min="14254" max="14254" width="10.625" style="30" customWidth="1"/>
    <col min="14255" max="14255" width="10.25" style="30" customWidth="1"/>
    <col min="14256" max="14256" width="8.125" style="30" customWidth="1"/>
    <col min="14257" max="14259" width="9" style="30" customWidth="1"/>
    <col min="14260" max="14260" width="11.375" style="30" customWidth="1"/>
    <col min="14261" max="14261" width="11.125" style="30" customWidth="1"/>
    <col min="14262" max="14262" width="14.5" style="30" customWidth="1"/>
    <col min="14263" max="14263" width="10.875" style="30" customWidth="1"/>
    <col min="14264" max="14264" width="8.5" style="30" customWidth="1"/>
    <col min="14265" max="14265" width="10.375" style="30" customWidth="1"/>
    <col min="14266" max="14266" width="9" style="30" customWidth="1"/>
    <col min="14267" max="14267" width="12" style="30" customWidth="1"/>
    <col min="14268" max="14275" width="10.875" style="30" customWidth="1"/>
    <col min="14276" max="14276" width="10.5" style="30" customWidth="1"/>
    <col min="14277" max="14277" width="11.875" style="30" customWidth="1"/>
    <col min="14278" max="14278" width="10.875" style="30" customWidth="1"/>
    <col min="14279" max="14280" width="9" style="30" customWidth="1"/>
    <col min="14281" max="14281" width="12.125" style="30" customWidth="1"/>
    <col min="14282" max="14282" width="9.625" style="30" customWidth="1"/>
    <col min="14283" max="14284" width="9" style="30" customWidth="1"/>
    <col min="14285" max="14285" width="12.625" style="30" customWidth="1"/>
    <col min="14286" max="14286" width="11" style="30" customWidth="1"/>
    <col min="14287" max="14287" width="11.75" style="30" bestFit="1" customWidth="1"/>
    <col min="14288" max="14288" width="11.875" style="30" customWidth="1"/>
    <col min="14289" max="14290" width="9" style="30" customWidth="1"/>
    <col min="14291" max="14291" width="12.25" style="30" customWidth="1"/>
    <col min="14292" max="14292" width="10.875" style="30" customWidth="1"/>
    <col min="14293" max="14293" width="9" style="30" customWidth="1"/>
    <col min="14294" max="14294" width="10.875" style="30" customWidth="1"/>
    <col min="14295" max="14295" width="10.5" style="30" customWidth="1"/>
    <col min="14296" max="14297" width="9" style="30" customWidth="1"/>
    <col min="14298" max="14298" width="12.625" style="30" customWidth="1"/>
    <col min="14299" max="14300" width="9" style="30" customWidth="1"/>
    <col min="14301" max="14301" width="12" style="30" customWidth="1"/>
    <col min="14302" max="14318" width="9" style="30" customWidth="1"/>
    <col min="14319" max="14319" width="12.375" style="30" customWidth="1"/>
    <col min="14320" max="14320" width="12.5" style="30" customWidth="1"/>
    <col min="14321" max="14321" width="11.875" style="30" customWidth="1"/>
    <col min="14322" max="14322" width="11.625" style="30" customWidth="1"/>
    <col min="14323" max="14323" width="12.125" style="30" customWidth="1"/>
    <col min="14324" max="14325" width="10.5" style="30" bestFit="1" customWidth="1"/>
    <col min="14326" max="14326" width="10.625" style="30" bestFit="1" customWidth="1"/>
    <col min="14327" max="14334" width="10.5" style="30" bestFit="1" customWidth="1"/>
    <col min="14335" max="14335" width="10.5" style="30" customWidth="1"/>
    <col min="14336" max="14336" width="10.5" style="30" bestFit="1" customWidth="1"/>
    <col min="14337" max="14337" width="11.5" style="30" customWidth="1"/>
    <col min="14338" max="14338" width="9.5" style="30" bestFit="1" customWidth="1"/>
    <col min="14339" max="14349" width="10.5" style="30" bestFit="1" customWidth="1"/>
    <col min="14350" max="14350" width="12.75" style="30" bestFit="1" customWidth="1"/>
    <col min="14351" max="14355" width="10.5" style="30" bestFit="1" customWidth="1"/>
    <col min="14356" max="14357" width="9.375" style="30"/>
    <col min="14358" max="14358" width="8.5" style="30" customWidth="1"/>
    <col min="14359" max="14359" width="8" style="30" customWidth="1"/>
    <col min="14360" max="14360" width="21.25" style="30" customWidth="1"/>
    <col min="14361" max="14361" width="16.25" style="30" customWidth="1"/>
    <col min="14362" max="14362" width="11.625" style="30" customWidth="1"/>
    <col min="14363" max="14363" width="13.625" style="30" customWidth="1"/>
    <col min="14364" max="14364" width="12.875" style="30" customWidth="1"/>
    <col min="14365" max="14365" width="15.5" style="30" customWidth="1"/>
    <col min="14366" max="14367" width="13.375" style="30" customWidth="1"/>
    <col min="14368" max="14368" width="14.375" style="30" customWidth="1"/>
    <col min="14369" max="14369" width="11.875" style="30" customWidth="1"/>
    <col min="14370" max="14371" width="14.25" style="30" customWidth="1"/>
    <col min="14372" max="14372" width="8.625" style="30" customWidth="1"/>
    <col min="14373" max="14373" width="10.625" style="30" customWidth="1"/>
    <col min="14374" max="14374" width="9.875" style="30" customWidth="1"/>
    <col min="14375" max="14375" width="14" style="30" customWidth="1"/>
    <col min="14376" max="14376" width="10.875" style="30" customWidth="1"/>
    <col min="14377" max="14377" width="12.375" style="30" customWidth="1"/>
    <col min="14378" max="14378" width="12" style="30" customWidth="1"/>
    <col min="14379" max="14379" width="13.625" style="30" customWidth="1"/>
    <col min="14380" max="14380" width="10" style="30" customWidth="1"/>
    <col min="14381" max="14381" width="9.625" style="30" customWidth="1"/>
    <col min="14382" max="14382" width="11.75" style="30" customWidth="1"/>
    <col min="14383" max="14383" width="11.375" style="30" customWidth="1"/>
    <col min="14384" max="14384" width="12.875" style="30" customWidth="1"/>
    <col min="14385" max="14385" width="13" style="30" customWidth="1"/>
    <col min="14386" max="14386" width="8.875" style="30" customWidth="1"/>
    <col min="14387" max="14387" width="13.125" style="30" customWidth="1"/>
    <col min="14388" max="14388" width="9.625" style="30" customWidth="1"/>
    <col min="14389" max="14389" width="12.875" style="30" customWidth="1"/>
    <col min="14390" max="14390" width="11.5" style="30" customWidth="1"/>
    <col min="14391" max="14391" width="9.75" style="30" customWidth="1"/>
    <col min="14392" max="14392" width="13.375" style="30" customWidth="1"/>
    <col min="14393" max="14393" width="12.125" style="30" customWidth="1"/>
    <col min="14394" max="14394" width="10.25" style="30" customWidth="1"/>
    <col min="14395" max="14395" width="11.625" style="30" bestFit="1" customWidth="1"/>
    <col min="14396" max="14396" width="9.875" style="30" customWidth="1"/>
    <col min="14397" max="14397" width="13.375" style="30" customWidth="1"/>
    <col min="14398" max="14398" width="11.5" style="30" customWidth="1"/>
    <col min="14399" max="14399" width="12" style="30" customWidth="1"/>
    <col min="14400" max="14400" width="9.125" style="30" customWidth="1"/>
    <col min="14401" max="14401" width="9" style="30" customWidth="1"/>
    <col min="14402" max="14402" width="12.875" style="30" bestFit="1" customWidth="1"/>
    <col min="14403" max="14404" width="12" style="30" customWidth="1"/>
    <col min="14405" max="14405" width="11.875" style="30" customWidth="1"/>
    <col min="14406" max="14406" width="11" style="30" customWidth="1"/>
    <col min="14407" max="14407" width="11.625" style="30" customWidth="1"/>
    <col min="14408" max="14408" width="8.875" style="30" customWidth="1"/>
    <col min="14409" max="14409" width="11.625" style="30" bestFit="1" customWidth="1"/>
    <col min="14410" max="14410" width="9.625" style="30" customWidth="1"/>
    <col min="14411" max="14411" width="12.125" style="30" customWidth="1"/>
    <col min="14412" max="14412" width="11.875" style="30" customWidth="1"/>
    <col min="14413" max="14413" width="13.375" style="30" customWidth="1"/>
    <col min="14414" max="14414" width="11.5" style="30" customWidth="1"/>
    <col min="14415" max="14415" width="9.25" style="30" customWidth="1"/>
    <col min="14416" max="14416" width="11.625" style="30" bestFit="1" customWidth="1"/>
    <col min="14417" max="14417" width="10.625" style="30" customWidth="1"/>
    <col min="14418" max="14418" width="12" style="30" customWidth="1"/>
    <col min="14419" max="14419" width="11.625" style="30" customWidth="1"/>
    <col min="14420" max="14420" width="14" style="30" customWidth="1"/>
    <col min="14421" max="14421" width="11.125" style="30" customWidth="1"/>
    <col min="14422" max="14422" width="9.75" style="30" customWidth="1"/>
    <col min="14423" max="14423" width="11.625" style="30" bestFit="1" customWidth="1"/>
    <col min="14424" max="14424" width="10.125" style="30" customWidth="1"/>
    <col min="14425" max="14425" width="11.625" style="30" customWidth="1"/>
    <col min="14426" max="14426" width="11.375" style="30" customWidth="1"/>
    <col min="14427" max="14427" width="12.375" style="30" customWidth="1"/>
    <col min="14428" max="14429" width="10.875" style="30" customWidth="1"/>
    <col min="14430" max="14430" width="10.5" style="30" bestFit="1" customWidth="1"/>
    <col min="14431" max="14431" width="9.625" style="30" customWidth="1"/>
    <col min="14432" max="14432" width="11.875" style="30" customWidth="1"/>
    <col min="14433" max="14433" width="11.75" style="30" customWidth="1"/>
    <col min="14434" max="14434" width="14.125" style="30" customWidth="1"/>
    <col min="14435" max="14435" width="13.125" style="30" customWidth="1"/>
    <col min="14436" max="14436" width="8.75" style="30" customWidth="1"/>
    <col min="14437" max="14437" width="11.5" style="30" bestFit="1" customWidth="1"/>
    <col min="14438" max="14438" width="9.625" style="30" customWidth="1"/>
    <col min="14439" max="14439" width="13.625" style="30" customWidth="1"/>
    <col min="14440" max="14440" width="11.5" style="30" customWidth="1"/>
    <col min="14441" max="14441" width="11.75" style="30" customWidth="1"/>
    <col min="14442" max="14442" width="9.875" style="30" customWidth="1"/>
    <col min="14443" max="14443" width="9" style="30" customWidth="1"/>
    <col min="14444" max="14444" width="9.625" style="30" bestFit="1" customWidth="1"/>
    <col min="14445" max="14445" width="12.625" style="30" customWidth="1"/>
    <col min="14446" max="14446" width="12.375" style="30" customWidth="1"/>
    <col min="14447" max="14447" width="11.625" style="30" customWidth="1"/>
    <col min="14448" max="14449" width="14.125" style="30" customWidth="1"/>
    <col min="14450" max="14450" width="9.125" style="30" customWidth="1"/>
    <col min="14451" max="14451" width="10.5" style="30" bestFit="1" customWidth="1"/>
    <col min="14452" max="14452" width="9.625" style="30" customWidth="1"/>
    <col min="14453" max="14453" width="14.25" style="30" customWidth="1"/>
    <col min="14454" max="14454" width="11.875" style="30" customWidth="1"/>
    <col min="14455" max="14455" width="11" style="30" customWidth="1"/>
    <col min="14456" max="14456" width="11.75" style="30" customWidth="1"/>
    <col min="14457" max="14457" width="11.25" style="30" customWidth="1"/>
    <col min="14458" max="14458" width="9.625" style="30" bestFit="1" customWidth="1"/>
    <col min="14459" max="14459" width="9.625" style="30" customWidth="1"/>
    <col min="14460" max="14460" width="14.125" style="30" customWidth="1"/>
    <col min="14461" max="14461" width="11.125" style="30" customWidth="1"/>
    <col min="14462" max="14462" width="11.25" style="30" customWidth="1"/>
    <col min="14463" max="14463" width="12" style="30" customWidth="1"/>
    <col min="14464" max="14464" width="8.75" style="30" customWidth="1"/>
    <col min="14465" max="14465" width="9.625" style="30" bestFit="1" customWidth="1"/>
    <col min="14466" max="14466" width="9.625" style="30" customWidth="1"/>
    <col min="14467" max="14468" width="11.25" style="30" customWidth="1"/>
    <col min="14469" max="14469" width="12" style="30" customWidth="1"/>
    <col min="14470" max="14471" width="10.625" style="30" customWidth="1"/>
    <col min="14472" max="14472" width="11" style="30" customWidth="1"/>
    <col min="14473" max="14473" width="10.625" style="30" customWidth="1"/>
    <col min="14474" max="14474" width="12.375" style="30" customWidth="1"/>
    <col min="14475" max="14475" width="12" style="30" customWidth="1"/>
    <col min="14476" max="14476" width="11.625" style="30" customWidth="1"/>
    <col min="14477" max="14477" width="10.5" style="30" customWidth="1"/>
    <col min="14478" max="14478" width="8.625" style="30" customWidth="1"/>
    <col min="14479" max="14479" width="11.25" style="30" customWidth="1"/>
    <col min="14480" max="14480" width="9.875" style="30" customWidth="1"/>
    <col min="14481" max="14481" width="11.125" style="30" customWidth="1"/>
    <col min="14482" max="14482" width="11.625" style="30" customWidth="1"/>
    <col min="14483" max="14483" width="12.625" style="30" customWidth="1"/>
    <col min="14484" max="14484" width="11.5" style="30" customWidth="1"/>
    <col min="14485" max="14485" width="9.375" style="30"/>
    <col min="14486" max="14486" width="13.125" style="30" customWidth="1"/>
    <col min="14487" max="14487" width="9.5" style="30" customWidth="1"/>
    <col min="14488" max="14488" width="11.625" style="30" customWidth="1"/>
    <col min="14489" max="14489" width="11.5" style="30" customWidth="1"/>
    <col min="14490" max="14490" width="9.625" style="30" customWidth="1"/>
    <col min="14491" max="14491" width="9.25" style="30" customWidth="1"/>
    <col min="14492" max="14492" width="8.75" style="30" customWidth="1"/>
    <col min="14493" max="14493" width="9" style="30" customWidth="1"/>
    <col min="14494" max="14494" width="8.625" style="30" customWidth="1"/>
    <col min="14495" max="14495" width="11.125" style="30" customWidth="1"/>
    <col min="14496" max="14496" width="11.25" style="30" customWidth="1"/>
    <col min="14497" max="14497" width="11.5" style="30" customWidth="1"/>
    <col min="14498" max="14499" width="9" style="30" customWidth="1"/>
    <col min="14500" max="14500" width="9.875" style="30" customWidth="1"/>
    <col min="14501" max="14501" width="9.25" style="30" customWidth="1"/>
    <col min="14502" max="14502" width="11.125" style="30" customWidth="1"/>
    <col min="14503" max="14503" width="11.375" style="30" customWidth="1"/>
    <col min="14504" max="14504" width="10.875" style="30" customWidth="1"/>
    <col min="14505" max="14505" width="8.375" style="30" customWidth="1"/>
    <col min="14506" max="14506" width="9.125" style="30" customWidth="1"/>
    <col min="14507" max="14508" width="9" style="30" customWidth="1"/>
    <col min="14509" max="14509" width="10.75" style="30" customWidth="1"/>
    <col min="14510" max="14510" width="10.625" style="30" customWidth="1"/>
    <col min="14511" max="14511" width="10.25" style="30" customWidth="1"/>
    <col min="14512" max="14512" width="8.125" style="30" customWidth="1"/>
    <col min="14513" max="14515" width="9" style="30" customWidth="1"/>
    <col min="14516" max="14516" width="11.375" style="30" customWidth="1"/>
    <col min="14517" max="14517" width="11.125" style="30" customWidth="1"/>
    <col min="14518" max="14518" width="14.5" style="30" customWidth="1"/>
    <col min="14519" max="14519" width="10.875" style="30" customWidth="1"/>
    <col min="14520" max="14520" width="8.5" style="30" customWidth="1"/>
    <col min="14521" max="14521" width="10.375" style="30" customWidth="1"/>
    <col min="14522" max="14522" width="9" style="30" customWidth="1"/>
    <col min="14523" max="14523" width="12" style="30" customWidth="1"/>
    <col min="14524" max="14531" width="10.875" style="30" customWidth="1"/>
    <col min="14532" max="14532" width="10.5" style="30" customWidth="1"/>
    <col min="14533" max="14533" width="11.875" style="30" customWidth="1"/>
    <col min="14534" max="14534" width="10.875" style="30" customWidth="1"/>
    <col min="14535" max="14536" width="9" style="30" customWidth="1"/>
    <col min="14537" max="14537" width="12.125" style="30" customWidth="1"/>
    <col min="14538" max="14538" width="9.625" style="30" customWidth="1"/>
    <col min="14539" max="14540" width="9" style="30" customWidth="1"/>
    <col min="14541" max="14541" width="12.625" style="30" customWidth="1"/>
    <col min="14542" max="14542" width="11" style="30" customWidth="1"/>
    <col min="14543" max="14543" width="11.75" style="30" bestFit="1" customWidth="1"/>
    <col min="14544" max="14544" width="11.875" style="30" customWidth="1"/>
    <col min="14545" max="14546" width="9" style="30" customWidth="1"/>
    <col min="14547" max="14547" width="12.25" style="30" customWidth="1"/>
    <col min="14548" max="14548" width="10.875" style="30" customWidth="1"/>
    <col min="14549" max="14549" width="9" style="30" customWidth="1"/>
    <col min="14550" max="14550" width="10.875" style="30" customWidth="1"/>
    <col min="14551" max="14551" width="10.5" style="30" customWidth="1"/>
    <col min="14552" max="14553" width="9" style="30" customWidth="1"/>
    <col min="14554" max="14554" width="12.625" style="30" customWidth="1"/>
    <col min="14555" max="14556" width="9" style="30" customWidth="1"/>
    <col min="14557" max="14557" width="12" style="30" customWidth="1"/>
    <col min="14558" max="14574" width="9" style="30" customWidth="1"/>
    <col min="14575" max="14575" width="12.375" style="30" customWidth="1"/>
    <col min="14576" max="14576" width="12.5" style="30" customWidth="1"/>
    <col min="14577" max="14577" width="11.875" style="30" customWidth="1"/>
    <col min="14578" max="14578" width="11.625" style="30" customWidth="1"/>
    <col min="14579" max="14579" width="12.125" style="30" customWidth="1"/>
    <col min="14580" max="14581" width="10.5" style="30" bestFit="1" customWidth="1"/>
    <col min="14582" max="14582" width="10.625" style="30" bestFit="1" customWidth="1"/>
    <col min="14583" max="14590" width="10.5" style="30" bestFit="1" customWidth="1"/>
    <col min="14591" max="14591" width="10.5" style="30" customWidth="1"/>
    <col min="14592" max="14592" width="10.5" style="30" bestFit="1" customWidth="1"/>
    <col min="14593" max="14593" width="11.5" style="30" customWidth="1"/>
    <col min="14594" max="14594" width="9.5" style="30" bestFit="1" customWidth="1"/>
    <col min="14595" max="14605" width="10.5" style="30" bestFit="1" customWidth="1"/>
    <col min="14606" max="14606" width="12.75" style="30" bestFit="1" customWidth="1"/>
    <col min="14607" max="14611" width="10.5" style="30" bestFit="1" customWidth="1"/>
    <col min="14612" max="14613" width="9.375" style="30"/>
    <col min="14614" max="14614" width="8.5" style="30" customWidth="1"/>
    <col min="14615" max="14615" width="8" style="30" customWidth="1"/>
    <col min="14616" max="14616" width="21.25" style="30" customWidth="1"/>
    <col min="14617" max="14617" width="16.25" style="30" customWidth="1"/>
    <col min="14618" max="14618" width="11.625" style="30" customWidth="1"/>
    <col min="14619" max="14619" width="13.625" style="30" customWidth="1"/>
    <col min="14620" max="14620" width="12.875" style="30" customWidth="1"/>
    <col min="14621" max="14621" width="15.5" style="30" customWidth="1"/>
    <col min="14622" max="14623" width="13.375" style="30" customWidth="1"/>
    <col min="14624" max="14624" width="14.375" style="30" customWidth="1"/>
    <col min="14625" max="14625" width="11.875" style="30" customWidth="1"/>
    <col min="14626" max="14627" width="14.25" style="30" customWidth="1"/>
    <col min="14628" max="14628" width="8.625" style="30" customWidth="1"/>
    <col min="14629" max="14629" width="10.625" style="30" customWidth="1"/>
    <col min="14630" max="14630" width="9.875" style="30" customWidth="1"/>
    <col min="14631" max="14631" width="14" style="30" customWidth="1"/>
    <col min="14632" max="14632" width="10.875" style="30" customWidth="1"/>
    <col min="14633" max="14633" width="12.375" style="30" customWidth="1"/>
    <col min="14634" max="14634" width="12" style="30" customWidth="1"/>
    <col min="14635" max="14635" width="13.625" style="30" customWidth="1"/>
    <col min="14636" max="14636" width="10" style="30" customWidth="1"/>
    <col min="14637" max="14637" width="9.625" style="30" customWidth="1"/>
    <col min="14638" max="14638" width="11.75" style="30" customWidth="1"/>
    <col min="14639" max="14639" width="11.375" style="30" customWidth="1"/>
    <col min="14640" max="14640" width="12.875" style="30" customWidth="1"/>
    <col min="14641" max="14641" width="13" style="30" customWidth="1"/>
    <col min="14642" max="14642" width="8.875" style="30" customWidth="1"/>
    <col min="14643" max="14643" width="13.125" style="30" customWidth="1"/>
    <col min="14644" max="14644" width="9.625" style="30" customWidth="1"/>
    <col min="14645" max="14645" width="12.875" style="30" customWidth="1"/>
    <col min="14646" max="14646" width="11.5" style="30" customWidth="1"/>
    <col min="14647" max="14647" width="9.75" style="30" customWidth="1"/>
    <col min="14648" max="14648" width="13.375" style="30" customWidth="1"/>
    <col min="14649" max="14649" width="12.125" style="30" customWidth="1"/>
    <col min="14650" max="14650" width="10.25" style="30" customWidth="1"/>
    <col min="14651" max="14651" width="11.625" style="30" bestFit="1" customWidth="1"/>
    <col min="14652" max="14652" width="9.875" style="30" customWidth="1"/>
    <col min="14653" max="14653" width="13.375" style="30" customWidth="1"/>
    <col min="14654" max="14654" width="11.5" style="30" customWidth="1"/>
    <col min="14655" max="14655" width="12" style="30" customWidth="1"/>
    <col min="14656" max="14656" width="9.125" style="30" customWidth="1"/>
    <col min="14657" max="14657" width="9" style="30" customWidth="1"/>
    <col min="14658" max="14658" width="12.875" style="30" bestFit="1" customWidth="1"/>
    <col min="14659" max="14660" width="12" style="30" customWidth="1"/>
    <col min="14661" max="14661" width="11.875" style="30" customWidth="1"/>
    <col min="14662" max="14662" width="11" style="30" customWidth="1"/>
    <col min="14663" max="14663" width="11.625" style="30" customWidth="1"/>
    <col min="14664" max="14664" width="8.875" style="30" customWidth="1"/>
    <col min="14665" max="14665" width="11.625" style="30" bestFit="1" customWidth="1"/>
    <col min="14666" max="14666" width="9.625" style="30" customWidth="1"/>
    <col min="14667" max="14667" width="12.125" style="30" customWidth="1"/>
    <col min="14668" max="14668" width="11.875" style="30" customWidth="1"/>
    <col min="14669" max="14669" width="13.375" style="30" customWidth="1"/>
    <col min="14670" max="14670" width="11.5" style="30" customWidth="1"/>
    <col min="14671" max="14671" width="9.25" style="30" customWidth="1"/>
    <col min="14672" max="14672" width="11.625" style="30" bestFit="1" customWidth="1"/>
    <col min="14673" max="14673" width="10.625" style="30" customWidth="1"/>
    <col min="14674" max="14674" width="12" style="30" customWidth="1"/>
    <col min="14675" max="14675" width="11.625" style="30" customWidth="1"/>
    <col min="14676" max="14676" width="14" style="30" customWidth="1"/>
    <col min="14677" max="14677" width="11.125" style="30" customWidth="1"/>
    <col min="14678" max="14678" width="9.75" style="30" customWidth="1"/>
    <col min="14679" max="14679" width="11.625" style="30" bestFit="1" customWidth="1"/>
    <col min="14680" max="14680" width="10.125" style="30" customWidth="1"/>
    <col min="14681" max="14681" width="11.625" style="30" customWidth="1"/>
    <col min="14682" max="14682" width="11.375" style="30" customWidth="1"/>
    <col min="14683" max="14683" width="12.375" style="30" customWidth="1"/>
    <col min="14684" max="14685" width="10.875" style="30" customWidth="1"/>
    <col min="14686" max="14686" width="10.5" style="30" bestFit="1" customWidth="1"/>
    <col min="14687" max="14687" width="9.625" style="30" customWidth="1"/>
    <col min="14688" max="14688" width="11.875" style="30" customWidth="1"/>
    <col min="14689" max="14689" width="11.75" style="30" customWidth="1"/>
    <col min="14690" max="14690" width="14.125" style="30" customWidth="1"/>
    <col min="14691" max="14691" width="13.125" style="30" customWidth="1"/>
    <col min="14692" max="14692" width="8.75" style="30" customWidth="1"/>
    <col min="14693" max="14693" width="11.5" style="30" bestFit="1" customWidth="1"/>
    <col min="14694" max="14694" width="9.625" style="30" customWidth="1"/>
    <col min="14695" max="14695" width="13.625" style="30" customWidth="1"/>
    <col min="14696" max="14696" width="11.5" style="30" customWidth="1"/>
    <col min="14697" max="14697" width="11.75" style="30" customWidth="1"/>
    <col min="14698" max="14698" width="9.875" style="30" customWidth="1"/>
    <col min="14699" max="14699" width="9" style="30" customWidth="1"/>
    <col min="14700" max="14700" width="9.625" style="30" bestFit="1" customWidth="1"/>
    <col min="14701" max="14701" width="12.625" style="30" customWidth="1"/>
    <col min="14702" max="14702" width="12.375" style="30" customWidth="1"/>
    <col min="14703" max="14703" width="11.625" style="30" customWidth="1"/>
    <col min="14704" max="14705" width="14.125" style="30" customWidth="1"/>
    <col min="14706" max="14706" width="9.125" style="30" customWidth="1"/>
    <col min="14707" max="14707" width="10.5" style="30" bestFit="1" customWidth="1"/>
    <col min="14708" max="14708" width="9.625" style="30" customWidth="1"/>
    <col min="14709" max="14709" width="14.25" style="30" customWidth="1"/>
    <col min="14710" max="14710" width="11.875" style="30" customWidth="1"/>
    <col min="14711" max="14711" width="11" style="30" customWidth="1"/>
    <col min="14712" max="14712" width="11.75" style="30" customWidth="1"/>
    <col min="14713" max="14713" width="11.25" style="30" customWidth="1"/>
    <col min="14714" max="14714" width="9.625" style="30" bestFit="1" customWidth="1"/>
    <col min="14715" max="14715" width="9.625" style="30" customWidth="1"/>
    <col min="14716" max="14716" width="14.125" style="30" customWidth="1"/>
    <col min="14717" max="14717" width="11.125" style="30" customWidth="1"/>
    <col min="14718" max="14718" width="11.25" style="30" customWidth="1"/>
    <col min="14719" max="14719" width="12" style="30" customWidth="1"/>
    <col min="14720" max="14720" width="8.75" style="30" customWidth="1"/>
    <col min="14721" max="14721" width="9.625" style="30" bestFit="1" customWidth="1"/>
    <col min="14722" max="14722" width="9.625" style="30" customWidth="1"/>
    <col min="14723" max="14724" width="11.25" style="30" customWidth="1"/>
    <col min="14725" max="14725" width="12" style="30" customWidth="1"/>
    <col min="14726" max="14727" width="10.625" style="30" customWidth="1"/>
    <col min="14728" max="14728" width="11" style="30" customWidth="1"/>
    <col min="14729" max="14729" width="10.625" style="30" customWidth="1"/>
    <col min="14730" max="14730" width="12.375" style="30" customWidth="1"/>
    <col min="14731" max="14731" width="12" style="30" customWidth="1"/>
    <col min="14732" max="14732" width="11.625" style="30" customWidth="1"/>
    <col min="14733" max="14733" width="10.5" style="30" customWidth="1"/>
    <col min="14734" max="14734" width="8.625" style="30" customWidth="1"/>
    <col min="14735" max="14735" width="11.25" style="30" customWidth="1"/>
    <col min="14736" max="14736" width="9.875" style="30" customWidth="1"/>
    <col min="14737" max="14737" width="11.125" style="30" customWidth="1"/>
    <col min="14738" max="14738" width="11.625" style="30" customWidth="1"/>
    <col min="14739" max="14739" width="12.625" style="30" customWidth="1"/>
    <col min="14740" max="14740" width="11.5" style="30" customWidth="1"/>
    <col min="14741" max="14741" width="9.375" style="30"/>
    <col min="14742" max="14742" width="13.125" style="30" customWidth="1"/>
    <col min="14743" max="14743" width="9.5" style="30" customWidth="1"/>
    <col min="14744" max="14744" width="11.625" style="30" customWidth="1"/>
    <col min="14745" max="14745" width="11.5" style="30" customWidth="1"/>
    <col min="14746" max="14746" width="9.625" style="30" customWidth="1"/>
    <col min="14747" max="14747" width="9.25" style="30" customWidth="1"/>
    <col min="14748" max="14748" width="8.75" style="30" customWidth="1"/>
    <col min="14749" max="14749" width="9" style="30" customWidth="1"/>
    <col min="14750" max="14750" width="8.625" style="30" customWidth="1"/>
    <col min="14751" max="14751" width="11.125" style="30" customWidth="1"/>
    <col min="14752" max="14752" width="11.25" style="30" customWidth="1"/>
    <col min="14753" max="14753" width="11.5" style="30" customWidth="1"/>
    <col min="14754" max="14755" width="9" style="30" customWidth="1"/>
    <col min="14756" max="14756" width="9.875" style="30" customWidth="1"/>
    <col min="14757" max="14757" width="9.25" style="30" customWidth="1"/>
    <col min="14758" max="14758" width="11.125" style="30" customWidth="1"/>
    <col min="14759" max="14759" width="11.375" style="30" customWidth="1"/>
    <col min="14760" max="14760" width="10.875" style="30" customWidth="1"/>
    <col min="14761" max="14761" width="8.375" style="30" customWidth="1"/>
    <col min="14762" max="14762" width="9.125" style="30" customWidth="1"/>
    <col min="14763" max="14764" width="9" style="30" customWidth="1"/>
    <col min="14765" max="14765" width="10.75" style="30" customWidth="1"/>
    <col min="14766" max="14766" width="10.625" style="30" customWidth="1"/>
    <col min="14767" max="14767" width="10.25" style="30" customWidth="1"/>
    <col min="14768" max="14768" width="8.125" style="30" customWidth="1"/>
    <col min="14769" max="14771" width="9" style="30" customWidth="1"/>
    <col min="14772" max="14772" width="11.375" style="30" customWidth="1"/>
    <col min="14773" max="14773" width="11.125" style="30" customWidth="1"/>
    <col min="14774" max="14774" width="14.5" style="30" customWidth="1"/>
    <col min="14775" max="14775" width="10.875" style="30" customWidth="1"/>
    <col min="14776" max="14776" width="8.5" style="30" customWidth="1"/>
    <col min="14777" max="14777" width="10.375" style="30" customWidth="1"/>
    <col min="14778" max="14778" width="9" style="30" customWidth="1"/>
    <col min="14779" max="14779" width="12" style="30" customWidth="1"/>
    <col min="14780" max="14787" width="10.875" style="30" customWidth="1"/>
    <col min="14788" max="14788" width="10.5" style="30" customWidth="1"/>
    <col min="14789" max="14789" width="11.875" style="30" customWidth="1"/>
    <col min="14790" max="14790" width="10.875" style="30" customWidth="1"/>
    <col min="14791" max="14792" width="9" style="30" customWidth="1"/>
    <col min="14793" max="14793" width="12.125" style="30" customWidth="1"/>
    <col min="14794" max="14794" width="9.625" style="30" customWidth="1"/>
    <col min="14795" max="14796" width="9" style="30" customWidth="1"/>
    <col min="14797" max="14797" width="12.625" style="30" customWidth="1"/>
    <col min="14798" max="14798" width="11" style="30" customWidth="1"/>
    <col min="14799" max="14799" width="11.75" style="30" bestFit="1" customWidth="1"/>
    <col min="14800" max="14800" width="11.875" style="30" customWidth="1"/>
    <col min="14801" max="14802" width="9" style="30" customWidth="1"/>
    <col min="14803" max="14803" width="12.25" style="30" customWidth="1"/>
    <col min="14804" max="14804" width="10.875" style="30" customWidth="1"/>
    <col min="14805" max="14805" width="9" style="30" customWidth="1"/>
    <col min="14806" max="14806" width="10.875" style="30" customWidth="1"/>
    <col min="14807" max="14807" width="10.5" style="30" customWidth="1"/>
    <col min="14808" max="14809" width="9" style="30" customWidth="1"/>
    <col min="14810" max="14810" width="12.625" style="30" customWidth="1"/>
    <col min="14811" max="14812" width="9" style="30" customWidth="1"/>
    <col min="14813" max="14813" width="12" style="30" customWidth="1"/>
    <col min="14814" max="14830" width="9" style="30" customWidth="1"/>
    <col min="14831" max="14831" width="12.375" style="30" customWidth="1"/>
    <col min="14832" max="14832" width="12.5" style="30" customWidth="1"/>
    <col min="14833" max="14833" width="11.875" style="30" customWidth="1"/>
    <col min="14834" max="14834" width="11.625" style="30" customWidth="1"/>
    <col min="14835" max="14835" width="12.125" style="30" customWidth="1"/>
    <col min="14836" max="14837" width="10.5" style="30" bestFit="1" customWidth="1"/>
    <col min="14838" max="14838" width="10.625" style="30" bestFit="1" customWidth="1"/>
    <col min="14839" max="14846" width="10.5" style="30" bestFit="1" customWidth="1"/>
    <col min="14847" max="14847" width="10.5" style="30" customWidth="1"/>
    <col min="14848" max="14848" width="10.5" style="30" bestFit="1" customWidth="1"/>
    <col min="14849" max="14849" width="11.5" style="30" customWidth="1"/>
    <col min="14850" max="14850" width="9.5" style="30" bestFit="1" customWidth="1"/>
    <col min="14851" max="14861" width="10.5" style="30" bestFit="1" customWidth="1"/>
    <col min="14862" max="14862" width="12.75" style="30" bestFit="1" customWidth="1"/>
    <col min="14863" max="14867" width="10.5" style="30" bestFit="1" customWidth="1"/>
    <col min="14868" max="14869" width="9.375" style="30"/>
    <col min="14870" max="14870" width="8.5" style="30" customWidth="1"/>
    <col min="14871" max="14871" width="8" style="30" customWidth="1"/>
    <col min="14872" max="14872" width="21.25" style="30" customWidth="1"/>
    <col min="14873" max="14873" width="16.25" style="30" customWidth="1"/>
    <col min="14874" max="14874" width="11.625" style="30" customWidth="1"/>
    <col min="14875" max="14875" width="13.625" style="30" customWidth="1"/>
    <col min="14876" max="14876" width="12.875" style="30" customWidth="1"/>
    <col min="14877" max="14877" width="15.5" style="30" customWidth="1"/>
    <col min="14878" max="14879" width="13.375" style="30" customWidth="1"/>
    <col min="14880" max="14880" width="14.375" style="30" customWidth="1"/>
    <col min="14881" max="14881" width="11.875" style="30" customWidth="1"/>
    <col min="14882" max="14883" width="14.25" style="30" customWidth="1"/>
    <col min="14884" max="14884" width="8.625" style="30" customWidth="1"/>
    <col min="14885" max="14885" width="10.625" style="30" customWidth="1"/>
    <col min="14886" max="14886" width="9.875" style="30" customWidth="1"/>
    <col min="14887" max="14887" width="14" style="30" customWidth="1"/>
    <col min="14888" max="14888" width="10.875" style="30" customWidth="1"/>
    <col min="14889" max="14889" width="12.375" style="30" customWidth="1"/>
    <col min="14890" max="14890" width="12" style="30" customWidth="1"/>
    <col min="14891" max="14891" width="13.625" style="30" customWidth="1"/>
    <col min="14892" max="14892" width="10" style="30" customWidth="1"/>
    <col min="14893" max="14893" width="9.625" style="30" customWidth="1"/>
    <col min="14894" max="14894" width="11.75" style="30" customWidth="1"/>
    <col min="14895" max="14895" width="11.375" style="30" customWidth="1"/>
    <col min="14896" max="14896" width="12.875" style="30" customWidth="1"/>
    <col min="14897" max="14897" width="13" style="30" customWidth="1"/>
    <col min="14898" max="14898" width="8.875" style="30" customWidth="1"/>
    <col min="14899" max="14899" width="13.125" style="30" customWidth="1"/>
    <col min="14900" max="14900" width="9.625" style="30" customWidth="1"/>
    <col min="14901" max="14901" width="12.875" style="30" customWidth="1"/>
    <col min="14902" max="14902" width="11.5" style="30" customWidth="1"/>
    <col min="14903" max="14903" width="9.75" style="30" customWidth="1"/>
    <col min="14904" max="14904" width="13.375" style="30" customWidth="1"/>
    <col min="14905" max="14905" width="12.125" style="30" customWidth="1"/>
    <col min="14906" max="14906" width="10.25" style="30" customWidth="1"/>
    <col min="14907" max="14907" width="11.625" style="30" bestFit="1" customWidth="1"/>
    <col min="14908" max="14908" width="9.875" style="30" customWidth="1"/>
    <col min="14909" max="14909" width="13.375" style="30" customWidth="1"/>
    <col min="14910" max="14910" width="11.5" style="30" customWidth="1"/>
    <col min="14911" max="14911" width="12" style="30" customWidth="1"/>
    <col min="14912" max="14912" width="9.125" style="30" customWidth="1"/>
    <col min="14913" max="14913" width="9" style="30" customWidth="1"/>
    <col min="14914" max="14914" width="12.875" style="30" bestFit="1" customWidth="1"/>
    <col min="14915" max="14916" width="12" style="30" customWidth="1"/>
    <col min="14917" max="14917" width="11.875" style="30" customWidth="1"/>
    <col min="14918" max="14918" width="11" style="30" customWidth="1"/>
    <col min="14919" max="14919" width="11.625" style="30" customWidth="1"/>
    <col min="14920" max="14920" width="8.875" style="30" customWidth="1"/>
    <col min="14921" max="14921" width="11.625" style="30" bestFit="1" customWidth="1"/>
    <col min="14922" max="14922" width="9.625" style="30" customWidth="1"/>
    <col min="14923" max="14923" width="12.125" style="30" customWidth="1"/>
    <col min="14924" max="14924" width="11.875" style="30" customWidth="1"/>
    <col min="14925" max="14925" width="13.375" style="30" customWidth="1"/>
    <col min="14926" max="14926" width="11.5" style="30" customWidth="1"/>
    <col min="14927" max="14927" width="9.25" style="30" customWidth="1"/>
    <col min="14928" max="14928" width="11.625" style="30" bestFit="1" customWidth="1"/>
    <col min="14929" max="14929" width="10.625" style="30" customWidth="1"/>
    <col min="14930" max="14930" width="12" style="30" customWidth="1"/>
    <col min="14931" max="14931" width="11.625" style="30" customWidth="1"/>
    <col min="14932" max="14932" width="14" style="30" customWidth="1"/>
    <col min="14933" max="14933" width="11.125" style="30" customWidth="1"/>
    <col min="14934" max="14934" width="9.75" style="30" customWidth="1"/>
    <col min="14935" max="14935" width="11.625" style="30" bestFit="1" customWidth="1"/>
    <col min="14936" max="14936" width="10.125" style="30" customWidth="1"/>
    <col min="14937" max="14937" width="11.625" style="30" customWidth="1"/>
    <col min="14938" max="14938" width="11.375" style="30" customWidth="1"/>
    <col min="14939" max="14939" width="12.375" style="30" customWidth="1"/>
    <col min="14940" max="14941" width="10.875" style="30" customWidth="1"/>
    <col min="14942" max="14942" width="10.5" style="30" bestFit="1" customWidth="1"/>
    <col min="14943" max="14943" width="9.625" style="30" customWidth="1"/>
    <col min="14944" max="14944" width="11.875" style="30" customWidth="1"/>
    <col min="14945" max="14945" width="11.75" style="30" customWidth="1"/>
    <col min="14946" max="14946" width="14.125" style="30" customWidth="1"/>
    <col min="14947" max="14947" width="13.125" style="30" customWidth="1"/>
    <col min="14948" max="14948" width="8.75" style="30" customWidth="1"/>
    <col min="14949" max="14949" width="11.5" style="30" bestFit="1" customWidth="1"/>
    <col min="14950" max="14950" width="9.625" style="30" customWidth="1"/>
    <col min="14951" max="14951" width="13.625" style="30" customWidth="1"/>
    <col min="14952" max="14952" width="11.5" style="30" customWidth="1"/>
    <col min="14953" max="14953" width="11.75" style="30" customWidth="1"/>
    <col min="14954" max="14954" width="9.875" style="30" customWidth="1"/>
    <col min="14955" max="14955" width="9" style="30" customWidth="1"/>
    <col min="14956" max="14956" width="9.625" style="30" bestFit="1" customWidth="1"/>
    <col min="14957" max="14957" width="12.625" style="30" customWidth="1"/>
    <col min="14958" max="14958" width="12.375" style="30" customWidth="1"/>
    <col min="14959" max="14959" width="11.625" style="30" customWidth="1"/>
    <col min="14960" max="14961" width="14.125" style="30" customWidth="1"/>
    <col min="14962" max="14962" width="9.125" style="30" customWidth="1"/>
    <col min="14963" max="14963" width="10.5" style="30" bestFit="1" customWidth="1"/>
    <col min="14964" max="14964" width="9.625" style="30" customWidth="1"/>
    <col min="14965" max="14965" width="14.25" style="30" customWidth="1"/>
    <col min="14966" max="14966" width="11.875" style="30" customWidth="1"/>
    <col min="14967" max="14967" width="11" style="30" customWidth="1"/>
    <col min="14968" max="14968" width="11.75" style="30" customWidth="1"/>
    <col min="14969" max="14969" width="11.25" style="30" customWidth="1"/>
    <col min="14970" max="14970" width="9.625" style="30" bestFit="1" customWidth="1"/>
    <col min="14971" max="14971" width="9.625" style="30" customWidth="1"/>
    <col min="14972" max="14972" width="14.125" style="30" customWidth="1"/>
    <col min="14973" max="14973" width="11.125" style="30" customWidth="1"/>
    <col min="14974" max="14974" width="11.25" style="30" customWidth="1"/>
    <col min="14975" max="14975" width="12" style="30" customWidth="1"/>
    <col min="14976" max="14976" width="8.75" style="30" customWidth="1"/>
    <col min="14977" max="14977" width="9.625" style="30" bestFit="1" customWidth="1"/>
    <col min="14978" max="14978" width="9.625" style="30" customWidth="1"/>
    <col min="14979" max="14980" width="11.25" style="30" customWidth="1"/>
    <col min="14981" max="14981" width="12" style="30" customWidth="1"/>
    <col min="14982" max="14983" width="10.625" style="30" customWidth="1"/>
    <col min="14984" max="14984" width="11" style="30" customWidth="1"/>
    <col min="14985" max="14985" width="10.625" style="30" customWidth="1"/>
    <col min="14986" max="14986" width="12.375" style="30" customWidth="1"/>
    <col min="14987" max="14987" width="12" style="30" customWidth="1"/>
    <col min="14988" max="14988" width="11.625" style="30" customWidth="1"/>
    <col min="14989" max="14989" width="10.5" style="30" customWidth="1"/>
    <col min="14990" max="14990" width="8.625" style="30" customWidth="1"/>
    <col min="14991" max="14991" width="11.25" style="30" customWidth="1"/>
    <col min="14992" max="14992" width="9.875" style="30" customWidth="1"/>
    <col min="14993" max="14993" width="11.125" style="30" customWidth="1"/>
    <col min="14994" max="14994" width="11.625" style="30" customWidth="1"/>
    <col min="14995" max="14995" width="12.625" style="30" customWidth="1"/>
    <col min="14996" max="14996" width="11.5" style="30" customWidth="1"/>
    <col min="14997" max="14997" width="9.375" style="30"/>
    <col min="14998" max="14998" width="13.125" style="30" customWidth="1"/>
    <col min="14999" max="14999" width="9.5" style="30" customWidth="1"/>
    <col min="15000" max="15000" width="11.625" style="30" customWidth="1"/>
    <col min="15001" max="15001" width="11.5" style="30" customWidth="1"/>
    <col min="15002" max="15002" width="9.625" style="30" customWidth="1"/>
    <col min="15003" max="15003" width="9.25" style="30" customWidth="1"/>
    <col min="15004" max="15004" width="8.75" style="30" customWidth="1"/>
    <col min="15005" max="15005" width="9" style="30" customWidth="1"/>
    <col min="15006" max="15006" width="8.625" style="30" customWidth="1"/>
    <col min="15007" max="15007" width="11.125" style="30" customWidth="1"/>
    <col min="15008" max="15008" width="11.25" style="30" customWidth="1"/>
    <col min="15009" max="15009" width="11.5" style="30" customWidth="1"/>
    <col min="15010" max="15011" width="9" style="30" customWidth="1"/>
    <col min="15012" max="15012" width="9.875" style="30" customWidth="1"/>
    <col min="15013" max="15013" width="9.25" style="30" customWidth="1"/>
    <col min="15014" max="15014" width="11.125" style="30" customWidth="1"/>
    <col min="15015" max="15015" width="11.375" style="30" customWidth="1"/>
    <col min="15016" max="15016" width="10.875" style="30" customWidth="1"/>
    <col min="15017" max="15017" width="8.375" style="30" customWidth="1"/>
    <col min="15018" max="15018" width="9.125" style="30" customWidth="1"/>
    <col min="15019" max="15020" width="9" style="30" customWidth="1"/>
    <col min="15021" max="15021" width="10.75" style="30" customWidth="1"/>
    <col min="15022" max="15022" width="10.625" style="30" customWidth="1"/>
    <col min="15023" max="15023" width="10.25" style="30" customWidth="1"/>
    <col min="15024" max="15024" width="8.125" style="30" customWidth="1"/>
    <col min="15025" max="15027" width="9" style="30" customWidth="1"/>
    <col min="15028" max="15028" width="11.375" style="30" customWidth="1"/>
    <col min="15029" max="15029" width="11.125" style="30" customWidth="1"/>
    <col min="15030" max="15030" width="14.5" style="30" customWidth="1"/>
    <col min="15031" max="15031" width="10.875" style="30" customWidth="1"/>
    <col min="15032" max="15032" width="8.5" style="30" customWidth="1"/>
    <col min="15033" max="15033" width="10.375" style="30" customWidth="1"/>
    <col min="15034" max="15034" width="9" style="30" customWidth="1"/>
    <col min="15035" max="15035" width="12" style="30" customWidth="1"/>
    <col min="15036" max="15043" width="10.875" style="30" customWidth="1"/>
    <col min="15044" max="15044" width="10.5" style="30" customWidth="1"/>
    <col min="15045" max="15045" width="11.875" style="30" customWidth="1"/>
    <col min="15046" max="15046" width="10.875" style="30" customWidth="1"/>
    <col min="15047" max="15048" width="9" style="30" customWidth="1"/>
    <col min="15049" max="15049" width="12.125" style="30" customWidth="1"/>
    <col min="15050" max="15050" width="9.625" style="30" customWidth="1"/>
    <col min="15051" max="15052" width="9" style="30" customWidth="1"/>
    <col min="15053" max="15053" width="12.625" style="30" customWidth="1"/>
    <col min="15054" max="15054" width="11" style="30" customWidth="1"/>
    <col min="15055" max="15055" width="11.75" style="30" bestFit="1" customWidth="1"/>
    <col min="15056" max="15056" width="11.875" style="30" customWidth="1"/>
    <col min="15057" max="15058" width="9" style="30" customWidth="1"/>
    <col min="15059" max="15059" width="12.25" style="30" customWidth="1"/>
    <col min="15060" max="15060" width="10.875" style="30" customWidth="1"/>
    <col min="15061" max="15061" width="9" style="30" customWidth="1"/>
    <col min="15062" max="15062" width="10.875" style="30" customWidth="1"/>
    <col min="15063" max="15063" width="10.5" style="30" customWidth="1"/>
    <col min="15064" max="15065" width="9" style="30" customWidth="1"/>
    <col min="15066" max="15066" width="12.625" style="30" customWidth="1"/>
    <col min="15067" max="15068" width="9" style="30" customWidth="1"/>
    <col min="15069" max="15069" width="12" style="30" customWidth="1"/>
    <col min="15070" max="15086" width="9" style="30" customWidth="1"/>
    <col min="15087" max="15087" width="12.375" style="30" customWidth="1"/>
    <col min="15088" max="15088" width="12.5" style="30" customWidth="1"/>
    <col min="15089" max="15089" width="11.875" style="30" customWidth="1"/>
    <col min="15090" max="15090" width="11.625" style="30" customWidth="1"/>
    <col min="15091" max="15091" width="12.125" style="30" customWidth="1"/>
    <col min="15092" max="15093" width="10.5" style="30" bestFit="1" customWidth="1"/>
    <col min="15094" max="15094" width="10.625" style="30" bestFit="1" customWidth="1"/>
    <col min="15095" max="15102" width="10.5" style="30" bestFit="1" customWidth="1"/>
    <col min="15103" max="15103" width="10.5" style="30" customWidth="1"/>
    <col min="15104" max="15104" width="10.5" style="30" bestFit="1" customWidth="1"/>
    <col min="15105" max="15105" width="11.5" style="30" customWidth="1"/>
    <col min="15106" max="15106" width="9.5" style="30" bestFit="1" customWidth="1"/>
    <col min="15107" max="15117" width="10.5" style="30" bestFit="1" customWidth="1"/>
    <col min="15118" max="15118" width="12.75" style="30" bestFit="1" customWidth="1"/>
    <col min="15119" max="15123" width="10.5" style="30" bestFit="1" customWidth="1"/>
    <col min="15124" max="15125" width="9.375" style="30"/>
    <col min="15126" max="15126" width="8.5" style="30" customWidth="1"/>
    <col min="15127" max="15127" width="8" style="30" customWidth="1"/>
    <col min="15128" max="15128" width="21.25" style="30" customWidth="1"/>
    <col min="15129" max="15129" width="16.25" style="30" customWidth="1"/>
    <col min="15130" max="15130" width="11.625" style="30" customWidth="1"/>
    <col min="15131" max="15131" width="13.625" style="30" customWidth="1"/>
    <col min="15132" max="15132" width="12.875" style="30" customWidth="1"/>
    <col min="15133" max="15133" width="15.5" style="30" customWidth="1"/>
    <col min="15134" max="15135" width="13.375" style="30" customWidth="1"/>
    <col min="15136" max="15136" width="14.375" style="30" customWidth="1"/>
    <col min="15137" max="15137" width="11.875" style="30" customWidth="1"/>
    <col min="15138" max="15139" width="14.25" style="30" customWidth="1"/>
    <col min="15140" max="15140" width="8.625" style="30" customWidth="1"/>
    <col min="15141" max="15141" width="10.625" style="30" customWidth="1"/>
    <col min="15142" max="15142" width="9.875" style="30" customWidth="1"/>
    <col min="15143" max="15143" width="14" style="30" customWidth="1"/>
    <col min="15144" max="15144" width="10.875" style="30" customWidth="1"/>
    <col min="15145" max="15145" width="12.375" style="30" customWidth="1"/>
    <col min="15146" max="15146" width="12" style="30" customWidth="1"/>
    <col min="15147" max="15147" width="13.625" style="30" customWidth="1"/>
    <col min="15148" max="15148" width="10" style="30" customWidth="1"/>
    <col min="15149" max="15149" width="9.625" style="30" customWidth="1"/>
    <col min="15150" max="15150" width="11.75" style="30" customWidth="1"/>
    <col min="15151" max="15151" width="11.375" style="30" customWidth="1"/>
    <col min="15152" max="15152" width="12.875" style="30" customWidth="1"/>
    <col min="15153" max="15153" width="13" style="30" customWidth="1"/>
    <col min="15154" max="15154" width="8.875" style="30" customWidth="1"/>
    <col min="15155" max="15155" width="13.125" style="30" customWidth="1"/>
    <col min="15156" max="15156" width="9.625" style="30" customWidth="1"/>
    <col min="15157" max="15157" width="12.875" style="30" customWidth="1"/>
    <col min="15158" max="15158" width="11.5" style="30" customWidth="1"/>
    <col min="15159" max="15159" width="9.75" style="30" customWidth="1"/>
    <col min="15160" max="15160" width="13.375" style="30" customWidth="1"/>
    <col min="15161" max="15161" width="12.125" style="30" customWidth="1"/>
    <col min="15162" max="15162" width="10.25" style="30" customWidth="1"/>
    <col min="15163" max="15163" width="11.625" style="30" bestFit="1" customWidth="1"/>
    <col min="15164" max="15164" width="9.875" style="30" customWidth="1"/>
    <col min="15165" max="15165" width="13.375" style="30" customWidth="1"/>
    <col min="15166" max="15166" width="11.5" style="30" customWidth="1"/>
    <col min="15167" max="15167" width="12" style="30" customWidth="1"/>
    <col min="15168" max="15168" width="9.125" style="30" customWidth="1"/>
    <col min="15169" max="15169" width="9" style="30" customWidth="1"/>
    <col min="15170" max="15170" width="12.875" style="30" bestFit="1" customWidth="1"/>
    <col min="15171" max="15172" width="12" style="30" customWidth="1"/>
    <col min="15173" max="15173" width="11.875" style="30" customWidth="1"/>
    <col min="15174" max="15174" width="11" style="30" customWidth="1"/>
    <col min="15175" max="15175" width="11.625" style="30" customWidth="1"/>
    <col min="15176" max="15176" width="8.875" style="30" customWidth="1"/>
    <col min="15177" max="15177" width="11.625" style="30" bestFit="1" customWidth="1"/>
    <col min="15178" max="15178" width="9.625" style="30" customWidth="1"/>
    <col min="15179" max="15179" width="12.125" style="30" customWidth="1"/>
    <col min="15180" max="15180" width="11.875" style="30" customWidth="1"/>
    <col min="15181" max="15181" width="13.375" style="30" customWidth="1"/>
    <col min="15182" max="15182" width="11.5" style="30" customWidth="1"/>
    <col min="15183" max="15183" width="9.25" style="30" customWidth="1"/>
    <col min="15184" max="15184" width="11.625" style="30" bestFit="1" customWidth="1"/>
    <col min="15185" max="15185" width="10.625" style="30" customWidth="1"/>
    <col min="15186" max="15186" width="12" style="30" customWidth="1"/>
    <col min="15187" max="15187" width="11.625" style="30" customWidth="1"/>
    <col min="15188" max="15188" width="14" style="30" customWidth="1"/>
    <col min="15189" max="15189" width="11.125" style="30" customWidth="1"/>
    <col min="15190" max="15190" width="9.75" style="30" customWidth="1"/>
    <col min="15191" max="15191" width="11.625" style="30" bestFit="1" customWidth="1"/>
    <col min="15192" max="15192" width="10.125" style="30" customWidth="1"/>
    <col min="15193" max="15193" width="11.625" style="30" customWidth="1"/>
    <col min="15194" max="15194" width="11.375" style="30" customWidth="1"/>
    <col min="15195" max="15195" width="12.375" style="30" customWidth="1"/>
    <col min="15196" max="15197" width="10.875" style="30" customWidth="1"/>
    <col min="15198" max="15198" width="10.5" style="30" bestFit="1" customWidth="1"/>
    <col min="15199" max="15199" width="9.625" style="30" customWidth="1"/>
    <col min="15200" max="15200" width="11.875" style="30" customWidth="1"/>
    <col min="15201" max="15201" width="11.75" style="30" customWidth="1"/>
    <col min="15202" max="15202" width="14.125" style="30" customWidth="1"/>
    <col min="15203" max="15203" width="13.125" style="30" customWidth="1"/>
    <col min="15204" max="15204" width="8.75" style="30" customWidth="1"/>
    <col min="15205" max="15205" width="11.5" style="30" bestFit="1" customWidth="1"/>
    <col min="15206" max="15206" width="9.625" style="30" customWidth="1"/>
    <col min="15207" max="15207" width="13.625" style="30" customWidth="1"/>
    <col min="15208" max="15208" width="11.5" style="30" customWidth="1"/>
    <col min="15209" max="15209" width="11.75" style="30" customWidth="1"/>
    <col min="15210" max="15210" width="9.875" style="30" customWidth="1"/>
    <col min="15211" max="15211" width="9" style="30" customWidth="1"/>
    <col min="15212" max="15212" width="9.625" style="30" bestFit="1" customWidth="1"/>
    <col min="15213" max="15213" width="12.625" style="30" customWidth="1"/>
    <col min="15214" max="15214" width="12.375" style="30" customWidth="1"/>
    <col min="15215" max="15215" width="11.625" style="30" customWidth="1"/>
    <col min="15216" max="15217" width="14.125" style="30" customWidth="1"/>
    <col min="15218" max="15218" width="9.125" style="30" customWidth="1"/>
    <col min="15219" max="15219" width="10.5" style="30" bestFit="1" customWidth="1"/>
    <col min="15220" max="15220" width="9.625" style="30" customWidth="1"/>
    <col min="15221" max="15221" width="14.25" style="30" customWidth="1"/>
    <col min="15222" max="15222" width="11.875" style="30" customWidth="1"/>
    <col min="15223" max="15223" width="11" style="30" customWidth="1"/>
    <col min="15224" max="15224" width="11.75" style="30" customWidth="1"/>
    <col min="15225" max="15225" width="11.25" style="30" customWidth="1"/>
    <col min="15226" max="15226" width="9.625" style="30" bestFit="1" customWidth="1"/>
    <col min="15227" max="15227" width="9.625" style="30" customWidth="1"/>
    <col min="15228" max="15228" width="14.125" style="30" customWidth="1"/>
    <col min="15229" max="15229" width="11.125" style="30" customWidth="1"/>
    <col min="15230" max="15230" width="11.25" style="30" customWidth="1"/>
    <col min="15231" max="15231" width="12" style="30" customWidth="1"/>
    <col min="15232" max="15232" width="8.75" style="30" customWidth="1"/>
    <col min="15233" max="15233" width="9.625" style="30" bestFit="1" customWidth="1"/>
    <col min="15234" max="15234" width="9.625" style="30" customWidth="1"/>
    <col min="15235" max="15236" width="11.25" style="30" customWidth="1"/>
    <col min="15237" max="15237" width="12" style="30" customWidth="1"/>
    <col min="15238" max="15239" width="10.625" style="30" customWidth="1"/>
    <col min="15240" max="15240" width="11" style="30" customWidth="1"/>
    <col min="15241" max="15241" width="10.625" style="30" customWidth="1"/>
    <col min="15242" max="15242" width="12.375" style="30" customWidth="1"/>
    <col min="15243" max="15243" width="12" style="30" customWidth="1"/>
    <col min="15244" max="15244" width="11.625" style="30" customWidth="1"/>
    <col min="15245" max="15245" width="10.5" style="30" customWidth="1"/>
    <col min="15246" max="15246" width="8.625" style="30" customWidth="1"/>
    <col min="15247" max="15247" width="11.25" style="30" customWidth="1"/>
    <col min="15248" max="15248" width="9.875" style="30" customWidth="1"/>
    <col min="15249" max="15249" width="11.125" style="30" customWidth="1"/>
    <col min="15250" max="15250" width="11.625" style="30" customWidth="1"/>
    <col min="15251" max="15251" width="12.625" style="30" customWidth="1"/>
    <col min="15252" max="15252" width="11.5" style="30" customWidth="1"/>
    <col min="15253" max="15253" width="9.375" style="30"/>
    <col min="15254" max="15254" width="13.125" style="30" customWidth="1"/>
    <col min="15255" max="15255" width="9.5" style="30" customWidth="1"/>
    <col min="15256" max="15256" width="11.625" style="30" customWidth="1"/>
    <col min="15257" max="15257" width="11.5" style="30" customWidth="1"/>
    <col min="15258" max="15258" width="9.625" style="30" customWidth="1"/>
    <col min="15259" max="15259" width="9.25" style="30" customWidth="1"/>
    <col min="15260" max="15260" width="8.75" style="30" customWidth="1"/>
    <col min="15261" max="15261" width="9" style="30" customWidth="1"/>
    <col min="15262" max="15262" width="8.625" style="30" customWidth="1"/>
    <col min="15263" max="15263" width="11.125" style="30" customWidth="1"/>
    <col min="15264" max="15264" width="11.25" style="30" customWidth="1"/>
    <col min="15265" max="15265" width="11.5" style="30" customWidth="1"/>
    <col min="15266" max="15267" width="9" style="30" customWidth="1"/>
    <col min="15268" max="15268" width="9.875" style="30" customWidth="1"/>
    <col min="15269" max="15269" width="9.25" style="30" customWidth="1"/>
    <col min="15270" max="15270" width="11.125" style="30" customWidth="1"/>
    <col min="15271" max="15271" width="11.375" style="30" customWidth="1"/>
    <col min="15272" max="15272" width="10.875" style="30" customWidth="1"/>
    <col min="15273" max="15273" width="8.375" style="30" customWidth="1"/>
    <col min="15274" max="15274" width="9.125" style="30" customWidth="1"/>
    <col min="15275" max="15276" width="9" style="30" customWidth="1"/>
    <col min="15277" max="15277" width="10.75" style="30" customWidth="1"/>
    <col min="15278" max="15278" width="10.625" style="30" customWidth="1"/>
    <col min="15279" max="15279" width="10.25" style="30" customWidth="1"/>
    <col min="15280" max="15280" width="8.125" style="30" customWidth="1"/>
    <col min="15281" max="15283" width="9" style="30" customWidth="1"/>
    <col min="15284" max="15284" width="11.375" style="30" customWidth="1"/>
    <col min="15285" max="15285" width="11.125" style="30" customWidth="1"/>
    <col min="15286" max="15286" width="14.5" style="30" customWidth="1"/>
    <col min="15287" max="15287" width="10.875" style="30" customWidth="1"/>
    <col min="15288" max="15288" width="8.5" style="30" customWidth="1"/>
    <col min="15289" max="15289" width="10.375" style="30" customWidth="1"/>
    <col min="15290" max="15290" width="9" style="30" customWidth="1"/>
    <col min="15291" max="15291" width="12" style="30" customWidth="1"/>
    <col min="15292" max="15299" width="10.875" style="30" customWidth="1"/>
    <col min="15300" max="15300" width="10.5" style="30" customWidth="1"/>
    <col min="15301" max="15301" width="11.875" style="30" customWidth="1"/>
    <col min="15302" max="15302" width="10.875" style="30" customWidth="1"/>
    <col min="15303" max="15304" width="9" style="30" customWidth="1"/>
    <col min="15305" max="15305" width="12.125" style="30" customWidth="1"/>
    <col min="15306" max="15306" width="9.625" style="30" customWidth="1"/>
    <col min="15307" max="15308" width="9" style="30" customWidth="1"/>
    <col min="15309" max="15309" width="12.625" style="30" customWidth="1"/>
    <col min="15310" max="15310" width="11" style="30" customWidth="1"/>
    <col min="15311" max="15311" width="11.75" style="30" bestFit="1" customWidth="1"/>
    <col min="15312" max="15312" width="11.875" style="30" customWidth="1"/>
    <col min="15313" max="15314" width="9" style="30" customWidth="1"/>
    <col min="15315" max="15315" width="12.25" style="30" customWidth="1"/>
    <col min="15316" max="15316" width="10.875" style="30" customWidth="1"/>
    <col min="15317" max="15317" width="9" style="30" customWidth="1"/>
    <col min="15318" max="15318" width="10.875" style="30" customWidth="1"/>
    <col min="15319" max="15319" width="10.5" style="30" customWidth="1"/>
    <col min="15320" max="15321" width="9" style="30" customWidth="1"/>
    <col min="15322" max="15322" width="12.625" style="30" customWidth="1"/>
    <col min="15323" max="15324" width="9" style="30" customWidth="1"/>
    <col min="15325" max="15325" width="12" style="30" customWidth="1"/>
    <col min="15326" max="15342" width="9" style="30" customWidth="1"/>
    <col min="15343" max="15343" width="12.375" style="30" customWidth="1"/>
    <col min="15344" max="15344" width="12.5" style="30" customWidth="1"/>
    <col min="15345" max="15345" width="11.875" style="30" customWidth="1"/>
    <col min="15346" max="15346" width="11.625" style="30" customWidth="1"/>
    <col min="15347" max="15347" width="12.125" style="30" customWidth="1"/>
    <col min="15348" max="15349" width="10.5" style="30" bestFit="1" customWidth="1"/>
    <col min="15350" max="15350" width="10.625" style="30" bestFit="1" customWidth="1"/>
    <col min="15351" max="15358" width="10.5" style="30" bestFit="1" customWidth="1"/>
    <col min="15359" max="15359" width="10.5" style="30" customWidth="1"/>
    <col min="15360" max="15360" width="10.5" style="30" bestFit="1" customWidth="1"/>
    <col min="15361" max="15361" width="11.5" style="30" customWidth="1"/>
    <col min="15362" max="15362" width="9.5" style="30" bestFit="1" customWidth="1"/>
    <col min="15363" max="15373" width="10.5" style="30" bestFit="1" customWidth="1"/>
    <col min="15374" max="15374" width="12.75" style="30" bestFit="1" customWidth="1"/>
    <col min="15375" max="15379" width="10.5" style="30" bestFit="1" customWidth="1"/>
    <col min="15380" max="15381" width="9.375" style="30"/>
    <col min="15382" max="15382" width="8.5" style="30" customWidth="1"/>
    <col min="15383" max="15383" width="8" style="30" customWidth="1"/>
    <col min="15384" max="15384" width="21.25" style="30" customWidth="1"/>
    <col min="15385" max="15385" width="16.25" style="30" customWidth="1"/>
    <col min="15386" max="15386" width="11.625" style="30" customWidth="1"/>
    <col min="15387" max="15387" width="13.625" style="30" customWidth="1"/>
    <col min="15388" max="15388" width="12.875" style="30" customWidth="1"/>
    <col min="15389" max="15389" width="15.5" style="30" customWidth="1"/>
    <col min="15390" max="15391" width="13.375" style="30" customWidth="1"/>
    <col min="15392" max="15392" width="14.375" style="30" customWidth="1"/>
    <col min="15393" max="15393" width="11.875" style="30" customWidth="1"/>
    <col min="15394" max="15395" width="14.25" style="30" customWidth="1"/>
    <col min="15396" max="15396" width="8.625" style="30" customWidth="1"/>
    <col min="15397" max="15397" width="10.625" style="30" customWidth="1"/>
    <col min="15398" max="15398" width="9.875" style="30" customWidth="1"/>
    <col min="15399" max="15399" width="14" style="30" customWidth="1"/>
    <col min="15400" max="15400" width="10.875" style="30" customWidth="1"/>
    <col min="15401" max="15401" width="12.375" style="30" customWidth="1"/>
    <col min="15402" max="15402" width="12" style="30" customWidth="1"/>
    <col min="15403" max="15403" width="13.625" style="30" customWidth="1"/>
    <col min="15404" max="15404" width="10" style="30" customWidth="1"/>
    <col min="15405" max="15405" width="9.625" style="30" customWidth="1"/>
    <col min="15406" max="15406" width="11.75" style="30" customWidth="1"/>
    <col min="15407" max="15407" width="11.375" style="30" customWidth="1"/>
    <col min="15408" max="15408" width="12.875" style="30" customWidth="1"/>
    <col min="15409" max="15409" width="13" style="30" customWidth="1"/>
    <col min="15410" max="15410" width="8.875" style="30" customWidth="1"/>
    <col min="15411" max="15411" width="13.125" style="30" customWidth="1"/>
    <col min="15412" max="15412" width="9.625" style="30" customWidth="1"/>
    <col min="15413" max="15413" width="12.875" style="30" customWidth="1"/>
    <col min="15414" max="15414" width="11.5" style="30" customWidth="1"/>
    <col min="15415" max="15415" width="9.75" style="30" customWidth="1"/>
    <col min="15416" max="15416" width="13.375" style="30" customWidth="1"/>
    <col min="15417" max="15417" width="12.125" style="30" customWidth="1"/>
    <col min="15418" max="15418" width="10.25" style="30" customWidth="1"/>
    <col min="15419" max="15419" width="11.625" style="30" bestFit="1" customWidth="1"/>
    <col min="15420" max="15420" width="9.875" style="30" customWidth="1"/>
    <col min="15421" max="15421" width="13.375" style="30" customWidth="1"/>
    <col min="15422" max="15422" width="11.5" style="30" customWidth="1"/>
    <col min="15423" max="15423" width="12" style="30" customWidth="1"/>
    <col min="15424" max="15424" width="9.125" style="30" customWidth="1"/>
    <col min="15425" max="15425" width="9" style="30" customWidth="1"/>
    <col min="15426" max="15426" width="12.875" style="30" bestFit="1" customWidth="1"/>
    <col min="15427" max="15428" width="12" style="30" customWidth="1"/>
    <col min="15429" max="15429" width="11.875" style="30" customWidth="1"/>
    <col min="15430" max="15430" width="11" style="30" customWidth="1"/>
    <col min="15431" max="15431" width="11.625" style="30" customWidth="1"/>
    <col min="15432" max="15432" width="8.875" style="30" customWidth="1"/>
    <col min="15433" max="15433" width="11.625" style="30" bestFit="1" customWidth="1"/>
    <col min="15434" max="15434" width="9.625" style="30" customWidth="1"/>
    <col min="15435" max="15435" width="12.125" style="30" customWidth="1"/>
    <col min="15436" max="15436" width="11.875" style="30" customWidth="1"/>
    <col min="15437" max="15437" width="13.375" style="30" customWidth="1"/>
    <col min="15438" max="15438" width="11.5" style="30" customWidth="1"/>
    <col min="15439" max="15439" width="9.25" style="30" customWidth="1"/>
    <col min="15440" max="15440" width="11.625" style="30" bestFit="1" customWidth="1"/>
    <col min="15441" max="15441" width="10.625" style="30" customWidth="1"/>
    <col min="15442" max="15442" width="12" style="30" customWidth="1"/>
    <col min="15443" max="15443" width="11.625" style="30" customWidth="1"/>
    <col min="15444" max="15444" width="14" style="30" customWidth="1"/>
    <col min="15445" max="15445" width="11.125" style="30" customWidth="1"/>
    <col min="15446" max="15446" width="9.75" style="30" customWidth="1"/>
    <col min="15447" max="15447" width="11.625" style="30" bestFit="1" customWidth="1"/>
    <col min="15448" max="15448" width="10.125" style="30" customWidth="1"/>
    <col min="15449" max="15449" width="11.625" style="30" customWidth="1"/>
    <col min="15450" max="15450" width="11.375" style="30" customWidth="1"/>
    <col min="15451" max="15451" width="12.375" style="30" customWidth="1"/>
    <col min="15452" max="15453" width="10.875" style="30" customWidth="1"/>
    <col min="15454" max="15454" width="10.5" style="30" bestFit="1" customWidth="1"/>
    <col min="15455" max="15455" width="9.625" style="30" customWidth="1"/>
    <col min="15456" max="15456" width="11.875" style="30" customWidth="1"/>
    <col min="15457" max="15457" width="11.75" style="30" customWidth="1"/>
    <col min="15458" max="15458" width="14.125" style="30" customWidth="1"/>
    <col min="15459" max="15459" width="13.125" style="30" customWidth="1"/>
    <col min="15460" max="15460" width="8.75" style="30" customWidth="1"/>
    <col min="15461" max="15461" width="11.5" style="30" bestFit="1" customWidth="1"/>
    <col min="15462" max="15462" width="9.625" style="30" customWidth="1"/>
    <col min="15463" max="15463" width="13.625" style="30" customWidth="1"/>
    <col min="15464" max="15464" width="11.5" style="30" customWidth="1"/>
    <col min="15465" max="15465" width="11.75" style="30" customWidth="1"/>
    <col min="15466" max="15466" width="9.875" style="30" customWidth="1"/>
    <col min="15467" max="15467" width="9" style="30" customWidth="1"/>
    <col min="15468" max="15468" width="9.625" style="30" bestFit="1" customWidth="1"/>
    <col min="15469" max="15469" width="12.625" style="30" customWidth="1"/>
    <col min="15470" max="15470" width="12.375" style="30" customWidth="1"/>
    <col min="15471" max="15471" width="11.625" style="30" customWidth="1"/>
    <col min="15472" max="15473" width="14.125" style="30" customWidth="1"/>
    <col min="15474" max="15474" width="9.125" style="30" customWidth="1"/>
    <col min="15475" max="15475" width="10.5" style="30" bestFit="1" customWidth="1"/>
    <col min="15476" max="15476" width="9.625" style="30" customWidth="1"/>
    <col min="15477" max="15477" width="14.25" style="30" customWidth="1"/>
    <col min="15478" max="15478" width="11.875" style="30" customWidth="1"/>
    <col min="15479" max="15479" width="11" style="30" customWidth="1"/>
    <col min="15480" max="15480" width="11.75" style="30" customWidth="1"/>
    <col min="15481" max="15481" width="11.25" style="30" customWidth="1"/>
    <col min="15482" max="15482" width="9.625" style="30" bestFit="1" customWidth="1"/>
    <col min="15483" max="15483" width="9.625" style="30" customWidth="1"/>
    <col min="15484" max="15484" width="14.125" style="30" customWidth="1"/>
    <col min="15485" max="15485" width="11.125" style="30" customWidth="1"/>
    <col min="15486" max="15486" width="11.25" style="30" customWidth="1"/>
    <col min="15487" max="15487" width="12" style="30" customWidth="1"/>
    <col min="15488" max="15488" width="8.75" style="30" customWidth="1"/>
    <col min="15489" max="15489" width="9.625" style="30" bestFit="1" customWidth="1"/>
    <col min="15490" max="15490" width="9.625" style="30" customWidth="1"/>
    <col min="15491" max="15492" width="11.25" style="30" customWidth="1"/>
    <col min="15493" max="15493" width="12" style="30" customWidth="1"/>
    <col min="15494" max="15495" width="10.625" style="30" customWidth="1"/>
    <col min="15496" max="15496" width="11" style="30" customWidth="1"/>
    <col min="15497" max="15497" width="10.625" style="30" customWidth="1"/>
    <col min="15498" max="15498" width="12.375" style="30" customWidth="1"/>
    <col min="15499" max="15499" width="12" style="30" customWidth="1"/>
    <col min="15500" max="15500" width="11.625" style="30" customWidth="1"/>
    <col min="15501" max="15501" width="10.5" style="30" customWidth="1"/>
    <col min="15502" max="15502" width="8.625" style="30" customWidth="1"/>
    <col min="15503" max="15503" width="11.25" style="30" customWidth="1"/>
    <col min="15504" max="15504" width="9.875" style="30" customWidth="1"/>
    <col min="15505" max="15505" width="11.125" style="30" customWidth="1"/>
    <col min="15506" max="15506" width="11.625" style="30" customWidth="1"/>
    <col min="15507" max="15507" width="12.625" style="30" customWidth="1"/>
    <col min="15508" max="15508" width="11.5" style="30" customWidth="1"/>
    <col min="15509" max="15509" width="9.375" style="30"/>
    <col min="15510" max="15510" width="13.125" style="30" customWidth="1"/>
    <col min="15511" max="15511" width="9.5" style="30" customWidth="1"/>
    <col min="15512" max="15512" width="11.625" style="30" customWidth="1"/>
    <col min="15513" max="15513" width="11.5" style="30" customWidth="1"/>
    <col min="15514" max="15514" width="9.625" style="30" customWidth="1"/>
    <col min="15515" max="15515" width="9.25" style="30" customWidth="1"/>
    <col min="15516" max="15516" width="8.75" style="30" customWidth="1"/>
    <col min="15517" max="15517" width="9" style="30" customWidth="1"/>
    <col min="15518" max="15518" width="8.625" style="30" customWidth="1"/>
    <col min="15519" max="15519" width="11.125" style="30" customWidth="1"/>
    <col min="15520" max="15520" width="11.25" style="30" customWidth="1"/>
    <col min="15521" max="15521" width="11.5" style="30" customWidth="1"/>
    <col min="15522" max="15523" width="9" style="30" customWidth="1"/>
    <col min="15524" max="15524" width="9.875" style="30" customWidth="1"/>
    <col min="15525" max="15525" width="9.25" style="30" customWidth="1"/>
    <col min="15526" max="15526" width="11.125" style="30" customWidth="1"/>
    <col min="15527" max="15527" width="11.375" style="30" customWidth="1"/>
    <col min="15528" max="15528" width="10.875" style="30" customWidth="1"/>
    <col min="15529" max="15529" width="8.375" style="30" customWidth="1"/>
    <col min="15530" max="15530" width="9.125" style="30" customWidth="1"/>
    <col min="15531" max="15532" width="9" style="30" customWidth="1"/>
    <col min="15533" max="15533" width="10.75" style="30" customWidth="1"/>
    <col min="15534" max="15534" width="10.625" style="30" customWidth="1"/>
    <col min="15535" max="15535" width="10.25" style="30" customWidth="1"/>
    <col min="15536" max="15536" width="8.125" style="30" customWidth="1"/>
    <col min="15537" max="15539" width="9" style="30" customWidth="1"/>
    <col min="15540" max="15540" width="11.375" style="30" customWidth="1"/>
    <col min="15541" max="15541" width="11.125" style="30" customWidth="1"/>
    <col min="15542" max="15542" width="14.5" style="30" customWidth="1"/>
    <col min="15543" max="15543" width="10.875" style="30" customWidth="1"/>
    <col min="15544" max="15544" width="8.5" style="30" customWidth="1"/>
    <col min="15545" max="15545" width="10.375" style="30" customWidth="1"/>
    <col min="15546" max="15546" width="9" style="30" customWidth="1"/>
    <col min="15547" max="15547" width="12" style="30" customWidth="1"/>
    <col min="15548" max="15555" width="10.875" style="30" customWidth="1"/>
    <col min="15556" max="15556" width="10.5" style="30" customWidth="1"/>
    <col min="15557" max="15557" width="11.875" style="30" customWidth="1"/>
    <col min="15558" max="15558" width="10.875" style="30" customWidth="1"/>
    <col min="15559" max="15560" width="9" style="30" customWidth="1"/>
    <col min="15561" max="15561" width="12.125" style="30" customWidth="1"/>
    <col min="15562" max="15562" width="9.625" style="30" customWidth="1"/>
    <col min="15563" max="15564" width="9" style="30" customWidth="1"/>
    <col min="15565" max="15565" width="12.625" style="30" customWidth="1"/>
    <col min="15566" max="15566" width="11" style="30" customWidth="1"/>
    <col min="15567" max="15567" width="11.75" style="30" bestFit="1" customWidth="1"/>
    <col min="15568" max="15568" width="11.875" style="30" customWidth="1"/>
    <col min="15569" max="15570" width="9" style="30" customWidth="1"/>
    <col min="15571" max="15571" width="12.25" style="30" customWidth="1"/>
    <col min="15572" max="15572" width="10.875" style="30" customWidth="1"/>
    <col min="15573" max="15573" width="9" style="30" customWidth="1"/>
    <col min="15574" max="15574" width="10.875" style="30" customWidth="1"/>
    <col min="15575" max="15575" width="10.5" style="30" customWidth="1"/>
    <col min="15576" max="15577" width="9" style="30" customWidth="1"/>
    <col min="15578" max="15578" width="12.625" style="30" customWidth="1"/>
    <col min="15579" max="15580" width="9" style="30" customWidth="1"/>
    <col min="15581" max="15581" width="12" style="30" customWidth="1"/>
    <col min="15582" max="15598" width="9" style="30" customWidth="1"/>
    <col min="15599" max="15599" width="12.375" style="30" customWidth="1"/>
    <col min="15600" max="15600" width="12.5" style="30" customWidth="1"/>
    <col min="15601" max="15601" width="11.875" style="30" customWidth="1"/>
    <col min="15602" max="15602" width="11.625" style="30" customWidth="1"/>
    <col min="15603" max="15603" width="12.125" style="30" customWidth="1"/>
    <col min="15604" max="15605" width="10.5" style="30" bestFit="1" customWidth="1"/>
    <col min="15606" max="15606" width="10.625" style="30" bestFit="1" customWidth="1"/>
    <col min="15607" max="15614" width="10.5" style="30" bestFit="1" customWidth="1"/>
    <col min="15615" max="15615" width="10.5" style="30" customWidth="1"/>
    <col min="15616" max="15616" width="10.5" style="30" bestFit="1" customWidth="1"/>
    <col min="15617" max="15617" width="11.5" style="30" customWidth="1"/>
    <col min="15618" max="15618" width="9.5" style="30" bestFit="1" customWidth="1"/>
    <col min="15619" max="15629" width="10.5" style="30" bestFit="1" customWidth="1"/>
    <col min="15630" max="15630" width="12.75" style="30" bestFit="1" customWidth="1"/>
    <col min="15631" max="15635" width="10.5" style="30" bestFit="1" customWidth="1"/>
    <col min="15636" max="15637" width="9.375" style="30"/>
    <col min="15638" max="15638" width="8.5" style="30" customWidth="1"/>
    <col min="15639" max="15639" width="8" style="30" customWidth="1"/>
    <col min="15640" max="15640" width="21.25" style="30" customWidth="1"/>
    <col min="15641" max="15641" width="16.25" style="30" customWidth="1"/>
    <col min="15642" max="15642" width="11.625" style="30" customWidth="1"/>
    <col min="15643" max="15643" width="13.625" style="30" customWidth="1"/>
    <col min="15644" max="15644" width="12.875" style="30" customWidth="1"/>
    <col min="15645" max="15645" width="15.5" style="30" customWidth="1"/>
    <col min="15646" max="15647" width="13.375" style="30" customWidth="1"/>
    <col min="15648" max="15648" width="14.375" style="30" customWidth="1"/>
    <col min="15649" max="15649" width="11.875" style="30" customWidth="1"/>
    <col min="15650" max="15651" width="14.25" style="30" customWidth="1"/>
    <col min="15652" max="15652" width="8.625" style="30" customWidth="1"/>
    <col min="15653" max="15653" width="10.625" style="30" customWidth="1"/>
    <col min="15654" max="15654" width="9.875" style="30" customWidth="1"/>
    <col min="15655" max="15655" width="14" style="30" customWidth="1"/>
    <col min="15656" max="15656" width="10.875" style="30" customWidth="1"/>
    <col min="15657" max="15657" width="12.375" style="30" customWidth="1"/>
    <col min="15658" max="15658" width="12" style="30" customWidth="1"/>
    <col min="15659" max="15659" width="13.625" style="30" customWidth="1"/>
    <col min="15660" max="15660" width="10" style="30" customWidth="1"/>
    <col min="15661" max="15661" width="9.625" style="30" customWidth="1"/>
    <col min="15662" max="15662" width="11.75" style="30" customWidth="1"/>
    <col min="15663" max="15663" width="11.375" style="30" customWidth="1"/>
    <col min="15664" max="15664" width="12.875" style="30" customWidth="1"/>
    <col min="15665" max="15665" width="13" style="30" customWidth="1"/>
    <col min="15666" max="15666" width="8.875" style="30" customWidth="1"/>
    <col min="15667" max="15667" width="13.125" style="30" customWidth="1"/>
    <col min="15668" max="15668" width="9.625" style="30" customWidth="1"/>
    <col min="15669" max="15669" width="12.875" style="30" customWidth="1"/>
    <col min="15670" max="15670" width="11.5" style="30" customWidth="1"/>
    <col min="15671" max="15671" width="9.75" style="30" customWidth="1"/>
    <col min="15672" max="15672" width="13.375" style="30" customWidth="1"/>
    <col min="15673" max="15673" width="12.125" style="30" customWidth="1"/>
    <col min="15674" max="15674" width="10.25" style="30" customWidth="1"/>
    <col min="15675" max="15675" width="11.625" style="30" bestFit="1" customWidth="1"/>
    <col min="15676" max="15676" width="9.875" style="30" customWidth="1"/>
    <col min="15677" max="15677" width="13.375" style="30" customWidth="1"/>
    <col min="15678" max="15678" width="11.5" style="30" customWidth="1"/>
    <col min="15679" max="15679" width="12" style="30" customWidth="1"/>
    <col min="15680" max="15680" width="9.125" style="30" customWidth="1"/>
    <col min="15681" max="15681" width="9" style="30" customWidth="1"/>
    <col min="15682" max="15682" width="12.875" style="30" bestFit="1" customWidth="1"/>
    <col min="15683" max="15684" width="12" style="30" customWidth="1"/>
    <col min="15685" max="15685" width="11.875" style="30" customWidth="1"/>
    <col min="15686" max="15686" width="11" style="30" customWidth="1"/>
    <col min="15687" max="15687" width="11.625" style="30" customWidth="1"/>
    <col min="15688" max="15688" width="8.875" style="30" customWidth="1"/>
    <col min="15689" max="15689" width="11.625" style="30" bestFit="1" customWidth="1"/>
    <col min="15690" max="15690" width="9.625" style="30" customWidth="1"/>
    <col min="15691" max="15691" width="12.125" style="30" customWidth="1"/>
    <col min="15692" max="15692" width="11.875" style="30" customWidth="1"/>
    <col min="15693" max="15693" width="13.375" style="30" customWidth="1"/>
    <col min="15694" max="15694" width="11.5" style="30" customWidth="1"/>
    <col min="15695" max="15695" width="9.25" style="30" customWidth="1"/>
    <col min="15696" max="15696" width="11.625" style="30" bestFit="1" customWidth="1"/>
    <col min="15697" max="15697" width="10.625" style="30" customWidth="1"/>
    <col min="15698" max="15698" width="12" style="30" customWidth="1"/>
    <col min="15699" max="15699" width="11.625" style="30" customWidth="1"/>
    <col min="15700" max="15700" width="14" style="30" customWidth="1"/>
    <col min="15701" max="15701" width="11.125" style="30" customWidth="1"/>
    <col min="15702" max="15702" width="9.75" style="30" customWidth="1"/>
    <col min="15703" max="15703" width="11.625" style="30" bestFit="1" customWidth="1"/>
    <col min="15704" max="15704" width="10.125" style="30" customWidth="1"/>
    <col min="15705" max="15705" width="11.625" style="30" customWidth="1"/>
    <col min="15706" max="15706" width="11.375" style="30" customWidth="1"/>
    <col min="15707" max="15707" width="12.375" style="30" customWidth="1"/>
    <col min="15708" max="15709" width="10.875" style="30" customWidth="1"/>
    <col min="15710" max="15710" width="10.5" style="30" bestFit="1" customWidth="1"/>
    <col min="15711" max="15711" width="9.625" style="30" customWidth="1"/>
    <col min="15712" max="15712" width="11.875" style="30" customWidth="1"/>
    <col min="15713" max="15713" width="11.75" style="30" customWidth="1"/>
    <col min="15714" max="15714" width="14.125" style="30" customWidth="1"/>
    <col min="15715" max="15715" width="13.125" style="30" customWidth="1"/>
    <col min="15716" max="15716" width="8.75" style="30" customWidth="1"/>
    <col min="15717" max="15717" width="11.5" style="30" bestFit="1" customWidth="1"/>
    <col min="15718" max="15718" width="9.625" style="30" customWidth="1"/>
    <col min="15719" max="15719" width="13.625" style="30" customWidth="1"/>
    <col min="15720" max="15720" width="11.5" style="30" customWidth="1"/>
    <col min="15721" max="15721" width="11.75" style="30" customWidth="1"/>
    <col min="15722" max="15722" width="9.875" style="30" customWidth="1"/>
    <col min="15723" max="15723" width="9" style="30" customWidth="1"/>
    <col min="15724" max="15724" width="9.625" style="30" bestFit="1" customWidth="1"/>
    <col min="15725" max="15725" width="12.625" style="30" customWidth="1"/>
    <col min="15726" max="15726" width="12.375" style="30" customWidth="1"/>
    <col min="15727" max="15727" width="11.625" style="30" customWidth="1"/>
    <col min="15728" max="15729" width="14.125" style="30" customWidth="1"/>
    <col min="15730" max="15730" width="9.125" style="30" customWidth="1"/>
    <col min="15731" max="15731" width="10.5" style="30" bestFit="1" customWidth="1"/>
    <col min="15732" max="15732" width="9.625" style="30" customWidth="1"/>
    <col min="15733" max="15733" width="14.25" style="30" customWidth="1"/>
    <col min="15734" max="15734" width="11.875" style="30" customWidth="1"/>
    <col min="15735" max="15735" width="11" style="30" customWidth="1"/>
    <col min="15736" max="15736" width="11.75" style="30" customWidth="1"/>
    <col min="15737" max="15737" width="11.25" style="30" customWidth="1"/>
    <col min="15738" max="15738" width="9.625" style="30" bestFit="1" customWidth="1"/>
    <col min="15739" max="15739" width="9.625" style="30" customWidth="1"/>
    <col min="15740" max="15740" width="14.125" style="30" customWidth="1"/>
    <col min="15741" max="15741" width="11.125" style="30" customWidth="1"/>
    <col min="15742" max="15742" width="11.25" style="30" customWidth="1"/>
    <col min="15743" max="15743" width="12" style="30" customWidth="1"/>
    <col min="15744" max="15744" width="8.75" style="30" customWidth="1"/>
    <col min="15745" max="15745" width="9.625" style="30" bestFit="1" customWidth="1"/>
    <col min="15746" max="15746" width="9.625" style="30" customWidth="1"/>
    <col min="15747" max="15748" width="11.25" style="30" customWidth="1"/>
    <col min="15749" max="15749" width="12" style="30" customWidth="1"/>
    <col min="15750" max="15751" width="10.625" style="30" customWidth="1"/>
    <col min="15752" max="15752" width="11" style="30" customWidth="1"/>
    <col min="15753" max="15753" width="10.625" style="30" customWidth="1"/>
    <col min="15754" max="15754" width="12.375" style="30" customWidth="1"/>
    <col min="15755" max="15755" width="12" style="30" customWidth="1"/>
    <col min="15756" max="15756" width="11.625" style="30" customWidth="1"/>
    <col min="15757" max="15757" width="10.5" style="30" customWidth="1"/>
    <col min="15758" max="15758" width="8.625" style="30" customWidth="1"/>
    <col min="15759" max="15759" width="11.25" style="30" customWidth="1"/>
    <col min="15760" max="15760" width="9.875" style="30" customWidth="1"/>
    <col min="15761" max="15761" width="11.125" style="30" customWidth="1"/>
    <col min="15762" max="15762" width="11.625" style="30" customWidth="1"/>
    <col min="15763" max="15763" width="12.625" style="30" customWidth="1"/>
    <col min="15764" max="15764" width="11.5" style="30" customWidth="1"/>
    <col min="15765" max="15765" width="9.375" style="30"/>
    <col min="15766" max="15766" width="13.125" style="30" customWidth="1"/>
    <col min="15767" max="15767" width="9.5" style="30" customWidth="1"/>
    <col min="15768" max="15768" width="11.625" style="30" customWidth="1"/>
    <col min="15769" max="15769" width="11.5" style="30" customWidth="1"/>
    <col min="15770" max="15770" width="9.625" style="30" customWidth="1"/>
    <col min="15771" max="15771" width="9.25" style="30" customWidth="1"/>
    <col min="15772" max="15772" width="8.75" style="30" customWidth="1"/>
    <col min="15773" max="15773" width="9" style="30" customWidth="1"/>
    <col min="15774" max="15774" width="8.625" style="30" customWidth="1"/>
    <col min="15775" max="15775" width="11.125" style="30" customWidth="1"/>
    <col min="15776" max="15776" width="11.25" style="30" customWidth="1"/>
    <col min="15777" max="15777" width="11.5" style="30" customWidth="1"/>
    <col min="15778" max="15779" width="9" style="30" customWidth="1"/>
    <col min="15780" max="15780" width="9.875" style="30" customWidth="1"/>
    <col min="15781" max="15781" width="9.25" style="30" customWidth="1"/>
    <col min="15782" max="15782" width="11.125" style="30" customWidth="1"/>
    <col min="15783" max="15783" width="11.375" style="30" customWidth="1"/>
    <col min="15784" max="15784" width="10.875" style="30" customWidth="1"/>
    <col min="15785" max="15785" width="8.375" style="30" customWidth="1"/>
    <col min="15786" max="15786" width="9.125" style="30" customWidth="1"/>
    <col min="15787" max="15788" width="9" style="30" customWidth="1"/>
    <col min="15789" max="15789" width="10.75" style="30" customWidth="1"/>
    <col min="15790" max="15790" width="10.625" style="30" customWidth="1"/>
    <col min="15791" max="15791" width="10.25" style="30" customWidth="1"/>
    <col min="15792" max="15792" width="8.125" style="30" customWidth="1"/>
    <col min="15793" max="15795" width="9" style="30" customWidth="1"/>
    <col min="15796" max="15796" width="11.375" style="30" customWidth="1"/>
    <col min="15797" max="15797" width="11.125" style="30" customWidth="1"/>
    <col min="15798" max="15798" width="14.5" style="30" customWidth="1"/>
    <col min="15799" max="15799" width="10.875" style="30" customWidth="1"/>
    <col min="15800" max="15800" width="8.5" style="30" customWidth="1"/>
    <col min="15801" max="15801" width="10.375" style="30" customWidth="1"/>
    <col min="15802" max="15802" width="9" style="30" customWidth="1"/>
    <col min="15803" max="15803" width="12" style="30" customWidth="1"/>
    <col min="15804" max="15811" width="10.875" style="30" customWidth="1"/>
    <col min="15812" max="15812" width="10.5" style="30" customWidth="1"/>
    <col min="15813" max="15813" width="11.875" style="30" customWidth="1"/>
    <col min="15814" max="15814" width="10.875" style="30" customWidth="1"/>
    <col min="15815" max="15816" width="9" style="30" customWidth="1"/>
    <col min="15817" max="15817" width="12.125" style="30" customWidth="1"/>
    <col min="15818" max="15818" width="9.625" style="30" customWidth="1"/>
    <col min="15819" max="15820" width="9" style="30" customWidth="1"/>
    <col min="15821" max="15821" width="12.625" style="30" customWidth="1"/>
    <col min="15822" max="15822" width="11" style="30" customWidth="1"/>
    <col min="15823" max="15823" width="11.75" style="30" bestFit="1" customWidth="1"/>
    <col min="15824" max="15824" width="11.875" style="30" customWidth="1"/>
    <col min="15825" max="15826" width="9" style="30" customWidth="1"/>
    <col min="15827" max="15827" width="12.25" style="30" customWidth="1"/>
    <col min="15828" max="15828" width="10.875" style="30" customWidth="1"/>
    <col min="15829" max="15829" width="9" style="30" customWidth="1"/>
    <col min="15830" max="15830" width="10.875" style="30" customWidth="1"/>
    <col min="15831" max="15831" width="10.5" style="30" customWidth="1"/>
    <col min="15832" max="15833" width="9" style="30" customWidth="1"/>
    <col min="15834" max="15834" width="12.625" style="30" customWidth="1"/>
    <col min="15835" max="15836" width="9" style="30" customWidth="1"/>
    <col min="15837" max="15837" width="12" style="30" customWidth="1"/>
    <col min="15838" max="15854" width="9" style="30" customWidth="1"/>
    <col min="15855" max="15855" width="12.375" style="30" customWidth="1"/>
    <col min="15856" max="15856" width="12.5" style="30" customWidth="1"/>
    <col min="15857" max="15857" width="11.875" style="30" customWidth="1"/>
    <col min="15858" max="15858" width="11.625" style="30" customWidth="1"/>
    <col min="15859" max="15859" width="12.125" style="30" customWidth="1"/>
    <col min="15860" max="15861" width="10.5" style="30" bestFit="1" customWidth="1"/>
    <col min="15862" max="15862" width="10.625" style="30" bestFit="1" customWidth="1"/>
    <col min="15863" max="15870" width="10.5" style="30" bestFit="1" customWidth="1"/>
    <col min="15871" max="15871" width="10.5" style="30" customWidth="1"/>
    <col min="15872" max="15872" width="10.5" style="30" bestFit="1" customWidth="1"/>
    <col min="15873" max="15873" width="11.5" style="30" customWidth="1"/>
    <col min="15874" max="15874" width="9.5" style="30" bestFit="1" customWidth="1"/>
    <col min="15875" max="15885" width="10.5" style="30" bestFit="1" customWidth="1"/>
    <col min="15886" max="15886" width="12.75" style="30" bestFit="1" customWidth="1"/>
    <col min="15887" max="15891" width="10.5" style="30" bestFit="1" customWidth="1"/>
    <col min="15892" max="15893" width="9.375" style="30"/>
    <col min="15894" max="15894" width="8.5" style="30" customWidth="1"/>
    <col min="15895" max="15895" width="8" style="30" customWidth="1"/>
    <col min="15896" max="15896" width="21.25" style="30" customWidth="1"/>
    <col min="15897" max="15897" width="16.25" style="30" customWidth="1"/>
    <col min="15898" max="15898" width="11.625" style="30" customWidth="1"/>
    <col min="15899" max="15899" width="13.625" style="30" customWidth="1"/>
    <col min="15900" max="15900" width="12.875" style="30" customWidth="1"/>
    <col min="15901" max="15901" width="15.5" style="30" customWidth="1"/>
    <col min="15902" max="15903" width="13.375" style="30" customWidth="1"/>
    <col min="15904" max="15904" width="14.375" style="30" customWidth="1"/>
    <col min="15905" max="15905" width="11.875" style="30" customWidth="1"/>
    <col min="15906" max="15907" width="14.25" style="30" customWidth="1"/>
    <col min="15908" max="15908" width="8.625" style="30" customWidth="1"/>
    <col min="15909" max="15909" width="10.625" style="30" customWidth="1"/>
    <col min="15910" max="15910" width="9.875" style="30" customWidth="1"/>
    <col min="15911" max="15911" width="14" style="30" customWidth="1"/>
    <col min="15912" max="15912" width="10.875" style="30" customWidth="1"/>
    <col min="15913" max="15913" width="12.375" style="30" customWidth="1"/>
    <col min="15914" max="15914" width="12" style="30" customWidth="1"/>
    <col min="15915" max="15915" width="13.625" style="30" customWidth="1"/>
    <col min="15916" max="15916" width="10" style="30" customWidth="1"/>
    <col min="15917" max="15917" width="9.625" style="30" customWidth="1"/>
    <col min="15918" max="15918" width="11.75" style="30" customWidth="1"/>
    <col min="15919" max="15919" width="11.375" style="30" customWidth="1"/>
    <col min="15920" max="15920" width="12.875" style="30" customWidth="1"/>
    <col min="15921" max="15921" width="13" style="30" customWidth="1"/>
    <col min="15922" max="15922" width="8.875" style="30" customWidth="1"/>
    <col min="15923" max="15923" width="13.125" style="30" customWidth="1"/>
    <col min="15924" max="15924" width="9.625" style="30" customWidth="1"/>
    <col min="15925" max="15925" width="12.875" style="30" customWidth="1"/>
    <col min="15926" max="15926" width="11.5" style="30" customWidth="1"/>
    <col min="15927" max="15927" width="9.75" style="30" customWidth="1"/>
    <col min="15928" max="15928" width="13.375" style="30" customWidth="1"/>
    <col min="15929" max="15929" width="12.125" style="30" customWidth="1"/>
    <col min="15930" max="15930" width="10.25" style="30" customWidth="1"/>
    <col min="15931" max="15931" width="11.625" style="30" bestFit="1" customWidth="1"/>
    <col min="15932" max="15932" width="9.875" style="30" customWidth="1"/>
    <col min="15933" max="15933" width="13.375" style="30" customWidth="1"/>
    <col min="15934" max="15934" width="11.5" style="30" customWidth="1"/>
    <col min="15935" max="15935" width="12" style="30" customWidth="1"/>
    <col min="15936" max="15936" width="9.125" style="30" customWidth="1"/>
    <col min="15937" max="15937" width="9" style="30" customWidth="1"/>
    <col min="15938" max="15938" width="12.875" style="30" bestFit="1" customWidth="1"/>
    <col min="15939" max="15940" width="12" style="30" customWidth="1"/>
    <col min="15941" max="15941" width="11.875" style="30" customWidth="1"/>
    <col min="15942" max="15942" width="11" style="30" customWidth="1"/>
    <col min="15943" max="15943" width="11.625" style="30" customWidth="1"/>
    <col min="15944" max="15944" width="8.875" style="30" customWidth="1"/>
    <col min="15945" max="15945" width="11.625" style="30" bestFit="1" customWidth="1"/>
    <col min="15946" max="15946" width="9.625" style="30" customWidth="1"/>
    <col min="15947" max="15947" width="12.125" style="30" customWidth="1"/>
    <col min="15948" max="15948" width="11.875" style="30" customWidth="1"/>
    <col min="15949" max="15949" width="13.375" style="30" customWidth="1"/>
    <col min="15950" max="15950" width="11.5" style="30" customWidth="1"/>
    <col min="15951" max="15951" width="9.25" style="30" customWidth="1"/>
    <col min="15952" max="15952" width="11.625" style="30" bestFit="1" customWidth="1"/>
    <col min="15953" max="15953" width="10.625" style="30" customWidth="1"/>
    <col min="15954" max="15954" width="12" style="30" customWidth="1"/>
    <col min="15955" max="15955" width="11.625" style="30" customWidth="1"/>
    <col min="15956" max="15956" width="14" style="30" customWidth="1"/>
    <col min="15957" max="15957" width="11.125" style="30" customWidth="1"/>
    <col min="15958" max="15958" width="9.75" style="30" customWidth="1"/>
    <col min="15959" max="15959" width="11.625" style="30" bestFit="1" customWidth="1"/>
    <col min="15960" max="15960" width="10.125" style="30" customWidth="1"/>
    <col min="15961" max="15961" width="11.625" style="30" customWidth="1"/>
    <col min="15962" max="15962" width="11.375" style="30" customWidth="1"/>
    <col min="15963" max="15963" width="12.375" style="30" customWidth="1"/>
    <col min="15964" max="15965" width="10.875" style="30" customWidth="1"/>
    <col min="15966" max="15966" width="10.5" style="30" bestFit="1" customWidth="1"/>
    <col min="15967" max="15967" width="9.625" style="30" customWidth="1"/>
    <col min="15968" max="15968" width="11.875" style="30" customWidth="1"/>
    <col min="15969" max="15969" width="11.75" style="30" customWidth="1"/>
    <col min="15970" max="15970" width="14.125" style="30" customWidth="1"/>
    <col min="15971" max="15971" width="13.125" style="30" customWidth="1"/>
    <col min="15972" max="15972" width="8.75" style="30" customWidth="1"/>
    <col min="15973" max="15973" width="11.5" style="30" bestFit="1" customWidth="1"/>
    <col min="15974" max="15974" width="9.625" style="30" customWidth="1"/>
    <col min="15975" max="15975" width="13.625" style="30" customWidth="1"/>
    <col min="15976" max="15976" width="11.5" style="30" customWidth="1"/>
    <col min="15977" max="15977" width="11.75" style="30" customWidth="1"/>
    <col min="15978" max="15978" width="9.875" style="30" customWidth="1"/>
    <col min="15979" max="15979" width="9" style="30" customWidth="1"/>
    <col min="15980" max="15980" width="9.625" style="30" bestFit="1" customWidth="1"/>
    <col min="15981" max="15981" width="12.625" style="30" customWidth="1"/>
    <col min="15982" max="15982" width="12.375" style="30" customWidth="1"/>
    <col min="15983" max="15983" width="11.625" style="30" customWidth="1"/>
    <col min="15984" max="15985" width="14.125" style="30" customWidth="1"/>
    <col min="15986" max="15986" width="9.125" style="30" customWidth="1"/>
    <col min="15987" max="15987" width="10.5" style="30" bestFit="1" customWidth="1"/>
    <col min="15988" max="15988" width="9.625" style="30" customWidth="1"/>
    <col min="15989" max="15989" width="14.25" style="30" customWidth="1"/>
    <col min="15990" max="15990" width="11.875" style="30" customWidth="1"/>
    <col min="15991" max="15991" width="11" style="30" customWidth="1"/>
    <col min="15992" max="15992" width="11.75" style="30" customWidth="1"/>
    <col min="15993" max="15993" width="11.25" style="30" customWidth="1"/>
    <col min="15994" max="15994" width="9.625" style="30" bestFit="1" customWidth="1"/>
    <col min="15995" max="15995" width="9.625" style="30" customWidth="1"/>
    <col min="15996" max="15996" width="14.125" style="30" customWidth="1"/>
    <col min="15997" max="15997" width="11.125" style="30" customWidth="1"/>
    <col min="15998" max="15998" width="11.25" style="30" customWidth="1"/>
    <col min="15999" max="15999" width="12" style="30" customWidth="1"/>
    <col min="16000" max="16000" width="8.75" style="30" customWidth="1"/>
    <col min="16001" max="16001" width="9.625" style="30" bestFit="1" customWidth="1"/>
    <col min="16002" max="16002" width="9.625" style="30" customWidth="1"/>
    <col min="16003" max="16004" width="11.25" style="30" customWidth="1"/>
    <col min="16005" max="16005" width="12" style="30" customWidth="1"/>
    <col min="16006" max="16007" width="10.625" style="30" customWidth="1"/>
    <col min="16008" max="16008" width="11" style="30" customWidth="1"/>
    <col min="16009" max="16009" width="10.625" style="30" customWidth="1"/>
    <col min="16010" max="16010" width="12.375" style="30" customWidth="1"/>
    <col min="16011" max="16011" width="12" style="30" customWidth="1"/>
    <col min="16012" max="16012" width="11.625" style="30" customWidth="1"/>
    <col min="16013" max="16013" width="10.5" style="30" customWidth="1"/>
    <col min="16014" max="16014" width="8.625" style="30" customWidth="1"/>
    <col min="16015" max="16015" width="11.25" style="30" customWidth="1"/>
    <col min="16016" max="16016" width="9.875" style="30" customWidth="1"/>
    <col min="16017" max="16017" width="11.125" style="30" customWidth="1"/>
    <col min="16018" max="16018" width="11.625" style="30" customWidth="1"/>
    <col min="16019" max="16019" width="12.625" style="30" customWidth="1"/>
    <col min="16020" max="16020" width="11.5" style="30" customWidth="1"/>
    <col min="16021" max="16021" width="9.375" style="30"/>
    <col min="16022" max="16022" width="13.125" style="30" customWidth="1"/>
    <col min="16023" max="16023" width="9.5" style="30" customWidth="1"/>
    <col min="16024" max="16024" width="11.625" style="30" customWidth="1"/>
    <col min="16025" max="16025" width="11.5" style="30" customWidth="1"/>
    <col min="16026" max="16026" width="9.625" style="30" customWidth="1"/>
    <col min="16027" max="16027" width="9.25" style="30" customWidth="1"/>
    <col min="16028" max="16028" width="8.75" style="30" customWidth="1"/>
    <col min="16029" max="16029" width="9" style="30" customWidth="1"/>
    <col min="16030" max="16030" width="8.625" style="30" customWidth="1"/>
    <col min="16031" max="16031" width="11.125" style="30" customWidth="1"/>
    <col min="16032" max="16032" width="11.25" style="30" customWidth="1"/>
    <col min="16033" max="16033" width="11.5" style="30" customWidth="1"/>
    <col min="16034" max="16035" width="9" style="30" customWidth="1"/>
    <col min="16036" max="16036" width="9.875" style="30" customWidth="1"/>
    <col min="16037" max="16037" width="9.25" style="30" customWidth="1"/>
    <col min="16038" max="16038" width="11.125" style="30" customWidth="1"/>
    <col min="16039" max="16039" width="11.375" style="30" customWidth="1"/>
    <col min="16040" max="16040" width="10.875" style="30" customWidth="1"/>
    <col min="16041" max="16041" width="8.375" style="30" customWidth="1"/>
    <col min="16042" max="16042" width="9.125" style="30" customWidth="1"/>
    <col min="16043" max="16044" width="9" style="30" customWidth="1"/>
    <col min="16045" max="16045" width="10.75" style="30" customWidth="1"/>
    <col min="16046" max="16046" width="10.625" style="30" customWidth="1"/>
    <col min="16047" max="16047" width="10.25" style="30" customWidth="1"/>
    <col min="16048" max="16048" width="8.125" style="30" customWidth="1"/>
    <col min="16049" max="16051" width="9" style="30" customWidth="1"/>
    <col min="16052" max="16052" width="11.375" style="30" customWidth="1"/>
    <col min="16053" max="16053" width="11.125" style="30" customWidth="1"/>
    <col min="16054" max="16054" width="14.5" style="30" customWidth="1"/>
    <col min="16055" max="16055" width="10.875" style="30" customWidth="1"/>
    <col min="16056" max="16056" width="8.5" style="30" customWidth="1"/>
    <col min="16057" max="16057" width="10.375" style="30" customWidth="1"/>
    <col min="16058" max="16058" width="9" style="30" customWidth="1"/>
    <col min="16059" max="16059" width="12" style="30" customWidth="1"/>
    <col min="16060" max="16067" width="10.875" style="30" customWidth="1"/>
    <col min="16068" max="16068" width="10.5" style="30" customWidth="1"/>
    <col min="16069" max="16069" width="11.875" style="30" customWidth="1"/>
    <col min="16070" max="16070" width="10.875" style="30" customWidth="1"/>
    <col min="16071" max="16072" width="9" style="30" customWidth="1"/>
    <col min="16073" max="16073" width="12.125" style="30" customWidth="1"/>
    <col min="16074" max="16074" width="9.625" style="30" customWidth="1"/>
    <col min="16075" max="16076" width="9" style="30" customWidth="1"/>
    <col min="16077" max="16077" width="12.625" style="30" customWidth="1"/>
    <col min="16078" max="16078" width="11" style="30" customWidth="1"/>
    <col min="16079" max="16079" width="11.75" style="30" bestFit="1" customWidth="1"/>
    <col min="16080" max="16080" width="11.875" style="30" customWidth="1"/>
    <col min="16081" max="16082" width="9" style="30" customWidth="1"/>
    <col min="16083" max="16083" width="12.25" style="30" customWidth="1"/>
    <col min="16084" max="16084" width="10.875" style="30" customWidth="1"/>
    <col min="16085" max="16085" width="9" style="30" customWidth="1"/>
    <col min="16086" max="16086" width="10.875" style="30" customWidth="1"/>
    <col min="16087" max="16087" width="10.5" style="30" customWidth="1"/>
    <col min="16088" max="16089" width="9" style="30" customWidth="1"/>
    <col min="16090" max="16090" width="12.625" style="30" customWidth="1"/>
    <col min="16091" max="16092" width="9" style="30" customWidth="1"/>
    <col min="16093" max="16093" width="12" style="30" customWidth="1"/>
    <col min="16094" max="16110" width="9" style="30" customWidth="1"/>
    <col min="16111" max="16111" width="12.375" style="30" customWidth="1"/>
    <col min="16112" max="16112" width="12.5" style="30" customWidth="1"/>
    <col min="16113" max="16113" width="11.875" style="30" customWidth="1"/>
    <col min="16114" max="16114" width="11.625" style="30" customWidth="1"/>
    <col min="16115" max="16115" width="12.125" style="30" customWidth="1"/>
    <col min="16116" max="16117" width="10.5" style="30" bestFit="1" customWidth="1"/>
    <col min="16118" max="16118" width="10.625" style="30" bestFit="1" customWidth="1"/>
    <col min="16119" max="16126" width="10.5" style="30" bestFit="1" customWidth="1"/>
    <col min="16127" max="16127" width="10.5" style="30" customWidth="1"/>
    <col min="16128" max="16128" width="10.5" style="30" bestFit="1" customWidth="1"/>
    <col min="16129" max="16129" width="11.5" style="30" customWidth="1"/>
    <col min="16130" max="16130" width="9.5" style="30" bestFit="1" customWidth="1"/>
    <col min="16131" max="16141" width="10.5" style="30" bestFit="1" customWidth="1"/>
    <col min="16142" max="16142" width="12.75" style="30" bestFit="1" customWidth="1"/>
    <col min="16143" max="16147" width="10.5" style="30" bestFit="1" customWidth="1"/>
    <col min="16148" max="16149" width="9.375" style="30"/>
    <col min="16150" max="16150" width="8.5" style="30" customWidth="1"/>
    <col min="16151" max="16151" width="8" style="30" customWidth="1"/>
    <col min="16152" max="16152" width="21.25" style="30" customWidth="1"/>
    <col min="16153" max="16153" width="16.25" style="30" customWidth="1"/>
    <col min="16154" max="16154" width="11.625" style="30" customWidth="1"/>
    <col min="16155" max="16155" width="13.625" style="30" customWidth="1"/>
    <col min="16156" max="16156" width="12.875" style="30" customWidth="1"/>
    <col min="16157" max="16157" width="15.5" style="30" customWidth="1"/>
    <col min="16158" max="16159" width="13.375" style="30" customWidth="1"/>
    <col min="16160" max="16160" width="14.375" style="30" customWidth="1"/>
    <col min="16161" max="16161" width="11.875" style="30" customWidth="1"/>
    <col min="16162" max="16163" width="14.25" style="30" customWidth="1"/>
    <col min="16164" max="16164" width="8.625" style="30" customWidth="1"/>
    <col min="16165" max="16165" width="10.625" style="30" customWidth="1"/>
    <col min="16166" max="16166" width="9.875" style="30" customWidth="1"/>
    <col min="16167" max="16167" width="14" style="30" customWidth="1"/>
    <col min="16168" max="16168" width="10.875" style="30" customWidth="1"/>
    <col min="16169" max="16169" width="12.375" style="30" customWidth="1"/>
    <col min="16170" max="16170" width="12" style="30" customWidth="1"/>
    <col min="16171" max="16171" width="13.625" style="30" customWidth="1"/>
    <col min="16172" max="16172" width="10" style="30" customWidth="1"/>
    <col min="16173" max="16173" width="9.625" style="30" customWidth="1"/>
    <col min="16174" max="16174" width="11.75" style="30" customWidth="1"/>
    <col min="16175" max="16175" width="11.375" style="30" customWidth="1"/>
    <col min="16176" max="16176" width="12.875" style="30" customWidth="1"/>
    <col min="16177" max="16177" width="13" style="30" customWidth="1"/>
    <col min="16178" max="16178" width="8.875" style="30" customWidth="1"/>
    <col min="16179" max="16179" width="13.125" style="30" customWidth="1"/>
    <col min="16180" max="16180" width="9.625" style="30" customWidth="1"/>
    <col min="16181" max="16181" width="12.875" style="30" customWidth="1"/>
    <col min="16182" max="16182" width="11.5" style="30" customWidth="1"/>
    <col min="16183" max="16183" width="9.75" style="30" customWidth="1"/>
    <col min="16184" max="16184" width="13.375" style="30" customWidth="1"/>
    <col min="16185" max="16185" width="12.125" style="30" customWidth="1"/>
    <col min="16186" max="16186" width="10.25" style="30" customWidth="1"/>
    <col min="16187" max="16187" width="11.625" style="30" bestFit="1" customWidth="1"/>
    <col min="16188" max="16188" width="9.875" style="30" customWidth="1"/>
    <col min="16189" max="16189" width="13.375" style="30" customWidth="1"/>
    <col min="16190" max="16190" width="11.5" style="30" customWidth="1"/>
    <col min="16191" max="16191" width="12" style="30" customWidth="1"/>
    <col min="16192" max="16192" width="9.125" style="30" customWidth="1"/>
    <col min="16193" max="16193" width="9" style="30" customWidth="1"/>
    <col min="16194" max="16194" width="12.875" style="30" bestFit="1" customWidth="1"/>
    <col min="16195" max="16196" width="12" style="30" customWidth="1"/>
    <col min="16197" max="16197" width="11.875" style="30" customWidth="1"/>
    <col min="16198" max="16198" width="11" style="30" customWidth="1"/>
    <col min="16199" max="16199" width="11.625" style="30" customWidth="1"/>
    <col min="16200" max="16200" width="8.875" style="30" customWidth="1"/>
    <col min="16201" max="16201" width="11.625" style="30" bestFit="1" customWidth="1"/>
    <col min="16202" max="16202" width="9.625" style="30" customWidth="1"/>
    <col min="16203" max="16203" width="12.125" style="30" customWidth="1"/>
    <col min="16204" max="16204" width="11.875" style="30" customWidth="1"/>
    <col min="16205" max="16205" width="13.375" style="30" customWidth="1"/>
    <col min="16206" max="16206" width="11.5" style="30" customWidth="1"/>
    <col min="16207" max="16207" width="9.25" style="30" customWidth="1"/>
    <col min="16208" max="16208" width="11.625" style="30" bestFit="1" customWidth="1"/>
    <col min="16209" max="16209" width="10.625" style="30" customWidth="1"/>
    <col min="16210" max="16210" width="12" style="30" customWidth="1"/>
    <col min="16211" max="16211" width="11.625" style="30" customWidth="1"/>
    <col min="16212" max="16212" width="14" style="30" customWidth="1"/>
    <col min="16213" max="16213" width="11.125" style="30" customWidth="1"/>
    <col min="16214" max="16214" width="9.75" style="30" customWidth="1"/>
    <col min="16215" max="16215" width="11.625" style="30" bestFit="1" customWidth="1"/>
    <col min="16216" max="16216" width="10.125" style="30" customWidth="1"/>
    <col min="16217" max="16217" width="11.625" style="30" customWidth="1"/>
    <col min="16218" max="16218" width="11.375" style="30" customWidth="1"/>
    <col min="16219" max="16219" width="12.375" style="30" customWidth="1"/>
    <col min="16220" max="16221" width="10.875" style="30" customWidth="1"/>
    <col min="16222" max="16222" width="10.5" style="30" bestFit="1" customWidth="1"/>
    <col min="16223" max="16223" width="9.625" style="30" customWidth="1"/>
    <col min="16224" max="16224" width="11.875" style="30" customWidth="1"/>
    <col min="16225" max="16225" width="11.75" style="30" customWidth="1"/>
    <col min="16226" max="16226" width="14.125" style="30" customWidth="1"/>
    <col min="16227" max="16227" width="13.125" style="30" customWidth="1"/>
    <col min="16228" max="16228" width="8.75" style="30" customWidth="1"/>
    <col min="16229" max="16229" width="11.5" style="30" bestFit="1" customWidth="1"/>
    <col min="16230" max="16230" width="9.625" style="30" customWidth="1"/>
    <col min="16231" max="16231" width="13.625" style="30" customWidth="1"/>
    <col min="16232" max="16232" width="11.5" style="30" customWidth="1"/>
    <col min="16233" max="16233" width="11.75" style="30" customWidth="1"/>
    <col min="16234" max="16234" width="9.875" style="30" customWidth="1"/>
    <col min="16235" max="16235" width="9" style="30" customWidth="1"/>
    <col min="16236" max="16236" width="9.625" style="30" bestFit="1" customWidth="1"/>
    <col min="16237" max="16237" width="12.625" style="30" customWidth="1"/>
    <col min="16238" max="16238" width="12.375" style="30" customWidth="1"/>
    <col min="16239" max="16239" width="11.625" style="30" customWidth="1"/>
    <col min="16240" max="16241" width="14.125" style="30" customWidth="1"/>
    <col min="16242" max="16242" width="9.125" style="30" customWidth="1"/>
    <col min="16243" max="16243" width="10.5" style="30" bestFit="1" customWidth="1"/>
    <col min="16244" max="16244" width="9.625" style="30" customWidth="1"/>
    <col min="16245" max="16245" width="14.25" style="30" customWidth="1"/>
    <col min="16246" max="16246" width="11.875" style="30" customWidth="1"/>
    <col min="16247" max="16247" width="11" style="30" customWidth="1"/>
    <col min="16248" max="16248" width="11.75" style="30" customWidth="1"/>
    <col min="16249" max="16249" width="11.25" style="30" customWidth="1"/>
    <col min="16250" max="16250" width="9.625" style="30" bestFit="1" customWidth="1"/>
    <col min="16251" max="16251" width="9.625" style="30" customWidth="1"/>
    <col min="16252" max="16252" width="14.125" style="30" customWidth="1"/>
    <col min="16253" max="16253" width="11.125" style="30" customWidth="1"/>
    <col min="16254" max="16254" width="11.25" style="30" customWidth="1"/>
    <col min="16255" max="16255" width="12" style="30" customWidth="1"/>
    <col min="16256" max="16256" width="8.75" style="30" customWidth="1"/>
    <col min="16257" max="16257" width="9.625" style="30" bestFit="1" customWidth="1"/>
    <col min="16258" max="16258" width="9.625" style="30" customWidth="1"/>
    <col min="16259" max="16260" width="11.25" style="30" customWidth="1"/>
    <col min="16261" max="16261" width="12" style="30" customWidth="1"/>
    <col min="16262" max="16263" width="10.625" style="30" customWidth="1"/>
    <col min="16264" max="16264" width="11" style="30" customWidth="1"/>
    <col min="16265" max="16265" width="10.625" style="30" customWidth="1"/>
    <col min="16266" max="16266" width="12.375" style="30" customWidth="1"/>
    <col min="16267" max="16267" width="12" style="30" customWidth="1"/>
    <col min="16268" max="16268" width="11.625" style="30" customWidth="1"/>
    <col min="16269" max="16269" width="10.5" style="30" customWidth="1"/>
    <col min="16270" max="16270" width="8.625" style="30" customWidth="1"/>
    <col min="16271" max="16271" width="11.25" style="30" customWidth="1"/>
    <col min="16272" max="16272" width="9.875" style="30" customWidth="1"/>
    <col min="16273" max="16273" width="11.125" style="30" customWidth="1"/>
    <col min="16274" max="16274" width="11.625" style="30" customWidth="1"/>
    <col min="16275" max="16275" width="12.625" style="30" customWidth="1"/>
    <col min="16276" max="16276" width="11.5" style="30" customWidth="1"/>
    <col min="16277" max="16277" width="9.375" style="30"/>
    <col min="16278" max="16278" width="13.125" style="30" customWidth="1"/>
    <col min="16279" max="16279" width="9.5" style="30" customWidth="1"/>
    <col min="16280" max="16280" width="11.625" style="30" customWidth="1"/>
    <col min="16281" max="16281" width="11.5" style="30" customWidth="1"/>
    <col min="16282" max="16282" width="9.625" style="30" customWidth="1"/>
    <col min="16283" max="16283" width="9.25" style="30" customWidth="1"/>
    <col min="16284" max="16284" width="8.75" style="30" customWidth="1"/>
    <col min="16285" max="16285" width="9" style="30" customWidth="1"/>
    <col min="16286" max="16286" width="8.625" style="30" customWidth="1"/>
    <col min="16287" max="16287" width="11.125" style="30" customWidth="1"/>
    <col min="16288" max="16288" width="11.25" style="30" customWidth="1"/>
    <col min="16289" max="16289" width="11.5" style="30" customWidth="1"/>
    <col min="16290" max="16291" width="9" style="30" customWidth="1"/>
    <col min="16292" max="16292" width="9.875" style="30" customWidth="1"/>
    <col min="16293" max="16293" width="9.25" style="30" customWidth="1"/>
    <col min="16294" max="16294" width="11.125" style="30" customWidth="1"/>
    <col min="16295" max="16295" width="11.375" style="30" customWidth="1"/>
    <col min="16296" max="16296" width="10.875" style="30" customWidth="1"/>
    <col min="16297" max="16297" width="8.375" style="30" customWidth="1"/>
    <col min="16298" max="16298" width="9.125" style="30" customWidth="1"/>
    <col min="16299" max="16300" width="9" style="30" customWidth="1"/>
    <col min="16301" max="16301" width="10.75" style="30" customWidth="1"/>
    <col min="16302" max="16302" width="10.625" style="30" customWidth="1"/>
    <col min="16303" max="16303" width="10.25" style="30" customWidth="1"/>
    <col min="16304" max="16304" width="8.125" style="30" customWidth="1"/>
    <col min="16305" max="16307" width="9" style="30" customWidth="1"/>
    <col min="16308" max="16308" width="11.375" style="30" customWidth="1"/>
    <col min="16309" max="16309" width="11.125" style="30" customWidth="1"/>
    <col min="16310" max="16310" width="14.5" style="30" customWidth="1"/>
    <col min="16311" max="16311" width="10.875" style="30" customWidth="1"/>
    <col min="16312" max="16312" width="8.5" style="30" customWidth="1"/>
    <col min="16313" max="16313" width="10.375" style="30" customWidth="1"/>
    <col min="16314" max="16314" width="9" style="30" customWidth="1"/>
    <col min="16315" max="16315" width="12" style="30" customWidth="1"/>
    <col min="16316" max="16323" width="10.875" style="30" customWidth="1"/>
    <col min="16324" max="16324" width="10.5" style="30" customWidth="1"/>
    <col min="16325" max="16325" width="11.875" style="30" customWidth="1"/>
    <col min="16326" max="16326" width="10.875" style="30" customWidth="1"/>
    <col min="16327" max="16328" width="9" style="30" customWidth="1"/>
    <col min="16329" max="16329" width="12.125" style="30" customWidth="1"/>
    <col min="16330" max="16330" width="9.625" style="30" customWidth="1"/>
    <col min="16331" max="16332" width="9" style="30" customWidth="1"/>
    <col min="16333" max="16333" width="12.625" style="30" customWidth="1"/>
    <col min="16334" max="16334" width="11" style="30" customWidth="1"/>
    <col min="16335" max="16335" width="11.75" style="30" bestFit="1" customWidth="1"/>
    <col min="16336" max="16336" width="11.875" style="30" customWidth="1"/>
    <col min="16337" max="16338" width="9" style="30" customWidth="1"/>
    <col min="16339" max="16339" width="12.25" style="30" customWidth="1"/>
    <col min="16340" max="16340" width="10.875" style="30" customWidth="1"/>
    <col min="16341" max="16341" width="9" style="30" customWidth="1"/>
    <col min="16342" max="16342" width="10.875" style="30" customWidth="1"/>
    <col min="16343" max="16343" width="10.5" style="30" customWidth="1"/>
    <col min="16344" max="16345" width="9" style="30" customWidth="1"/>
    <col min="16346" max="16346" width="12.625" style="30" customWidth="1"/>
    <col min="16347" max="16348" width="9" style="30" customWidth="1"/>
    <col min="16349" max="16349" width="12" style="30" customWidth="1"/>
    <col min="16350" max="16366" width="9" style="30" customWidth="1"/>
    <col min="16367" max="16367" width="12.375" style="30" customWidth="1"/>
    <col min="16368" max="16368" width="12.5" style="30" customWidth="1"/>
    <col min="16369" max="16369" width="11.875" style="30" customWidth="1"/>
    <col min="16370" max="16370" width="11.625" style="30" customWidth="1"/>
    <col min="16371" max="16371" width="12.125" style="30" customWidth="1"/>
    <col min="16372" max="16373" width="10.5" style="30" bestFit="1" customWidth="1"/>
    <col min="16374" max="16374" width="10.625" style="30" bestFit="1" customWidth="1"/>
    <col min="16375" max="16382" width="10.5" style="30" bestFit="1" customWidth="1"/>
    <col min="16383" max="16383" width="10.5" style="30" customWidth="1"/>
    <col min="16384" max="16384" width="10.5" style="30" bestFit="1" customWidth="1"/>
  </cols>
  <sheetData>
    <row r="1" spans="1:283" s="37" customFormat="1" ht="20.25" customHeight="1" thickBot="1" x14ac:dyDescent="0.25">
      <c r="A1" s="168" t="s">
        <v>53</v>
      </c>
      <c r="B1" s="169"/>
      <c r="C1" s="169"/>
      <c r="D1" s="169"/>
      <c r="E1" s="169"/>
      <c r="F1" s="169"/>
      <c r="G1" s="169"/>
      <c r="H1" s="170"/>
      <c r="I1" s="169"/>
      <c r="J1" s="171"/>
      <c r="K1" s="171"/>
      <c r="L1" s="171"/>
      <c r="M1" s="169"/>
      <c r="N1" s="169"/>
      <c r="O1" s="170"/>
      <c r="P1" s="169"/>
      <c r="Q1" s="171"/>
      <c r="R1" s="171"/>
      <c r="S1" s="171"/>
      <c r="T1" s="169"/>
      <c r="U1" s="169"/>
      <c r="V1" s="170"/>
      <c r="W1" s="169"/>
      <c r="X1" s="171"/>
      <c r="Y1" s="171"/>
      <c r="Z1" s="171"/>
      <c r="AA1" s="169"/>
      <c r="AB1" s="169"/>
      <c r="AC1" s="170"/>
      <c r="AD1" s="169"/>
      <c r="AE1" s="171"/>
      <c r="AF1" s="171"/>
      <c r="AG1" s="171"/>
      <c r="AH1" s="169"/>
      <c r="AI1" s="169"/>
      <c r="AJ1" s="169"/>
      <c r="AK1" s="170"/>
      <c r="AL1" s="169"/>
      <c r="AM1" s="171"/>
      <c r="AN1" s="171"/>
      <c r="AO1" s="171"/>
      <c r="AP1" s="169"/>
      <c r="AQ1" s="169"/>
      <c r="AR1" s="170"/>
      <c r="AS1" s="169"/>
      <c r="AT1" s="171"/>
      <c r="AU1" s="171"/>
      <c r="AV1" s="171"/>
      <c r="AW1" s="169"/>
      <c r="AX1" s="169"/>
      <c r="AY1" s="170"/>
      <c r="AZ1" s="169"/>
      <c r="BA1" s="171"/>
      <c r="BB1" s="171"/>
      <c r="BC1" s="171"/>
      <c r="BD1" s="169"/>
      <c r="BE1" s="169"/>
      <c r="BF1" s="169"/>
      <c r="BG1" s="169"/>
      <c r="BH1" s="171"/>
      <c r="BI1" s="171"/>
      <c r="BJ1" s="171"/>
      <c r="BK1" s="169"/>
      <c r="BL1" s="169"/>
      <c r="BM1" s="170"/>
      <c r="BN1" s="169"/>
      <c r="BO1" s="171"/>
      <c r="BP1" s="171"/>
      <c r="BQ1" s="171"/>
      <c r="BR1" s="169"/>
      <c r="BS1" s="169"/>
      <c r="BT1" s="170"/>
      <c r="BU1" s="169"/>
      <c r="BV1" s="171"/>
      <c r="BW1" s="171"/>
      <c r="BX1" s="171"/>
      <c r="BY1" s="169"/>
      <c r="BZ1" s="169"/>
      <c r="CA1" s="170"/>
      <c r="CB1" s="169"/>
      <c r="CC1" s="171"/>
      <c r="CD1" s="171"/>
      <c r="CE1" s="171"/>
      <c r="CF1" s="169"/>
      <c r="CG1" s="169"/>
      <c r="CH1" s="170"/>
      <c r="CI1" s="169"/>
      <c r="CJ1" s="171"/>
      <c r="CK1" s="171"/>
      <c r="CL1" s="171"/>
      <c r="CM1" s="169"/>
      <c r="CN1" s="169"/>
      <c r="CO1" s="170"/>
      <c r="CP1" s="169"/>
      <c r="CQ1" s="171"/>
      <c r="CR1" s="171"/>
      <c r="CS1" s="171"/>
      <c r="CT1" s="169"/>
      <c r="CU1" s="169"/>
      <c r="CV1" s="170"/>
      <c r="CW1" s="169"/>
      <c r="CX1" s="171"/>
      <c r="CY1" s="171"/>
      <c r="CZ1" s="171"/>
      <c r="DA1" s="169"/>
      <c r="DB1" s="169"/>
      <c r="DC1" s="170"/>
      <c r="DD1" s="169"/>
      <c r="DE1" s="171"/>
      <c r="DF1" s="171"/>
      <c r="DG1" s="171"/>
      <c r="DH1" s="169"/>
      <c r="DI1" s="169"/>
      <c r="DJ1" s="170"/>
      <c r="DK1" s="169"/>
      <c r="DL1" s="171"/>
      <c r="DM1" s="171"/>
      <c r="DN1" s="171"/>
      <c r="DO1" s="169"/>
      <c r="DP1" s="169"/>
      <c r="DQ1" s="170"/>
      <c r="DR1" s="169"/>
      <c r="DS1" s="171"/>
      <c r="DT1" s="171"/>
      <c r="DU1" s="171"/>
      <c r="DV1" s="169"/>
      <c r="DW1" s="169"/>
      <c r="DX1" s="170"/>
      <c r="DY1" s="169"/>
      <c r="DZ1" s="171"/>
      <c r="EA1" s="171"/>
      <c r="EB1" s="171"/>
      <c r="EC1" s="169"/>
      <c r="ED1" s="169"/>
      <c r="EE1" s="170"/>
      <c r="EF1" s="169"/>
      <c r="EG1" s="171"/>
      <c r="EH1" s="171"/>
      <c r="EI1" s="171"/>
      <c r="EJ1" s="169"/>
      <c r="EK1" s="169"/>
      <c r="EL1" s="170"/>
      <c r="EM1" s="169"/>
      <c r="EN1" s="171"/>
      <c r="EO1" s="171"/>
      <c r="EP1" s="171"/>
      <c r="EQ1" s="169"/>
      <c r="ER1" s="169"/>
      <c r="ES1" s="170"/>
      <c r="ET1" s="169"/>
      <c r="EU1" s="169"/>
      <c r="EV1" s="169"/>
      <c r="EW1" s="169"/>
      <c r="EX1" s="169"/>
      <c r="EY1" s="169"/>
      <c r="EZ1" s="170"/>
      <c r="FA1" s="169"/>
      <c r="FB1" s="171"/>
      <c r="FC1" s="171"/>
      <c r="FD1" s="171"/>
      <c r="FE1" s="169"/>
      <c r="FF1" s="169"/>
      <c r="FG1" s="170"/>
      <c r="FH1" s="169"/>
      <c r="FI1" s="171"/>
      <c r="FJ1" s="171"/>
      <c r="FK1" s="171"/>
      <c r="FL1" s="171"/>
      <c r="FM1" s="171"/>
      <c r="FN1" s="171"/>
      <c r="FO1" s="171"/>
      <c r="FP1" s="171"/>
      <c r="FQ1" s="171"/>
      <c r="FR1" s="171"/>
      <c r="FS1" s="169"/>
      <c r="FT1" s="169"/>
      <c r="FU1" s="169"/>
      <c r="FV1" s="170"/>
      <c r="FW1" s="171"/>
      <c r="FX1" s="169"/>
      <c r="FY1" s="169"/>
      <c r="FZ1" s="170"/>
      <c r="GA1" s="171"/>
      <c r="GB1" s="169"/>
      <c r="GC1" s="169"/>
      <c r="GD1" s="170"/>
      <c r="GE1" s="169"/>
      <c r="GF1" s="169"/>
      <c r="GG1" s="170"/>
      <c r="GH1" s="169"/>
      <c r="GI1" s="169"/>
      <c r="GJ1" s="170"/>
      <c r="GK1" s="169"/>
      <c r="GL1" s="169"/>
      <c r="GM1" s="170"/>
      <c r="GN1" s="169"/>
      <c r="GO1" s="169"/>
      <c r="GP1" s="169"/>
      <c r="GQ1" s="170"/>
      <c r="GR1" s="169"/>
      <c r="GS1" s="169"/>
      <c r="GT1" s="170"/>
      <c r="GU1" s="170"/>
      <c r="GV1" s="170"/>
      <c r="GW1" s="170"/>
      <c r="GX1" s="170"/>
      <c r="GY1" s="170"/>
      <c r="GZ1" s="170"/>
      <c r="HA1" s="170"/>
      <c r="HB1" s="170"/>
      <c r="HC1" s="170"/>
      <c r="HD1" s="170"/>
      <c r="HE1" s="170"/>
      <c r="HF1" s="170"/>
      <c r="HG1" s="170"/>
      <c r="HH1" s="170"/>
      <c r="HI1" s="170"/>
      <c r="HJ1" s="170"/>
      <c r="HK1" s="170"/>
      <c r="HL1" s="170"/>
      <c r="HM1" s="170"/>
      <c r="HN1" s="170"/>
      <c r="HO1" s="170"/>
      <c r="HP1" s="169"/>
      <c r="HQ1" s="169"/>
      <c r="HR1" s="169"/>
      <c r="HS1" s="169"/>
      <c r="HT1" s="169"/>
      <c r="HU1" s="169"/>
      <c r="HV1" s="169"/>
      <c r="HW1" s="169"/>
      <c r="HX1" s="169"/>
      <c r="HY1" s="169"/>
      <c r="HZ1" s="169"/>
      <c r="IA1" s="169"/>
      <c r="IB1" s="169"/>
      <c r="IC1" s="169"/>
      <c r="ID1" s="169"/>
      <c r="IE1" s="170"/>
      <c r="IF1" s="170"/>
      <c r="IG1" s="169"/>
      <c r="IH1" s="169"/>
      <c r="II1" s="171"/>
      <c r="IJ1" s="171"/>
      <c r="IK1" s="171"/>
      <c r="IL1" s="171"/>
      <c r="IM1" s="171"/>
      <c r="IN1" s="171"/>
      <c r="IO1" s="171"/>
      <c r="IP1" s="171"/>
      <c r="IQ1" s="171"/>
      <c r="IR1" s="171"/>
      <c r="IS1" s="171"/>
      <c r="IT1" s="171"/>
      <c r="IU1" s="171"/>
      <c r="IV1" s="171"/>
    </row>
    <row r="2" spans="1:283" s="41" customFormat="1" ht="24" customHeight="1" thickTop="1" x14ac:dyDescent="0.15">
      <c r="A2" s="172" t="s">
        <v>54</v>
      </c>
      <c r="B2" s="173"/>
      <c r="C2" s="173"/>
      <c r="D2" s="173"/>
      <c r="E2" s="173"/>
      <c r="F2" s="165" t="s">
        <v>55</v>
      </c>
      <c r="G2" s="165"/>
      <c r="H2" s="165"/>
      <c r="I2" s="165"/>
      <c r="J2" s="165"/>
      <c r="K2" s="165"/>
      <c r="L2" s="165"/>
      <c r="M2" s="165" t="s">
        <v>56</v>
      </c>
      <c r="N2" s="165"/>
      <c r="O2" s="165"/>
      <c r="P2" s="165"/>
      <c r="Q2" s="165"/>
      <c r="R2" s="165"/>
      <c r="S2" s="165"/>
      <c r="T2" s="165" t="s">
        <v>57</v>
      </c>
      <c r="U2" s="165"/>
      <c r="V2" s="165"/>
      <c r="W2" s="165"/>
      <c r="X2" s="165"/>
      <c r="Y2" s="165"/>
      <c r="Z2" s="165"/>
      <c r="AA2" s="165" t="s">
        <v>58</v>
      </c>
      <c r="AB2" s="165"/>
      <c r="AC2" s="165"/>
      <c r="AD2" s="165"/>
      <c r="AE2" s="165"/>
      <c r="AF2" s="165"/>
      <c r="AG2" s="165"/>
      <c r="AH2" s="165" t="s">
        <v>59</v>
      </c>
      <c r="AI2" s="165"/>
      <c r="AJ2" s="165"/>
      <c r="AK2" s="165"/>
      <c r="AL2" s="165"/>
      <c r="AM2" s="165"/>
      <c r="AN2" s="165"/>
      <c r="AO2" s="165"/>
      <c r="AP2" s="165" t="s">
        <v>60</v>
      </c>
      <c r="AQ2" s="165"/>
      <c r="AR2" s="165"/>
      <c r="AS2" s="165"/>
      <c r="AT2" s="165"/>
      <c r="AU2" s="165"/>
      <c r="AV2" s="165"/>
      <c r="AW2" s="165" t="s">
        <v>61</v>
      </c>
      <c r="AX2" s="165"/>
      <c r="AY2" s="165"/>
      <c r="AZ2" s="165"/>
      <c r="BA2" s="165"/>
      <c r="BB2" s="165"/>
      <c r="BC2" s="165"/>
      <c r="BD2" s="165" t="s">
        <v>62</v>
      </c>
      <c r="BE2" s="165"/>
      <c r="BF2" s="165"/>
      <c r="BG2" s="165"/>
      <c r="BH2" s="165"/>
      <c r="BI2" s="165"/>
      <c r="BJ2" s="165"/>
      <c r="BK2" s="165" t="s">
        <v>63</v>
      </c>
      <c r="BL2" s="165"/>
      <c r="BM2" s="165"/>
      <c r="BN2" s="165"/>
      <c r="BO2" s="165"/>
      <c r="BP2" s="165"/>
      <c r="BQ2" s="165"/>
      <c r="BR2" s="165" t="s">
        <v>64</v>
      </c>
      <c r="BS2" s="165"/>
      <c r="BT2" s="165"/>
      <c r="BU2" s="165"/>
      <c r="BV2" s="165"/>
      <c r="BW2" s="165"/>
      <c r="BX2" s="165"/>
      <c r="BY2" s="165" t="s">
        <v>65</v>
      </c>
      <c r="BZ2" s="165"/>
      <c r="CA2" s="165"/>
      <c r="CB2" s="165"/>
      <c r="CC2" s="165"/>
      <c r="CD2" s="165"/>
      <c r="CE2" s="165"/>
      <c r="CF2" s="165" t="s">
        <v>14</v>
      </c>
      <c r="CG2" s="165"/>
      <c r="CH2" s="165"/>
      <c r="CI2" s="165"/>
      <c r="CJ2" s="165"/>
      <c r="CK2" s="165"/>
      <c r="CL2" s="165"/>
      <c r="CM2" s="165" t="s">
        <v>66</v>
      </c>
      <c r="CN2" s="165"/>
      <c r="CO2" s="165"/>
      <c r="CP2" s="165"/>
      <c r="CQ2" s="165"/>
      <c r="CR2" s="165"/>
      <c r="CS2" s="165"/>
      <c r="CT2" s="165" t="s">
        <v>67</v>
      </c>
      <c r="CU2" s="165"/>
      <c r="CV2" s="165"/>
      <c r="CW2" s="165"/>
      <c r="CX2" s="165"/>
      <c r="CY2" s="165"/>
      <c r="CZ2" s="165"/>
      <c r="DA2" s="165" t="s">
        <v>68</v>
      </c>
      <c r="DB2" s="165"/>
      <c r="DC2" s="165"/>
      <c r="DD2" s="165"/>
      <c r="DE2" s="165"/>
      <c r="DF2" s="165"/>
      <c r="DG2" s="165"/>
      <c r="DH2" s="165" t="s">
        <v>69</v>
      </c>
      <c r="DI2" s="165"/>
      <c r="DJ2" s="165"/>
      <c r="DK2" s="165"/>
      <c r="DL2" s="165"/>
      <c r="DM2" s="165"/>
      <c r="DN2" s="165"/>
      <c r="DO2" s="174" t="s">
        <v>70</v>
      </c>
      <c r="DP2" s="174"/>
      <c r="DQ2" s="174"/>
      <c r="DR2" s="174"/>
      <c r="DS2" s="174"/>
      <c r="DT2" s="174"/>
      <c r="DU2" s="174"/>
      <c r="DV2" s="175" t="s">
        <v>71</v>
      </c>
      <c r="DW2" s="175"/>
      <c r="DX2" s="175"/>
      <c r="DY2" s="175"/>
      <c r="DZ2" s="175"/>
      <c r="EA2" s="175"/>
      <c r="EB2" s="175"/>
      <c r="EC2" s="175" t="s">
        <v>72</v>
      </c>
      <c r="ED2" s="175"/>
      <c r="EE2" s="175"/>
      <c r="EF2" s="175"/>
      <c r="EG2" s="175"/>
      <c r="EH2" s="175"/>
      <c r="EI2" s="175"/>
      <c r="EJ2" s="175" t="s">
        <v>73</v>
      </c>
      <c r="EK2" s="175"/>
      <c r="EL2" s="175"/>
      <c r="EM2" s="175"/>
      <c r="EN2" s="175"/>
      <c r="EO2" s="175"/>
      <c r="EP2" s="175"/>
      <c r="EQ2" s="175" t="s">
        <v>24</v>
      </c>
      <c r="ER2" s="175"/>
      <c r="ES2" s="175"/>
      <c r="ET2" s="175"/>
      <c r="EU2" s="175"/>
      <c r="EV2" s="175"/>
      <c r="EW2" s="175"/>
      <c r="EX2" s="175" t="s">
        <v>74</v>
      </c>
      <c r="EY2" s="175"/>
      <c r="EZ2" s="175"/>
      <c r="FA2" s="175"/>
      <c r="FB2" s="175"/>
      <c r="FC2" s="175"/>
      <c r="FD2" s="175"/>
      <c r="FE2" s="176" t="s">
        <v>26</v>
      </c>
      <c r="FF2" s="177"/>
      <c r="FG2" s="177"/>
      <c r="FH2" s="177"/>
      <c r="FI2" s="177"/>
      <c r="FJ2" s="177"/>
      <c r="FK2" s="178"/>
      <c r="FL2" s="175" t="s">
        <v>27</v>
      </c>
      <c r="FM2" s="175"/>
      <c r="FN2" s="175"/>
      <c r="FO2" s="175"/>
      <c r="FP2" s="175"/>
      <c r="FQ2" s="175"/>
      <c r="FR2" s="175"/>
      <c r="FS2" s="165" t="s">
        <v>75</v>
      </c>
      <c r="FT2" s="165"/>
      <c r="FU2" s="165"/>
      <c r="FV2" s="165"/>
      <c r="FW2" s="165"/>
      <c r="FX2" s="165" t="s">
        <v>29</v>
      </c>
      <c r="FY2" s="165"/>
      <c r="FZ2" s="165"/>
      <c r="GA2" s="40"/>
      <c r="GB2" s="165" t="s">
        <v>76</v>
      </c>
      <c r="GC2" s="165"/>
      <c r="GD2" s="165"/>
      <c r="GE2" s="165" t="s">
        <v>31</v>
      </c>
      <c r="GF2" s="165"/>
      <c r="GG2" s="165"/>
      <c r="GH2" s="165" t="s">
        <v>32</v>
      </c>
      <c r="GI2" s="165"/>
      <c r="GJ2" s="165"/>
      <c r="GK2" s="165" t="s">
        <v>77</v>
      </c>
      <c r="GL2" s="165"/>
      <c r="GM2" s="165"/>
      <c r="GN2" s="165"/>
      <c r="GO2" s="165" t="s">
        <v>78</v>
      </c>
      <c r="GP2" s="165"/>
      <c r="GQ2" s="165"/>
      <c r="GR2" s="165" t="s">
        <v>79</v>
      </c>
      <c r="GS2" s="165"/>
      <c r="GT2" s="165"/>
      <c r="GU2" s="164" t="s">
        <v>222</v>
      </c>
      <c r="GV2" s="165"/>
      <c r="GW2" s="165"/>
      <c r="GX2" s="164" t="s">
        <v>223</v>
      </c>
      <c r="GY2" s="165"/>
      <c r="GZ2" s="165"/>
      <c r="HA2" s="164" t="s">
        <v>224</v>
      </c>
      <c r="HB2" s="165"/>
      <c r="HC2" s="165"/>
      <c r="HD2" s="164" t="s">
        <v>225</v>
      </c>
      <c r="HE2" s="165"/>
      <c r="HF2" s="165"/>
      <c r="HG2" s="164" t="s">
        <v>226</v>
      </c>
      <c r="HH2" s="165"/>
      <c r="HI2" s="165"/>
      <c r="HJ2" s="164" t="s">
        <v>227</v>
      </c>
      <c r="HK2" s="165"/>
      <c r="HL2" s="165"/>
      <c r="HM2" s="164" t="s">
        <v>228</v>
      </c>
      <c r="HN2" s="165"/>
      <c r="HO2" s="165"/>
      <c r="HP2" s="183" t="s">
        <v>80</v>
      </c>
      <c r="HQ2" s="183"/>
      <c r="HR2" s="183"/>
      <c r="HS2" s="183"/>
      <c r="HT2" s="183"/>
      <c r="HU2" s="183"/>
      <c r="HV2" s="183"/>
      <c r="HW2" s="183"/>
      <c r="HX2" s="183"/>
      <c r="HY2" s="183"/>
      <c r="HZ2" s="183"/>
      <c r="IA2" s="183"/>
      <c r="IB2" s="183"/>
      <c r="IC2" s="183"/>
      <c r="ID2" s="183"/>
      <c r="IE2" s="184" t="s">
        <v>81</v>
      </c>
      <c r="IF2" s="184" t="s">
        <v>82</v>
      </c>
      <c r="IG2" s="186" t="s">
        <v>83</v>
      </c>
      <c r="IH2" s="186" t="s">
        <v>84</v>
      </c>
      <c r="II2" s="179" t="s">
        <v>85</v>
      </c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  <c r="JP2" s="39"/>
      <c r="JQ2" s="39"/>
    </row>
    <row r="3" spans="1:283" s="39" customFormat="1" ht="24" customHeight="1" x14ac:dyDescent="0.15">
      <c r="A3" s="189" t="s">
        <v>86</v>
      </c>
      <c r="B3" s="188"/>
      <c r="C3" s="188"/>
      <c r="D3" s="188"/>
      <c r="E3" s="188"/>
      <c r="F3" s="188" t="s">
        <v>87</v>
      </c>
      <c r="G3" s="188"/>
      <c r="H3" s="188"/>
      <c r="I3" s="188"/>
      <c r="J3" s="42" t="s">
        <v>88</v>
      </c>
      <c r="K3" s="42">
        <v>110.2</v>
      </c>
      <c r="L3" s="42" t="s">
        <v>89</v>
      </c>
      <c r="M3" s="188" t="s">
        <v>90</v>
      </c>
      <c r="N3" s="188"/>
      <c r="O3" s="188"/>
      <c r="P3" s="188"/>
      <c r="Q3" s="42" t="s">
        <v>88</v>
      </c>
      <c r="R3" s="42">
        <v>90.35</v>
      </c>
      <c r="S3" s="42" t="s">
        <v>89</v>
      </c>
      <c r="T3" s="188" t="s">
        <v>91</v>
      </c>
      <c r="U3" s="188"/>
      <c r="V3" s="188"/>
      <c r="W3" s="188"/>
      <c r="X3" s="42" t="s">
        <v>88</v>
      </c>
      <c r="Y3" s="42">
        <v>99.8</v>
      </c>
      <c r="Z3" s="42" t="s">
        <v>89</v>
      </c>
      <c r="AA3" s="188" t="s">
        <v>92</v>
      </c>
      <c r="AB3" s="188"/>
      <c r="AC3" s="188"/>
      <c r="AD3" s="188"/>
      <c r="AE3" s="42" t="s">
        <v>88</v>
      </c>
      <c r="AF3" s="42">
        <v>10.1</v>
      </c>
      <c r="AG3" s="42" t="s">
        <v>89</v>
      </c>
      <c r="AH3" s="188" t="s">
        <v>93</v>
      </c>
      <c r="AI3" s="188"/>
      <c r="AJ3" s="188"/>
      <c r="AK3" s="188"/>
      <c r="AL3" s="188"/>
      <c r="AM3" s="42" t="s">
        <v>88</v>
      </c>
      <c r="AN3" s="42">
        <v>30.05</v>
      </c>
      <c r="AO3" s="42" t="s">
        <v>89</v>
      </c>
      <c r="AP3" s="188" t="s">
        <v>94</v>
      </c>
      <c r="AQ3" s="188"/>
      <c r="AR3" s="188"/>
      <c r="AS3" s="188"/>
      <c r="AT3" s="42" t="s">
        <v>88</v>
      </c>
      <c r="AU3" s="42">
        <v>4.3499999999999996</v>
      </c>
      <c r="AV3" s="42" t="s">
        <v>89</v>
      </c>
      <c r="AW3" s="188" t="s">
        <v>95</v>
      </c>
      <c r="AX3" s="188"/>
      <c r="AY3" s="188"/>
      <c r="AZ3" s="188"/>
      <c r="BA3" s="42" t="s">
        <v>88</v>
      </c>
      <c r="BB3" s="42">
        <v>6.6</v>
      </c>
      <c r="BC3" s="42" t="s">
        <v>89</v>
      </c>
      <c r="BD3" s="188" t="s">
        <v>96</v>
      </c>
      <c r="BE3" s="188"/>
      <c r="BF3" s="188"/>
      <c r="BG3" s="188"/>
      <c r="BH3" s="42" t="s">
        <v>88</v>
      </c>
      <c r="BI3" s="42">
        <v>1.4</v>
      </c>
      <c r="BJ3" s="42" t="s">
        <v>89</v>
      </c>
      <c r="BK3" s="188" t="s">
        <v>97</v>
      </c>
      <c r="BL3" s="188"/>
      <c r="BM3" s="188"/>
      <c r="BN3" s="188"/>
      <c r="BO3" s="42" t="s">
        <v>88</v>
      </c>
      <c r="BP3" s="42">
        <v>0.8</v>
      </c>
      <c r="BQ3" s="42" t="s">
        <v>98</v>
      </c>
      <c r="BR3" s="188" t="s">
        <v>92</v>
      </c>
      <c r="BS3" s="188"/>
      <c r="BT3" s="188"/>
      <c r="BU3" s="188"/>
      <c r="BV3" s="42" t="s">
        <v>88</v>
      </c>
      <c r="BW3" s="42">
        <v>10.1</v>
      </c>
      <c r="BX3" s="42" t="s">
        <v>89</v>
      </c>
      <c r="BY3" s="188" t="s">
        <v>99</v>
      </c>
      <c r="BZ3" s="188"/>
      <c r="CA3" s="188"/>
      <c r="CB3" s="188"/>
      <c r="CC3" s="42" t="s">
        <v>88</v>
      </c>
      <c r="CD3" s="42">
        <v>15.15</v>
      </c>
      <c r="CE3" s="42" t="s">
        <v>89</v>
      </c>
      <c r="CF3" s="188" t="s">
        <v>100</v>
      </c>
      <c r="CG3" s="188"/>
      <c r="CH3" s="188"/>
      <c r="CI3" s="188"/>
      <c r="CJ3" s="42" t="s">
        <v>88</v>
      </c>
      <c r="CK3" s="42">
        <v>5.65</v>
      </c>
      <c r="CL3" s="42" t="s">
        <v>89</v>
      </c>
      <c r="CM3" s="188" t="s">
        <v>331</v>
      </c>
      <c r="CN3" s="188"/>
      <c r="CO3" s="188"/>
      <c r="CP3" s="188"/>
      <c r="CQ3" s="42" t="s">
        <v>88</v>
      </c>
      <c r="CR3" s="42">
        <v>44.2</v>
      </c>
      <c r="CS3" s="42" t="s">
        <v>89</v>
      </c>
      <c r="CT3" s="188" t="s">
        <v>330</v>
      </c>
      <c r="CU3" s="188"/>
      <c r="CV3" s="188"/>
      <c r="CW3" s="188"/>
      <c r="CX3" s="42" t="s">
        <v>88</v>
      </c>
      <c r="CY3" s="42">
        <v>44.2</v>
      </c>
      <c r="CZ3" s="42" t="s">
        <v>89</v>
      </c>
      <c r="DA3" s="188" t="s">
        <v>102</v>
      </c>
      <c r="DB3" s="188"/>
      <c r="DC3" s="188"/>
      <c r="DD3" s="188"/>
      <c r="DE3" s="42" t="s">
        <v>88</v>
      </c>
      <c r="DF3" s="42">
        <v>52.25</v>
      </c>
      <c r="DG3" s="42" t="s">
        <v>89</v>
      </c>
      <c r="DH3" s="188" t="s">
        <v>101</v>
      </c>
      <c r="DI3" s="188"/>
      <c r="DJ3" s="188"/>
      <c r="DK3" s="188"/>
      <c r="DL3" s="42" t="s">
        <v>88</v>
      </c>
      <c r="DM3" s="42">
        <v>44.2</v>
      </c>
      <c r="DN3" s="42" t="s">
        <v>89</v>
      </c>
      <c r="DO3" s="188" t="s">
        <v>103</v>
      </c>
      <c r="DP3" s="188"/>
      <c r="DQ3" s="188"/>
      <c r="DR3" s="188"/>
      <c r="DS3" s="42" t="s">
        <v>104</v>
      </c>
      <c r="DT3" s="42">
        <v>1</v>
      </c>
      <c r="DU3" s="42" t="s">
        <v>105</v>
      </c>
      <c r="DV3" s="188" t="s">
        <v>106</v>
      </c>
      <c r="DW3" s="188"/>
      <c r="DX3" s="188"/>
      <c r="DY3" s="188"/>
      <c r="DZ3" s="42" t="s">
        <v>104</v>
      </c>
      <c r="EA3" s="42">
        <v>1</v>
      </c>
      <c r="EB3" s="42" t="s">
        <v>105</v>
      </c>
      <c r="EC3" s="188" t="s">
        <v>107</v>
      </c>
      <c r="ED3" s="188"/>
      <c r="EE3" s="188"/>
      <c r="EF3" s="188"/>
      <c r="EG3" s="42" t="s">
        <v>104</v>
      </c>
      <c r="EH3" s="42">
        <v>1</v>
      </c>
      <c r="EI3" s="42" t="s">
        <v>105</v>
      </c>
      <c r="EJ3" s="188" t="s">
        <v>108</v>
      </c>
      <c r="EK3" s="188"/>
      <c r="EL3" s="188"/>
      <c r="EM3" s="188"/>
      <c r="EN3" s="42" t="s">
        <v>104</v>
      </c>
      <c r="EO3" s="42">
        <v>1</v>
      </c>
      <c r="EP3" s="42" t="s">
        <v>109</v>
      </c>
      <c r="EQ3" s="188" t="s">
        <v>110</v>
      </c>
      <c r="ER3" s="188"/>
      <c r="ES3" s="188"/>
      <c r="ET3" s="188"/>
      <c r="EU3" s="43" t="s">
        <v>104</v>
      </c>
      <c r="EV3" s="43">
        <v>1</v>
      </c>
      <c r="EW3" s="43" t="s">
        <v>111</v>
      </c>
      <c r="EX3" s="188" t="s">
        <v>110</v>
      </c>
      <c r="EY3" s="188"/>
      <c r="EZ3" s="188"/>
      <c r="FA3" s="188"/>
      <c r="FB3" s="42" t="s">
        <v>104</v>
      </c>
      <c r="FC3" s="42">
        <v>1</v>
      </c>
      <c r="FD3" s="42" t="s">
        <v>111</v>
      </c>
      <c r="FE3" s="190" t="s">
        <v>112</v>
      </c>
      <c r="FF3" s="191"/>
      <c r="FG3" s="191"/>
      <c r="FH3" s="192"/>
      <c r="FI3" s="42" t="s">
        <v>104</v>
      </c>
      <c r="FJ3" s="42">
        <v>1</v>
      </c>
      <c r="FK3" s="42" t="s">
        <v>113</v>
      </c>
      <c r="FL3" s="188" t="s">
        <v>114</v>
      </c>
      <c r="FM3" s="188"/>
      <c r="FN3" s="188"/>
      <c r="FO3" s="188"/>
      <c r="FP3" s="42" t="s">
        <v>104</v>
      </c>
      <c r="FQ3" s="42">
        <v>1</v>
      </c>
      <c r="FR3" s="42" t="s">
        <v>113</v>
      </c>
      <c r="FS3" s="167" t="s">
        <v>115</v>
      </c>
      <c r="FT3" s="167"/>
      <c r="FU3" s="167"/>
      <c r="FV3" s="167"/>
      <c r="FW3" s="167"/>
      <c r="FX3" s="167" t="s">
        <v>112</v>
      </c>
      <c r="FY3" s="167"/>
      <c r="FZ3" s="167"/>
      <c r="GA3" s="167"/>
      <c r="GB3" s="167" t="s">
        <v>116</v>
      </c>
      <c r="GC3" s="167"/>
      <c r="GD3" s="167"/>
      <c r="GE3" s="167" t="s">
        <v>117</v>
      </c>
      <c r="GF3" s="167"/>
      <c r="GG3" s="167"/>
      <c r="GH3" s="167" t="s">
        <v>118</v>
      </c>
      <c r="GI3" s="167"/>
      <c r="GJ3" s="167"/>
      <c r="GK3" s="167" t="s">
        <v>119</v>
      </c>
      <c r="GL3" s="167"/>
      <c r="GM3" s="167"/>
      <c r="GN3" s="167"/>
      <c r="GO3" s="167" t="s">
        <v>120</v>
      </c>
      <c r="GP3" s="167"/>
      <c r="GQ3" s="167"/>
      <c r="GR3" s="167" t="s">
        <v>121</v>
      </c>
      <c r="GS3" s="167"/>
      <c r="GT3" s="167"/>
      <c r="GU3" s="166" t="s">
        <v>229</v>
      </c>
      <c r="GV3" s="167"/>
      <c r="GW3" s="167"/>
      <c r="GX3" s="166" t="s">
        <v>230</v>
      </c>
      <c r="GY3" s="167"/>
      <c r="GZ3" s="167"/>
      <c r="HA3" s="166" t="s">
        <v>229</v>
      </c>
      <c r="HB3" s="167"/>
      <c r="HC3" s="167"/>
      <c r="HD3" s="166" t="s">
        <v>231</v>
      </c>
      <c r="HE3" s="167"/>
      <c r="HF3" s="167"/>
      <c r="HG3" s="166" t="s">
        <v>230</v>
      </c>
      <c r="HH3" s="167"/>
      <c r="HI3" s="167"/>
      <c r="HJ3" s="166" t="s">
        <v>232</v>
      </c>
      <c r="HK3" s="167"/>
      <c r="HL3" s="167"/>
      <c r="HM3" s="166" t="s">
        <v>230</v>
      </c>
      <c r="HN3" s="167"/>
      <c r="HO3" s="167"/>
      <c r="HP3" s="193" t="s">
        <v>645</v>
      </c>
      <c r="HQ3" s="194"/>
      <c r="HR3" s="195"/>
      <c r="HS3" s="181" t="s">
        <v>647</v>
      </c>
      <c r="HT3" s="181"/>
      <c r="HU3" s="181"/>
      <c r="HV3" s="181" t="s">
        <v>646</v>
      </c>
      <c r="HW3" s="181"/>
      <c r="HX3" s="181"/>
      <c r="HY3" s="181"/>
      <c r="HZ3" s="181"/>
      <c r="IA3" s="181"/>
      <c r="IB3" s="182" t="s">
        <v>122</v>
      </c>
      <c r="IC3" s="182"/>
      <c r="ID3" s="182"/>
      <c r="IE3" s="185"/>
      <c r="IF3" s="185"/>
      <c r="IG3" s="187"/>
      <c r="IH3" s="187"/>
      <c r="II3" s="180"/>
    </row>
    <row r="4" spans="1:283" s="48" customFormat="1" ht="44.45" customHeight="1" x14ac:dyDescent="0.15">
      <c r="A4" s="196" t="s">
        <v>123</v>
      </c>
      <c r="B4" s="197" t="s">
        <v>124</v>
      </c>
      <c r="C4" s="197" t="s">
        <v>125</v>
      </c>
      <c r="D4" s="198" t="s">
        <v>126</v>
      </c>
      <c r="E4" s="198" t="s">
        <v>127</v>
      </c>
      <c r="F4" s="44" t="s">
        <v>128</v>
      </c>
      <c r="G4" s="44" t="s">
        <v>129</v>
      </c>
      <c r="H4" s="45" t="s">
        <v>130</v>
      </c>
      <c r="I4" s="44" t="s">
        <v>131</v>
      </c>
      <c r="J4" s="45" t="s">
        <v>132</v>
      </c>
      <c r="K4" s="46" t="s">
        <v>133</v>
      </c>
      <c r="L4" s="46" t="s">
        <v>134</v>
      </c>
      <c r="M4" s="44" t="s">
        <v>128</v>
      </c>
      <c r="N4" s="44" t="s">
        <v>129</v>
      </c>
      <c r="O4" s="45" t="s">
        <v>130</v>
      </c>
      <c r="P4" s="44" t="s">
        <v>131</v>
      </c>
      <c r="Q4" s="46" t="s">
        <v>132</v>
      </c>
      <c r="R4" s="46" t="s">
        <v>133</v>
      </c>
      <c r="S4" s="46" t="s">
        <v>134</v>
      </c>
      <c r="T4" s="44" t="s">
        <v>128</v>
      </c>
      <c r="U4" s="44" t="s">
        <v>129</v>
      </c>
      <c r="V4" s="45" t="s">
        <v>130</v>
      </c>
      <c r="W4" s="44" t="s">
        <v>131</v>
      </c>
      <c r="X4" s="46" t="s">
        <v>132</v>
      </c>
      <c r="Y4" s="46" t="s">
        <v>133</v>
      </c>
      <c r="Z4" s="46" t="s">
        <v>134</v>
      </c>
      <c r="AA4" s="44" t="s">
        <v>128</v>
      </c>
      <c r="AB4" s="44" t="s">
        <v>129</v>
      </c>
      <c r="AC4" s="45" t="s">
        <v>130</v>
      </c>
      <c r="AD4" s="44" t="s">
        <v>131</v>
      </c>
      <c r="AE4" s="46" t="s">
        <v>132</v>
      </c>
      <c r="AF4" s="46" t="s">
        <v>133</v>
      </c>
      <c r="AG4" s="46" t="s">
        <v>134</v>
      </c>
      <c r="AH4" s="44" t="s">
        <v>128</v>
      </c>
      <c r="AI4" s="44" t="s">
        <v>128</v>
      </c>
      <c r="AJ4" s="44" t="s">
        <v>129</v>
      </c>
      <c r="AK4" s="45" t="s">
        <v>130</v>
      </c>
      <c r="AL4" s="44" t="s">
        <v>131</v>
      </c>
      <c r="AM4" s="46" t="s">
        <v>132</v>
      </c>
      <c r="AN4" s="46" t="s">
        <v>133</v>
      </c>
      <c r="AO4" s="46" t="s">
        <v>134</v>
      </c>
      <c r="AP4" s="44" t="s">
        <v>128</v>
      </c>
      <c r="AQ4" s="44" t="s">
        <v>129</v>
      </c>
      <c r="AR4" s="45" t="s">
        <v>130</v>
      </c>
      <c r="AS4" s="44" t="s">
        <v>131</v>
      </c>
      <c r="AT4" s="46" t="s">
        <v>132</v>
      </c>
      <c r="AU4" s="46" t="s">
        <v>133</v>
      </c>
      <c r="AV4" s="46" t="s">
        <v>134</v>
      </c>
      <c r="AW4" s="44" t="s">
        <v>128</v>
      </c>
      <c r="AX4" s="44" t="s">
        <v>129</v>
      </c>
      <c r="AY4" s="45" t="s">
        <v>130</v>
      </c>
      <c r="AZ4" s="44" t="s">
        <v>131</v>
      </c>
      <c r="BA4" s="46" t="s">
        <v>132</v>
      </c>
      <c r="BB4" s="46" t="s">
        <v>133</v>
      </c>
      <c r="BC4" s="46" t="s">
        <v>134</v>
      </c>
      <c r="BD4" s="44" t="s">
        <v>128</v>
      </c>
      <c r="BE4" s="44" t="s">
        <v>129</v>
      </c>
      <c r="BF4" s="44" t="s">
        <v>130</v>
      </c>
      <c r="BG4" s="44" t="s">
        <v>131</v>
      </c>
      <c r="BH4" s="46" t="s">
        <v>132</v>
      </c>
      <c r="BI4" s="46" t="s">
        <v>133</v>
      </c>
      <c r="BJ4" s="46" t="s">
        <v>133</v>
      </c>
      <c r="BK4" s="44" t="s">
        <v>128</v>
      </c>
      <c r="BL4" s="44" t="s">
        <v>129</v>
      </c>
      <c r="BM4" s="45" t="s">
        <v>130</v>
      </c>
      <c r="BN4" s="44" t="s">
        <v>131</v>
      </c>
      <c r="BO4" s="46" t="s">
        <v>132</v>
      </c>
      <c r="BP4" s="46" t="s">
        <v>133</v>
      </c>
      <c r="BQ4" s="46" t="s">
        <v>134</v>
      </c>
      <c r="BR4" s="44" t="s">
        <v>128</v>
      </c>
      <c r="BS4" s="44" t="s">
        <v>129</v>
      </c>
      <c r="BT4" s="45" t="s">
        <v>130</v>
      </c>
      <c r="BU4" s="44" t="s">
        <v>131</v>
      </c>
      <c r="BV4" s="46" t="s">
        <v>132</v>
      </c>
      <c r="BW4" s="46" t="s">
        <v>133</v>
      </c>
      <c r="BX4" s="46" t="s">
        <v>134</v>
      </c>
      <c r="BY4" s="44" t="s">
        <v>128</v>
      </c>
      <c r="BZ4" s="44" t="s">
        <v>129</v>
      </c>
      <c r="CA4" s="45" t="s">
        <v>130</v>
      </c>
      <c r="CB4" s="44" t="s">
        <v>131</v>
      </c>
      <c r="CC4" s="46" t="s">
        <v>132</v>
      </c>
      <c r="CD4" s="46" t="s">
        <v>133</v>
      </c>
      <c r="CE4" s="46" t="s">
        <v>133</v>
      </c>
      <c r="CF4" s="44" t="s">
        <v>128</v>
      </c>
      <c r="CG4" s="44" t="s">
        <v>129</v>
      </c>
      <c r="CH4" s="45" t="s">
        <v>130</v>
      </c>
      <c r="CI4" s="44" t="s">
        <v>131</v>
      </c>
      <c r="CJ4" s="46" t="s">
        <v>132</v>
      </c>
      <c r="CK4" s="46" t="s">
        <v>133</v>
      </c>
      <c r="CL4" s="46" t="s">
        <v>134</v>
      </c>
      <c r="CM4" s="44" t="s">
        <v>128</v>
      </c>
      <c r="CN4" s="44" t="s">
        <v>129</v>
      </c>
      <c r="CO4" s="45" t="s">
        <v>130</v>
      </c>
      <c r="CP4" s="44" t="s">
        <v>131</v>
      </c>
      <c r="CQ4" s="46" t="s">
        <v>132</v>
      </c>
      <c r="CR4" s="46" t="s">
        <v>133</v>
      </c>
      <c r="CS4" s="46" t="s">
        <v>134</v>
      </c>
      <c r="CT4" s="44" t="s">
        <v>128</v>
      </c>
      <c r="CU4" s="44" t="s">
        <v>129</v>
      </c>
      <c r="CV4" s="45" t="s">
        <v>130</v>
      </c>
      <c r="CW4" s="44" t="s">
        <v>131</v>
      </c>
      <c r="CX4" s="46" t="s">
        <v>132</v>
      </c>
      <c r="CY4" s="46" t="s">
        <v>133</v>
      </c>
      <c r="CZ4" s="46" t="s">
        <v>134</v>
      </c>
      <c r="DA4" s="44" t="s">
        <v>128</v>
      </c>
      <c r="DB4" s="44" t="s">
        <v>129</v>
      </c>
      <c r="DC4" s="45" t="s">
        <v>130</v>
      </c>
      <c r="DD4" s="44" t="s">
        <v>131</v>
      </c>
      <c r="DE4" s="46" t="s">
        <v>132</v>
      </c>
      <c r="DF4" s="46" t="s">
        <v>133</v>
      </c>
      <c r="DG4" s="46" t="s">
        <v>134</v>
      </c>
      <c r="DH4" s="44" t="s">
        <v>128</v>
      </c>
      <c r="DI4" s="44" t="s">
        <v>129</v>
      </c>
      <c r="DJ4" s="45" t="s">
        <v>130</v>
      </c>
      <c r="DK4" s="44" t="s">
        <v>131</v>
      </c>
      <c r="DL4" s="46" t="s">
        <v>132</v>
      </c>
      <c r="DM4" s="46" t="s">
        <v>133</v>
      </c>
      <c r="DN4" s="46" t="s">
        <v>134</v>
      </c>
      <c r="DO4" s="44" t="s">
        <v>135</v>
      </c>
      <c r="DP4" s="44" t="s">
        <v>129</v>
      </c>
      <c r="DQ4" s="45" t="s">
        <v>130</v>
      </c>
      <c r="DR4" s="44" t="s">
        <v>136</v>
      </c>
      <c r="DS4" s="46" t="s">
        <v>137</v>
      </c>
      <c r="DT4" s="46" t="s">
        <v>138</v>
      </c>
      <c r="DU4" s="46" t="s">
        <v>139</v>
      </c>
      <c r="DV4" s="44" t="s">
        <v>135</v>
      </c>
      <c r="DW4" s="44" t="s">
        <v>129</v>
      </c>
      <c r="DX4" s="45" t="s">
        <v>130</v>
      </c>
      <c r="DY4" s="44" t="s">
        <v>136</v>
      </c>
      <c r="DZ4" s="46" t="s">
        <v>137</v>
      </c>
      <c r="EA4" s="46" t="s">
        <v>138</v>
      </c>
      <c r="EB4" s="46" t="s">
        <v>139</v>
      </c>
      <c r="EC4" s="44" t="s">
        <v>135</v>
      </c>
      <c r="ED4" s="44" t="s">
        <v>129</v>
      </c>
      <c r="EE4" s="45" t="s">
        <v>130</v>
      </c>
      <c r="EF4" s="44" t="s">
        <v>136</v>
      </c>
      <c r="EG4" s="46" t="s">
        <v>137</v>
      </c>
      <c r="EH4" s="46" t="s">
        <v>138</v>
      </c>
      <c r="EI4" s="46" t="s">
        <v>139</v>
      </c>
      <c r="EJ4" s="44" t="s">
        <v>135</v>
      </c>
      <c r="EK4" s="44" t="s">
        <v>129</v>
      </c>
      <c r="EL4" s="45" t="s">
        <v>130</v>
      </c>
      <c r="EM4" s="44" t="s">
        <v>136</v>
      </c>
      <c r="EN4" s="46" t="s">
        <v>137</v>
      </c>
      <c r="EO4" s="46" t="s">
        <v>138</v>
      </c>
      <c r="EP4" s="46" t="s">
        <v>139</v>
      </c>
      <c r="EQ4" s="44" t="s">
        <v>135</v>
      </c>
      <c r="ER4" s="44" t="s">
        <v>129</v>
      </c>
      <c r="ES4" s="45" t="s">
        <v>130</v>
      </c>
      <c r="ET4" s="44" t="s">
        <v>136</v>
      </c>
      <c r="EU4" s="46" t="s">
        <v>137</v>
      </c>
      <c r="EV4" s="46" t="s">
        <v>138</v>
      </c>
      <c r="EW4" s="46" t="s">
        <v>139</v>
      </c>
      <c r="EX4" s="44" t="s">
        <v>135</v>
      </c>
      <c r="EY4" s="44" t="s">
        <v>129</v>
      </c>
      <c r="EZ4" s="45" t="s">
        <v>130</v>
      </c>
      <c r="FA4" s="44" t="s">
        <v>136</v>
      </c>
      <c r="FB4" s="46" t="s">
        <v>137</v>
      </c>
      <c r="FC4" s="46" t="s">
        <v>138</v>
      </c>
      <c r="FD4" s="46" t="s">
        <v>139</v>
      </c>
      <c r="FE4" s="44" t="s">
        <v>135</v>
      </c>
      <c r="FF4" s="44" t="s">
        <v>129</v>
      </c>
      <c r="FG4" s="45" t="s">
        <v>130</v>
      </c>
      <c r="FH4" s="44" t="s">
        <v>136</v>
      </c>
      <c r="FI4" s="46" t="s">
        <v>137</v>
      </c>
      <c r="FJ4" s="46" t="s">
        <v>138</v>
      </c>
      <c r="FK4" s="46" t="s">
        <v>139</v>
      </c>
      <c r="FL4" s="44" t="s">
        <v>135</v>
      </c>
      <c r="FM4" s="44" t="s">
        <v>129</v>
      </c>
      <c r="FN4" s="45" t="s">
        <v>130</v>
      </c>
      <c r="FO4" s="44" t="s">
        <v>136</v>
      </c>
      <c r="FP4" s="46" t="s">
        <v>137</v>
      </c>
      <c r="FQ4" s="46" t="s">
        <v>138</v>
      </c>
      <c r="FR4" s="46" t="s">
        <v>139</v>
      </c>
      <c r="FS4" s="44" t="s">
        <v>135</v>
      </c>
      <c r="FT4" s="44" t="s">
        <v>135</v>
      </c>
      <c r="FU4" s="44" t="s">
        <v>140</v>
      </c>
      <c r="FV4" s="45" t="s">
        <v>130</v>
      </c>
      <c r="FW4" s="46" t="s">
        <v>141</v>
      </c>
      <c r="FX4" s="44" t="s">
        <v>135</v>
      </c>
      <c r="FY4" s="44" t="s">
        <v>140</v>
      </c>
      <c r="FZ4" s="45" t="s">
        <v>130</v>
      </c>
      <c r="GA4" s="46" t="s">
        <v>141</v>
      </c>
      <c r="GB4" s="44" t="s">
        <v>135</v>
      </c>
      <c r="GC4" s="44" t="s">
        <v>140</v>
      </c>
      <c r="GD4" s="45" t="s">
        <v>130</v>
      </c>
      <c r="GE4" s="44" t="s">
        <v>135</v>
      </c>
      <c r="GF4" s="44" t="s">
        <v>140</v>
      </c>
      <c r="GG4" s="45" t="s">
        <v>130</v>
      </c>
      <c r="GH4" s="44" t="s">
        <v>135</v>
      </c>
      <c r="GI4" s="44" t="s">
        <v>140</v>
      </c>
      <c r="GJ4" s="45" t="s">
        <v>130</v>
      </c>
      <c r="GK4" s="44" t="s">
        <v>135</v>
      </c>
      <c r="GL4" s="44" t="s">
        <v>140</v>
      </c>
      <c r="GM4" s="45" t="s">
        <v>130</v>
      </c>
      <c r="GN4" s="44" t="s">
        <v>142</v>
      </c>
      <c r="GO4" s="44" t="s">
        <v>135</v>
      </c>
      <c r="GP4" s="44" t="s">
        <v>140</v>
      </c>
      <c r="GQ4" s="45" t="s">
        <v>130</v>
      </c>
      <c r="GR4" s="44" t="s">
        <v>135</v>
      </c>
      <c r="GS4" s="44" t="s">
        <v>140</v>
      </c>
      <c r="GT4" s="45" t="s">
        <v>130</v>
      </c>
      <c r="GU4" s="44" t="s">
        <v>135</v>
      </c>
      <c r="GV4" s="44" t="s">
        <v>140</v>
      </c>
      <c r="GW4" s="45" t="s">
        <v>130</v>
      </c>
      <c r="GX4" s="44" t="s">
        <v>135</v>
      </c>
      <c r="GY4" s="44" t="s">
        <v>140</v>
      </c>
      <c r="GZ4" s="45" t="s">
        <v>130</v>
      </c>
      <c r="HA4" s="44" t="s">
        <v>135</v>
      </c>
      <c r="HB4" s="44" t="s">
        <v>140</v>
      </c>
      <c r="HC4" s="45" t="s">
        <v>130</v>
      </c>
      <c r="HD4" s="44" t="s">
        <v>135</v>
      </c>
      <c r="HE4" s="44" t="s">
        <v>140</v>
      </c>
      <c r="HF4" s="45" t="s">
        <v>130</v>
      </c>
      <c r="HG4" s="44" t="s">
        <v>135</v>
      </c>
      <c r="HH4" s="44" t="s">
        <v>140</v>
      </c>
      <c r="HI4" s="45" t="s">
        <v>130</v>
      </c>
      <c r="HJ4" s="44" t="s">
        <v>135</v>
      </c>
      <c r="HK4" s="44" t="s">
        <v>140</v>
      </c>
      <c r="HL4" s="45" t="s">
        <v>130</v>
      </c>
      <c r="HM4" s="44" t="s">
        <v>135</v>
      </c>
      <c r="HN4" s="44" t="s">
        <v>140</v>
      </c>
      <c r="HO4" s="45" t="s">
        <v>130</v>
      </c>
      <c r="HP4" s="44" t="s">
        <v>135</v>
      </c>
      <c r="HQ4" s="44" t="s">
        <v>140</v>
      </c>
      <c r="HR4" s="44" t="s">
        <v>130</v>
      </c>
      <c r="HS4" s="44" t="s">
        <v>135</v>
      </c>
      <c r="HT4" s="44" t="s">
        <v>140</v>
      </c>
      <c r="HU4" s="44" t="s">
        <v>130</v>
      </c>
      <c r="HV4" s="44" t="s">
        <v>135</v>
      </c>
      <c r="HW4" s="44" t="s">
        <v>140</v>
      </c>
      <c r="HX4" s="44" t="s">
        <v>130</v>
      </c>
      <c r="HY4" s="47" t="s">
        <v>135</v>
      </c>
      <c r="HZ4" s="47" t="s">
        <v>140</v>
      </c>
      <c r="IA4" s="44" t="s">
        <v>130</v>
      </c>
      <c r="IB4" s="44" t="s">
        <v>135</v>
      </c>
      <c r="IC4" s="44" t="s">
        <v>140</v>
      </c>
      <c r="ID4" s="44" t="s">
        <v>130</v>
      </c>
      <c r="IE4" s="185"/>
      <c r="IF4" s="185"/>
      <c r="IG4" s="187"/>
      <c r="IH4" s="187"/>
      <c r="II4" s="180"/>
      <c r="IJ4" s="39" t="s">
        <v>143</v>
      </c>
      <c r="IK4" s="39"/>
      <c r="IL4" s="39"/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  <c r="JP4" s="39"/>
      <c r="JQ4" s="39"/>
    </row>
    <row r="5" spans="1:283" s="39" customFormat="1" ht="18" customHeight="1" x14ac:dyDescent="0.15">
      <c r="A5" s="196"/>
      <c r="B5" s="197"/>
      <c r="C5" s="197"/>
      <c r="D5" s="198"/>
      <c r="E5" s="198"/>
      <c r="F5" s="43" t="s">
        <v>144</v>
      </c>
      <c r="G5" s="43" t="s">
        <v>145</v>
      </c>
      <c r="H5" s="49" t="s">
        <v>146</v>
      </c>
      <c r="I5" s="43" t="s">
        <v>147</v>
      </c>
      <c r="J5" s="46" t="s">
        <v>148</v>
      </c>
      <c r="K5" s="42" t="s">
        <v>144</v>
      </c>
      <c r="L5" s="42" t="s">
        <v>145</v>
      </c>
      <c r="M5" s="43" t="s">
        <v>144</v>
      </c>
      <c r="N5" s="43" t="s">
        <v>145</v>
      </c>
      <c r="O5" s="49" t="s">
        <v>146</v>
      </c>
      <c r="P5" s="43" t="s">
        <v>147</v>
      </c>
      <c r="Q5" s="46" t="s">
        <v>148</v>
      </c>
      <c r="R5" s="42" t="s">
        <v>144</v>
      </c>
      <c r="S5" s="42" t="s">
        <v>145</v>
      </c>
      <c r="T5" s="43" t="s">
        <v>144</v>
      </c>
      <c r="U5" s="43" t="s">
        <v>145</v>
      </c>
      <c r="V5" s="49" t="s">
        <v>146</v>
      </c>
      <c r="W5" s="43" t="s">
        <v>147</v>
      </c>
      <c r="X5" s="46" t="s">
        <v>148</v>
      </c>
      <c r="Y5" s="42" t="s">
        <v>144</v>
      </c>
      <c r="Z5" s="42" t="s">
        <v>145</v>
      </c>
      <c r="AA5" s="43" t="s">
        <v>144</v>
      </c>
      <c r="AB5" s="43" t="s">
        <v>145</v>
      </c>
      <c r="AC5" s="49" t="s">
        <v>146</v>
      </c>
      <c r="AD5" s="43" t="s">
        <v>147</v>
      </c>
      <c r="AE5" s="46" t="s">
        <v>148</v>
      </c>
      <c r="AF5" s="42" t="s">
        <v>144</v>
      </c>
      <c r="AG5" s="42" t="s">
        <v>145</v>
      </c>
      <c r="AH5" s="43" t="s">
        <v>149</v>
      </c>
      <c r="AI5" s="43" t="s">
        <v>144</v>
      </c>
      <c r="AJ5" s="43" t="s">
        <v>145</v>
      </c>
      <c r="AK5" s="49" t="s">
        <v>146</v>
      </c>
      <c r="AL5" s="43" t="s">
        <v>147</v>
      </c>
      <c r="AM5" s="46" t="s">
        <v>148</v>
      </c>
      <c r="AN5" s="42" t="s">
        <v>144</v>
      </c>
      <c r="AO5" s="42" t="s">
        <v>145</v>
      </c>
      <c r="AP5" s="43" t="s">
        <v>144</v>
      </c>
      <c r="AQ5" s="43" t="s">
        <v>145</v>
      </c>
      <c r="AR5" s="49" t="s">
        <v>146</v>
      </c>
      <c r="AS5" s="43" t="s">
        <v>147</v>
      </c>
      <c r="AT5" s="46" t="s">
        <v>148</v>
      </c>
      <c r="AU5" s="42" t="s">
        <v>144</v>
      </c>
      <c r="AV5" s="42" t="s">
        <v>145</v>
      </c>
      <c r="AW5" s="43" t="s">
        <v>144</v>
      </c>
      <c r="AX5" s="43" t="s">
        <v>145</v>
      </c>
      <c r="AY5" s="49" t="s">
        <v>146</v>
      </c>
      <c r="AZ5" s="43" t="s">
        <v>147</v>
      </c>
      <c r="BA5" s="46" t="s">
        <v>148</v>
      </c>
      <c r="BB5" s="42" t="s">
        <v>144</v>
      </c>
      <c r="BC5" s="42" t="s">
        <v>145</v>
      </c>
      <c r="BD5" s="43" t="s">
        <v>144</v>
      </c>
      <c r="BE5" s="43" t="s">
        <v>145</v>
      </c>
      <c r="BF5" s="43" t="s">
        <v>146</v>
      </c>
      <c r="BG5" s="43" t="s">
        <v>147</v>
      </c>
      <c r="BH5" s="46" t="s">
        <v>148</v>
      </c>
      <c r="BI5" s="42" t="s">
        <v>144</v>
      </c>
      <c r="BJ5" s="42" t="s">
        <v>145</v>
      </c>
      <c r="BK5" s="43" t="s">
        <v>144</v>
      </c>
      <c r="BL5" s="43" t="s">
        <v>145</v>
      </c>
      <c r="BM5" s="49" t="s">
        <v>146</v>
      </c>
      <c r="BN5" s="43" t="s">
        <v>147</v>
      </c>
      <c r="BO5" s="46" t="s">
        <v>148</v>
      </c>
      <c r="BP5" s="42" t="s">
        <v>144</v>
      </c>
      <c r="BQ5" s="42" t="s">
        <v>145</v>
      </c>
      <c r="BR5" s="43" t="s">
        <v>144</v>
      </c>
      <c r="BS5" s="43" t="s">
        <v>145</v>
      </c>
      <c r="BT5" s="49" t="s">
        <v>146</v>
      </c>
      <c r="BU5" s="43" t="s">
        <v>147</v>
      </c>
      <c r="BV5" s="46" t="s">
        <v>148</v>
      </c>
      <c r="BW5" s="42" t="s">
        <v>144</v>
      </c>
      <c r="BX5" s="42" t="s">
        <v>145</v>
      </c>
      <c r="BY5" s="43" t="s">
        <v>144</v>
      </c>
      <c r="BZ5" s="43" t="s">
        <v>145</v>
      </c>
      <c r="CA5" s="49" t="s">
        <v>146</v>
      </c>
      <c r="CB5" s="43" t="s">
        <v>147</v>
      </c>
      <c r="CC5" s="46" t="s">
        <v>148</v>
      </c>
      <c r="CD5" s="42" t="s">
        <v>144</v>
      </c>
      <c r="CE5" s="42" t="s">
        <v>145</v>
      </c>
      <c r="CF5" s="43" t="s">
        <v>144</v>
      </c>
      <c r="CG5" s="43" t="s">
        <v>145</v>
      </c>
      <c r="CH5" s="49" t="s">
        <v>146</v>
      </c>
      <c r="CI5" s="43" t="s">
        <v>147</v>
      </c>
      <c r="CJ5" s="46" t="s">
        <v>148</v>
      </c>
      <c r="CK5" s="42" t="s">
        <v>144</v>
      </c>
      <c r="CL5" s="42" t="s">
        <v>145</v>
      </c>
      <c r="CM5" s="43" t="s">
        <v>144</v>
      </c>
      <c r="CN5" s="43" t="s">
        <v>145</v>
      </c>
      <c r="CO5" s="49" t="s">
        <v>146</v>
      </c>
      <c r="CP5" s="43" t="s">
        <v>147</v>
      </c>
      <c r="CQ5" s="46" t="s">
        <v>148</v>
      </c>
      <c r="CR5" s="42" t="s">
        <v>144</v>
      </c>
      <c r="CS5" s="42" t="s">
        <v>145</v>
      </c>
      <c r="CT5" s="43" t="s">
        <v>144</v>
      </c>
      <c r="CU5" s="43" t="s">
        <v>145</v>
      </c>
      <c r="CV5" s="49" t="s">
        <v>146</v>
      </c>
      <c r="CW5" s="43" t="s">
        <v>147</v>
      </c>
      <c r="CX5" s="46" t="s">
        <v>148</v>
      </c>
      <c r="CY5" s="42" t="s">
        <v>144</v>
      </c>
      <c r="CZ5" s="42" t="s">
        <v>145</v>
      </c>
      <c r="DA5" s="43" t="s">
        <v>144</v>
      </c>
      <c r="DB5" s="43" t="s">
        <v>145</v>
      </c>
      <c r="DC5" s="49" t="s">
        <v>146</v>
      </c>
      <c r="DD5" s="43" t="s">
        <v>147</v>
      </c>
      <c r="DE5" s="46" t="s">
        <v>148</v>
      </c>
      <c r="DF5" s="42" t="s">
        <v>144</v>
      </c>
      <c r="DG5" s="42" t="s">
        <v>145</v>
      </c>
      <c r="DH5" s="43" t="s">
        <v>144</v>
      </c>
      <c r="DI5" s="43" t="s">
        <v>145</v>
      </c>
      <c r="DJ5" s="49" t="s">
        <v>146</v>
      </c>
      <c r="DK5" s="43" t="s">
        <v>147</v>
      </c>
      <c r="DL5" s="46" t="s">
        <v>148</v>
      </c>
      <c r="DM5" s="42" t="s">
        <v>144</v>
      </c>
      <c r="DN5" s="42" t="s">
        <v>145</v>
      </c>
      <c r="DO5" s="43" t="s">
        <v>149</v>
      </c>
      <c r="DP5" s="43" t="s">
        <v>145</v>
      </c>
      <c r="DQ5" s="49" t="s">
        <v>146</v>
      </c>
      <c r="DR5" s="43" t="s">
        <v>147</v>
      </c>
      <c r="DS5" s="46" t="s">
        <v>150</v>
      </c>
      <c r="DT5" s="42" t="s">
        <v>149</v>
      </c>
      <c r="DU5" s="42" t="s">
        <v>145</v>
      </c>
      <c r="DV5" s="43" t="s">
        <v>151</v>
      </c>
      <c r="DW5" s="43" t="s">
        <v>145</v>
      </c>
      <c r="DX5" s="49" t="s">
        <v>146</v>
      </c>
      <c r="DY5" s="43" t="s">
        <v>147</v>
      </c>
      <c r="DZ5" s="46" t="s">
        <v>152</v>
      </c>
      <c r="EA5" s="42" t="s">
        <v>151</v>
      </c>
      <c r="EB5" s="42" t="s">
        <v>145</v>
      </c>
      <c r="EC5" s="43" t="s">
        <v>151</v>
      </c>
      <c r="ED5" s="43" t="s">
        <v>145</v>
      </c>
      <c r="EE5" s="49" t="s">
        <v>146</v>
      </c>
      <c r="EF5" s="43" t="s">
        <v>151</v>
      </c>
      <c r="EG5" s="46" t="s">
        <v>152</v>
      </c>
      <c r="EH5" s="42" t="s">
        <v>151</v>
      </c>
      <c r="EI5" s="42" t="s">
        <v>145</v>
      </c>
      <c r="EJ5" s="43" t="s">
        <v>153</v>
      </c>
      <c r="EK5" s="43" t="s">
        <v>145</v>
      </c>
      <c r="EL5" s="49" t="s">
        <v>146</v>
      </c>
      <c r="EM5" s="43" t="s">
        <v>153</v>
      </c>
      <c r="EN5" s="46" t="s">
        <v>154</v>
      </c>
      <c r="EO5" s="42" t="s">
        <v>153</v>
      </c>
      <c r="EP5" s="42" t="s">
        <v>145</v>
      </c>
      <c r="EQ5" s="43" t="s">
        <v>155</v>
      </c>
      <c r="ER5" s="43" t="s">
        <v>145</v>
      </c>
      <c r="ES5" s="49" t="s">
        <v>146</v>
      </c>
      <c r="ET5" s="43" t="s">
        <v>147</v>
      </c>
      <c r="EU5" s="44" t="s">
        <v>156</v>
      </c>
      <c r="EV5" s="43" t="s">
        <v>155</v>
      </c>
      <c r="EW5" s="43" t="s">
        <v>145</v>
      </c>
      <c r="EX5" s="43" t="s">
        <v>155</v>
      </c>
      <c r="EY5" s="43" t="s">
        <v>145</v>
      </c>
      <c r="EZ5" s="49" t="s">
        <v>146</v>
      </c>
      <c r="FA5" s="43" t="s">
        <v>155</v>
      </c>
      <c r="FB5" s="46" t="s">
        <v>156</v>
      </c>
      <c r="FC5" s="42" t="s">
        <v>155</v>
      </c>
      <c r="FD5" s="42" t="s">
        <v>145</v>
      </c>
      <c r="FE5" s="43" t="s">
        <v>157</v>
      </c>
      <c r="FF5" s="43" t="s">
        <v>145</v>
      </c>
      <c r="FG5" s="49" t="s">
        <v>146</v>
      </c>
      <c r="FH5" s="43" t="s">
        <v>157</v>
      </c>
      <c r="FI5" s="46" t="s">
        <v>158</v>
      </c>
      <c r="FJ5" s="42" t="s">
        <v>157</v>
      </c>
      <c r="FK5" s="42" t="s">
        <v>145</v>
      </c>
      <c r="FL5" s="43" t="s">
        <v>157</v>
      </c>
      <c r="FM5" s="43" t="s">
        <v>145</v>
      </c>
      <c r="FN5" s="49" t="s">
        <v>146</v>
      </c>
      <c r="FO5" s="43" t="s">
        <v>157</v>
      </c>
      <c r="FP5" s="46" t="s">
        <v>158</v>
      </c>
      <c r="FQ5" s="42" t="s">
        <v>157</v>
      </c>
      <c r="FR5" s="42" t="s">
        <v>145</v>
      </c>
      <c r="FS5" s="43" t="s">
        <v>149</v>
      </c>
      <c r="FT5" s="43" t="s">
        <v>157</v>
      </c>
      <c r="FU5" s="43" t="s">
        <v>145</v>
      </c>
      <c r="FV5" s="49" t="s">
        <v>159</v>
      </c>
      <c r="FW5" s="42" t="s">
        <v>160</v>
      </c>
      <c r="FX5" s="43" t="s">
        <v>157</v>
      </c>
      <c r="FY5" s="43" t="s">
        <v>145</v>
      </c>
      <c r="FZ5" s="49" t="s">
        <v>159</v>
      </c>
      <c r="GA5" s="42" t="s">
        <v>160</v>
      </c>
      <c r="GB5" s="43" t="s">
        <v>161</v>
      </c>
      <c r="GC5" s="43" t="s">
        <v>145</v>
      </c>
      <c r="GD5" s="49" t="s">
        <v>159</v>
      </c>
      <c r="GE5" s="43" t="s">
        <v>144</v>
      </c>
      <c r="GF5" s="43" t="s">
        <v>145</v>
      </c>
      <c r="GG5" s="49" t="s">
        <v>159</v>
      </c>
      <c r="GH5" s="43" t="s">
        <v>149</v>
      </c>
      <c r="GI5" s="43" t="s">
        <v>145</v>
      </c>
      <c r="GJ5" s="49" t="s">
        <v>159</v>
      </c>
      <c r="GK5" s="43" t="s">
        <v>162</v>
      </c>
      <c r="GL5" s="43" t="s">
        <v>145</v>
      </c>
      <c r="GM5" s="49" t="s">
        <v>159</v>
      </c>
      <c r="GN5" s="43" t="s">
        <v>145</v>
      </c>
      <c r="GO5" s="43" t="s">
        <v>162</v>
      </c>
      <c r="GP5" s="43" t="s">
        <v>145</v>
      </c>
      <c r="GQ5" s="49" t="s">
        <v>159</v>
      </c>
      <c r="GR5" s="43" t="s">
        <v>162</v>
      </c>
      <c r="GS5" s="43" t="s">
        <v>145</v>
      </c>
      <c r="GT5" s="49" t="s">
        <v>159</v>
      </c>
      <c r="GU5" s="43" t="s">
        <v>162</v>
      </c>
      <c r="GV5" s="43" t="s">
        <v>145</v>
      </c>
      <c r="GW5" s="49" t="s">
        <v>159</v>
      </c>
      <c r="GX5" s="43" t="s">
        <v>162</v>
      </c>
      <c r="GY5" s="43" t="s">
        <v>145</v>
      </c>
      <c r="GZ5" s="49" t="s">
        <v>159</v>
      </c>
      <c r="HA5" s="43" t="s">
        <v>162</v>
      </c>
      <c r="HB5" s="43" t="s">
        <v>145</v>
      </c>
      <c r="HC5" s="49" t="s">
        <v>159</v>
      </c>
      <c r="HD5" s="43" t="s">
        <v>162</v>
      </c>
      <c r="HE5" s="43" t="s">
        <v>145</v>
      </c>
      <c r="HF5" s="49" t="s">
        <v>159</v>
      </c>
      <c r="HG5" s="43" t="s">
        <v>162</v>
      </c>
      <c r="HH5" s="43" t="s">
        <v>145</v>
      </c>
      <c r="HI5" s="49" t="s">
        <v>159</v>
      </c>
      <c r="HJ5" s="43" t="s">
        <v>162</v>
      </c>
      <c r="HK5" s="43" t="s">
        <v>145</v>
      </c>
      <c r="HL5" s="49" t="s">
        <v>159</v>
      </c>
      <c r="HM5" s="43" t="s">
        <v>162</v>
      </c>
      <c r="HN5" s="43" t="s">
        <v>145</v>
      </c>
      <c r="HO5" s="49" t="s">
        <v>159</v>
      </c>
      <c r="HP5" s="43" t="s">
        <v>162</v>
      </c>
      <c r="HQ5" s="43" t="s">
        <v>145</v>
      </c>
      <c r="HR5" s="43" t="s">
        <v>159</v>
      </c>
      <c r="HS5" s="43" t="s">
        <v>162</v>
      </c>
      <c r="HT5" s="43" t="s">
        <v>145</v>
      </c>
      <c r="HU5" s="43" t="s">
        <v>159</v>
      </c>
      <c r="HV5" s="43" t="s">
        <v>162</v>
      </c>
      <c r="HW5" s="43" t="s">
        <v>145</v>
      </c>
      <c r="HX5" s="43" t="s">
        <v>159</v>
      </c>
      <c r="HY5" s="50" t="s">
        <v>162</v>
      </c>
      <c r="HZ5" s="50" t="s">
        <v>145</v>
      </c>
      <c r="IA5" s="43" t="s">
        <v>159</v>
      </c>
      <c r="IB5" s="43" t="s">
        <v>162</v>
      </c>
      <c r="IC5" s="43" t="s">
        <v>145</v>
      </c>
      <c r="ID5" s="43" t="s">
        <v>159</v>
      </c>
      <c r="IE5" s="49" t="s">
        <v>146</v>
      </c>
      <c r="IF5" s="49" t="s">
        <v>146</v>
      </c>
      <c r="IG5" s="51" t="s">
        <v>145</v>
      </c>
      <c r="IH5" s="51" t="s">
        <v>145</v>
      </c>
      <c r="II5" s="52" t="s">
        <v>145</v>
      </c>
      <c r="IJ5" s="53" t="s">
        <v>3</v>
      </c>
      <c r="IK5" s="53" t="s">
        <v>4</v>
      </c>
      <c r="IL5" s="54" t="s">
        <v>5</v>
      </c>
      <c r="IM5" s="39" t="s">
        <v>6</v>
      </c>
      <c r="IN5" s="39" t="s">
        <v>163</v>
      </c>
      <c r="IO5" s="39" t="s">
        <v>8</v>
      </c>
      <c r="IP5" s="39" t="s">
        <v>9</v>
      </c>
      <c r="IQ5" s="39" t="s">
        <v>10</v>
      </c>
      <c r="IR5" s="39" t="s">
        <v>11</v>
      </c>
      <c r="IS5" s="39" t="s">
        <v>64</v>
      </c>
      <c r="IT5" s="39" t="s">
        <v>13</v>
      </c>
      <c r="IU5" s="39" t="s">
        <v>14</v>
      </c>
      <c r="IV5" s="39" t="s">
        <v>15</v>
      </c>
      <c r="IW5" s="39" t="s">
        <v>16</v>
      </c>
      <c r="IX5" s="39" t="s">
        <v>17</v>
      </c>
      <c r="IY5" s="39" t="s">
        <v>164</v>
      </c>
      <c r="IZ5" s="39" t="s">
        <v>165</v>
      </c>
      <c r="JA5" s="39" t="s">
        <v>166</v>
      </c>
      <c r="JB5" s="39" t="s">
        <v>22</v>
      </c>
      <c r="JC5" s="39" t="s">
        <v>73</v>
      </c>
      <c r="JD5" s="39" t="s">
        <v>24</v>
      </c>
      <c r="JE5" s="39" t="s">
        <v>25</v>
      </c>
      <c r="JF5" s="39" t="s">
        <v>26</v>
      </c>
      <c r="JG5" s="39" t="s">
        <v>27</v>
      </c>
      <c r="JH5" s="39" t="s">
        <v>28</v>
      </c>
      <c r="JI5" s="39" t="s">
        <v>29</v>
      </c>
      <c r="JJ5" s="39" t="s">
        <v>30</v>
      </c>
      <c r="JK5" s="39" t="s">
        <v>31</v>
      </c>
      <c r="JL5" s="39" t="s">
        <v>32</v>
      </c>
      <c r="JM5" s="39" t="s">
        <v>77</v>
      </c>
      <c r="JN5" s="39" t="s">
        <v>78</v>
      </c>
      <c r="JO5" s="39" t="s">
        <v>79</v>
      </c>
      <c r="JP5" s="39" t="s">
        <v>233</v>
      </c>
      <c r="JQ5" s="39" t="s">
        <v>234</v>
      </c>
      <c r="JR5" s="39" t="s">
        <v>235</v>
      </c>
      <c r="JS5" s="39" t="s">
        <v>236</v>
      </c>
      <c r="JT5" s="39" t="s">
        <v>237</v>
      </c>
      <c r="JU5" s="39" t="s">
        <v>238</v>
      </c>
      <c r="JV5" s="39" t="s">
        <v>239</v>
      </c>
    </row>
    <row r="6" spans="1:283" s="9" customFormat="1" ht="20.100000000000001" customHeight="1" x14ac:dyDescent="0.15">
      <c r="A6" s="4"/>
      <c r="B6" s="5"/>
      <c r="C6" s="5"/>
      <c r="D6" s="55"/>
      <c r="E6" s="56">
        <f>产品销售数量!D3</f>
        <v>0</v>
      </c>
      <c r="F6" s="6"/>
      <c r="G6" s="6"/>
      <c r="H6" s="7" t="e">
        <f>+G6/D6</f>
        <v>#DIV/0!</v>
      </c>
      <c r="I6" s="5">
        <f>产品销售数量!E3+产品销售数量!F3*1.36</f>
        <v>0</v>
      </c>
      <c r="J6" s="5" t="e">
        <f>I6/(F6/1000)</f>
        <v>#DIV/0!</v>
      </c>
      <c r="K6" s="5">
        <f>I6*$K$3-F6</f>
        <v>0</v>
      </c>
      <c r="L6" s="5" t="e">
        <f>G6/F6*K6</f>
        <v>#DIV/0!</v>
      </c>
      <c r="M6" s="6"/>
      <c r="N6" s="6"/>
      <c r="O6" s="7" t="e">
        <f>+N6/D6</f>
        <v>#DIV/0!</v>
      </c>
      <c r="P6" s="5">
        <f>+产品销售数量!H3</f>
        <v>0</v>
      </c>
      <c r="Q6" s="5" t="e">
        <f>P6/(M6/1000)</f>
        <v>#DIV/0!</v>
      </c>
      <c r="R6" s="5">
        <f>P6*$R$3-M6</f>
        <v>0</v>
      </c>
      <c r="S6" s="5" t="e">
        <f>N6/M6*R6</f>
        <v>#DIV/0!</v>
      </c>
      <c r="T6" s="6"/>
      <c r="U6" s="6"/>
      <c r="V6" s="7" t="e">
        <f>+U6/D6</f>
        <v>#DIV/0!</v>
      </c>
      <c r="W6" s="5">
        <f>+产品销售数量!V3+产品销售数量!CP3</f>
        <v>0</v>
      </c>
      <c r="X6" s="5" t="e">
        <f>W6/(T6/1000)</f>
        <v>#DIV/0!</v>
      </c>
      <c r="Y6" s="5">
        <f>W6*$Y$3-T6</f>
        <v>0</v>
      </c>
      <c r="Z6" s="5" t="e">
        <f>U6/T6*Y6</f>
        <v>#DIV/0!</v>
      </c>
      <c r="AA6" s="6"/>
      <c r="AB6" s="6"/>
      <c r="AC6" s="7" t="e">
        <f>+AB6/D6</f>
        <v>#DIV/0!</v>
      </c>
      <c r="AD6" s="5">
        <f>产品销售数量!J3*1.5+产品销售数量!K3*1.5+产品销售数量!L3*1.5+产品销售数量!O3*1.5+产品销售数量!P3*1.5+产品销售数量!S3*1.5+产品销售数量!T3*1.5+产品销售数量!CH3*1.35+产品销售数量!M3*1.5+产品销售数量!CK3*0.89*1.5+产品销售数量!BL3*1.35+产品销售数量!AU3*0.9+产品销售数量!AW3*0.9+产品销售数量!BB3*1.5+产品销售数量!CN3*1.35+产品销售数量!CO3*1.35+产品销售数量!CQ3*1.5+产品销售数量!CX3*1.5+产品销售数量!CY3*1.35+产品销售数量!CZ3*1.35</f>
        <v>0</v>
      </c>
      <c r="AE6" s="5" t="e">
        <f>AD6/(AA6/1000)</f>
        <v>#DIV/0!</v>
      </c>
      <c r="AF6" s="5">
        <f>AD6*$AF$3-AA6</f>
        <v>0</v>
      </c>
      <c r="AG6" s="5" t="e">
        <f>AB6/AA6*AF6</f>
        <v>#DIV/0!</v>
      </c>
      <c r="AH6" s="6"/>
      <c r="AI6" s="6"/>
      <c r="AJ6" s="6"/>
      <c r="AK6" s="7" t="e">
        <f>+AJ6/D6</f>
        <v>#DIV/0!</v>
      </c>
      <c r="AL6" s="5">
        <f>+产品销售数量!J3*1.13+产品销售数量!K3*1.13+产品销售数量!O3*1.13+产品销售数量!U3+产品销售数量!V3*2.6+产品销售数量!W3*2.6+产品销售数量!X3*1.6+产品销售数量!Y3+产品销售数量!AB3*1.74+产品销售数量!BC3*1.19+产品销售数量!BL3*0.98+产品销售数量!BM3*0.74+产品销售数量!BN3*4.495+产品销售数量!BQ3*2.29+产品销售数量!BV3*2.56+产品销售数量!CG3*1.74+产品销售数量!CJ3*0.8+产品销售数量!CK3*1.13+产品销售数量!CM3*1.19+产品销售数量!CO3*0.98+产品销售数量!CP3*2.6+产品销售数量!CQ3*1.13+产品销售数量!CR3*1.4+产品销售数量!CS3*1.4+产品销售数量!CT3*1.4+产品销售数量!CV3*1.13+产品销售数量!CW3*0.98+产品销售数量!CX3*0.378+产品销售数量!CY3*1.19+产品销售数量!DA3*0.87+产品销售数量!DB3*1.5+产品销售数量!DI3*0.595+产品销售数量!DK3*1.74+产品销售数量!DO3*1.11</f>
        <v>0</v>
      </c>
      <c r="AM6" s="5" t="e">
        <f>AL6/(AI6/1000)</f>
        <v>#DIV/0!</v>
      </c>
      <c r="AN6" s="5">
        <f>AL6*$AN$3-AI6</f>
        <v>0</v>
      </c>
      <c r="AO6" s="5" t="e">
        <f>AJ6/AI6*AN6</f>
        <v>#DIV/0!</v>
      </c>
      <c r="AP6" s="6"/>
      <c r="AQ6" s="6"/>
      <c r="AR6" s="7" t="e">
        <f>+AQ6/D6</f>
        <v>#DIV/0!</v>
      </c>
      <c r="AS6" s="5">
        <f>产品销售数量!I3*0.858+产品销售数量!Z3*0.686+产品销售数量!AA3*1.79+产品销售数量!CF3*1.79+产品销售数量!CL3*0.89</f>
        <v>0</v>
      </c>
      <c r="AT6" s="5" t="e">
        <f>AS6/(AP6/1000)</f>
        <v>#DIV/0!</v>
      </c>
      <c r="AU6" s="5">
        <f>AS6*$AU$3-AP6</f>
        <v>0</v>
      </c>
      <c r="AV6" s="5" t="e">
        <f>AQ6/AP6*AU6</f>
        <v>#DIV/0!</v>
      </c>
      <c r="AW6" s="6"/>
      <c r="AX6" s="6"/>
      <c r="AY6" s="7" t="e">
        <f>+AX6/D6</f>
        <v>#DIV/0!</v>
      </c>
      <c r="AZ6" s="5">
        <f>+产品销售数量!I3*0.857+产品销售数量!Z3*0.485+产品销售数量!AA3*1.88+产品销售数量!CF3*1.88+产品销售数量!CL3*0.89</f>
        <v>0</v>
      </c>
      <c r="BA6" s="5" t="e">
        <f>AZ6/(AW6/1000)</f>
        <v>#DIV/0!</v>
      </c>
      <c r="BB6" s="5">
        <f>AZ6*$BB$3-AW6</f>
        <v>0</v>
      </c>
      <c r="BC6" s="5" t="e">
        <f>AX6/AW6*BB6</f>
        <v>#DIV/0!</v>
      </c>
      <c r="BD6" s="6"/>
      <c r="BE6" s="6"/>
      <c r="BF6" s="7" t="e">
        <f>+BE6/D6</f>
        <v>#DIV/0!</v>
      </c>
      <c r="BG6" s="5">
        <f>+产品销售数量!J3*2+产品销售数量!L3*0.93+产品销售数量!O3*2+产品销售数量!P3*0.93+产品销售数量!U3*1.93+产品销售数量!W3*2+产品销售数量!V3*3.79+产品销售数量!I3*2.678+产品销售数量!CK3*1.32+产品销售数量!CQ3*2</f>
        <v>0</v>
      </c>
      <c r="BH6" s="5" t="e">
        <f>BG6/(BD6/1000)</f>
        <v>#DIV/0!</v>
      </c>
      <c r="BI6" s="5">
        <f>BG6*$BI$3-BD6</f>
        <v>0</v>
      </c>
      <c r="BJ6" s="5" t="e">
        <f>BE6/BD6*BI6</f>
        <v>#DIV/0!</v>
      </c>
      <c r="BK6" s="6"/>
      <c r="BL6" s="6"/>
      <c r="BM6" s="7" t="e">
        <f>+BL6/D6</f>
        <v>#DIV/0!</v>
      </c>
      <c r="BN6" s="5">
        <f>产品销售数量!K3*1.125+产品销售数量!Y3*4.12+产品销售数量!X3*5.5+产品销售数量!AA3*13.25+产品销售数量!AB3*13.25+产品销售数量!BN3*6.87+产品销售数量!BV3+产品销售数量!CF3*13.25+产品销售数量!CG3*13.25+产品销售数量!CJ3*6.63+产品销售数量!CL3*6.63+产品销售数量!CR3*2.25+产品销售数量!CS3*2.25+产品销售数量!CT3*2.25+产品销售数量!CV3*0.75+产品销售数量!DA3*6.63+产品销售数量!DJ3*13.25+产品销售数量!DK3*13.25</f>
        <v>0</v>
      </c>
      <c r="BO6" s="5" t="e">
        <f t="shared" ref="BO6:BO32" si="0">BN6/(BK6/1000)</f>
        <v>#DIV/0!</v>
      </c>
      <c r="BP6" s="5">
        <f>BN6*$BP$3-BK6</f>
        <v>0</v>
      </c>
      <c r="BQ6" s="5" t="e">
        <f>BL6/BK6*BP6</f>
        <v>#DIV/0!</v>
      </c>
      <c r="BR6" s="6"/>
      <c r="BS6" s="6"/>
      <c r="BT6" s="7" t="e">
        <f>+BS6/D6</f>
        <v>#DIV/0!</v>
      </c>
      <c r="BU6" s="5">
        <f>产品销售数量!O3+产品销售数量!P3+产品销售数量!CI3*1.5+产品销售数量!CK3*0.89+产品销售数量!M3*1.34</f>
        <v>0</v>
      </c>
      <c r="BV6" s="5" t="e">
        <f>BU6/(BR6/1000)</f>
        <v>#DIV/0!</v>
      </c>
      <c r="BW6" s="5">
        <f>BU6*$BW$3-BR6</f>
        <v>0</v>
      </c>
      <c r="BX6" s="5" t="e">
        <f>BS6/BR6*BW6</f>
        <v>#DIV/0!</v>
      </c>
      <c r="BY6" s="6"/>
      <c r="BZ6" s="6"/>
      <c r="CA6" s="7" t="e">
        <f>+BZ6/D6</f>
        <v>#DIV/0!</v>
      </c>
      <c r="CB6" s="5">
        <f>+产品销售数量!J3+产品销售数量!K3+产品销售数量!L3+产品销售数量!O3+产品销售数量!P3+产品销售数量!S3+产品销售数量!T3+产品销售数量!AU3*0.9+产品销售数量!AW3*0.9+产品销售数量!BL3*0.9+产品销售数量!CH3*0.9+产品销售数量!CK3*0.9+产品销售数量!CN3*0.9+产品销售数量!CO3*0.9+产品销售数量!CQ3+产品销售数量!CV3+产品销售数量!CW3*0.9+产品销售数量!DB3</f>
        <v>0</v>
      </c>
      <c r="CC6" s="5" t="e">
        <f>CB6/(BY6/1000)</f>
        <v>#DIV/0!</v>
      </c>
      <c r="CD6" s="5">
        <f>CB6*$CD$3-BY6</f>
        <v>0</v>
      </c>
      <c r="CE6" s="5" t="e">
        <f>BZ6/BY6*CD6</f>
        <v>#DIV/0!</v>
      </c>
      <c r="CF6" s="6"/>
      <c r="CG6" s="6"/>
      <c r="CH6" s="7" t="e">
        <f>+CG6/D6</f>
        <v>#DIV/0!</v>
      </c>
      <c r="CI6" s="5">
        <f>产品销售数量!P3+产品销售数量!Z3*1.4+产品销售数量!L3</f>
        <v>0</v>
      </c>
      <c r="CJ6" s="5" t="e">
        <f>CI6/(CF6/1000)</f>
        <v>#DIV/0!</v>
      </c>
      <c r="CK6" s="5">
        <f>CB6*$CD$3-CF6</f>
        <v>0</v>
      </c>
      <c r="CL6" s="5" t="e">
        <f>CG6/CF6*CK6</f>
        <v>#DIV/0!</v>
      </c>
      <c r="CM6" s="6"/>
      <c r="CN6" s="6"/>
      <c r="CO6" s="7" t="e">
        <f>+CN6/D6</f>
        <v>#DIV/0!</v>
      </c>
      <c r="CP6" s="5">
        <f>+产品销售数量!AE3*1.04+产品销售数量!AD3*1.279+产品销售数量!BW3*1.04+产品销售数量!BX3*1.279</f>
        <v>0</v>
      </c>
      <c r="CQ6" s="5" t="e">
        <f>CP6/(CM6/1000)</f>
        <v>#DIV/0!</v>
      </c>
      <c r="CR6" s="5">
        <f>CP6*$CR$3-CM6</f>
        <v>0</v>
      </c>
      <c r="CS6" s="5" t="e">
        <f>CN6/CM6*CR6</f>
        <v>#DIV/0!</v>
      </c>
      <c r="CT6" s="6"/>
      <c r="CU6" s="6"/>
      <c r="CV6" s="7" t="e">
        <f>+CU6/K6</f>
        <v>#DIV/0!</v>
      </c>
      <c r="CW6" s="5">
        <f>+产品销售数量!AC3*1.08+产品销售数量!AH3*1+产品销售数量!AG3*1.45+产品销售数量!BG3*0.834+产品销售数量!CU3*0.834+产品销售数量!DM3*1.19</f>
        <v>0</v>
      </c>
      <c r="CX6" s="5" t="e">
        <f>CW6/(CT6/1000)</f>
        <v>#DIV/0!</v>
      </c>
      <c r="CY6" s="5">
        <f>CW6*$CR$3-CT6</f>
        <v>0</v>
      </c>
      <c r="CZ6" s="5" t="e">
        <f>CU6/CT6*CY6</f>
        <v>#DIV/0!</v>
      </c>
      <c r="DA6" s="6"/>
      <c r="DB6" s="6"/>
      <c r="DC6" s="7" t="e">
        <f>+DB6/D6</f>
        <v>#DIV/0!</v>
      </c>
      <c r="DD6" s="5">
        <f>产品销售数量!AJ3*2+产品销售数量!AK3*1.38+产品销售数量!AL3+产品销售数量!BT3*1.38+产品销售数量!BU3*2</f>
        <v>0</v>
      </c>
      <c r="DE6" s="5" t="e">
        <f>DD6/(DA6/1000)</f>
        <v>#DIV/0!</v>
      </c>
      <c r="DF6" s="5">
        <f>DD6*$DF$3-DA6</f>
        <v>0</v>
      </c>
      <c r="DG6" s="5" t="e">
        <f>DB6/DA6*DF6</f>
        <v>#DIV/0!</v>
      </c>
      <c r="DH6" s="6"/>
      <c r="DI6" s="6"/>
      <c r="DJ6" s="7" t="e">
        <f>+DI6/D6</f>
        <v>#DIV/0!</v>
      </c>
      <c r="DK6" s="5">
        <f>+产品销售数量!AM3*1.375+产品销售数量!AN3+产品销售数量!AO3*0.75+产品销售数量!BR3*0.57</f>
        <v>0</v>
      </c>
      <c r="DL6" s="5" t="e">
        <f>DK6/(DH6/1000)</f>
        <v>#DIV/0!</v>
      </c>
      <c r="DM6" s="5">
        <f>DK6*$DM$3-DH6</f>
        <v>0</v>
      </c>
      <c r="DN6" s="5" t="e">
        <f>DI6/DH6*DM6</f>
        <v>#DIV/0!</v>
      </c>
      <c r="DO6" s="6"/>
      <c r="DP6" s="6"/>
      <c r="DQ6" s="7" t="e">
        <f>+DP6/D6</f>
        <v>#DIV/0!</v>
      </c>
      <c r="DR6" s="5">
        <f>+产品销售数量!Y3+产品销售数量!X3+产品销售数量!AB3*3+产品销售数量!CG3*3+产品销售数量!CJ3*2+产品销售数量!BN3*2+产品销售数量!CR3+产品销售数量!CS3+产品销售数量!CT3+产品销售数量!BM3+产品销售数量!AA3+产品销售数量!CF3</f>
        <v>0</v>
      </c>
      <c r="DS6" s="5" t="e">
        <f>+DO6/DR6</f>
        <v>#DIV/0!</v>
      </c>
      <c r="DT6" s="5">
        <f>DR6*$DT$3-DO6</f>
        <v>0</v>
      </c>
      <c r="DU6" s="5" t="e">
        <f>DP6/DO6*DT6</f>
        <v>#DIV/0!</v>
      </c>
      <c r="DV6" s="6"/>
      <c r="DW6" s="6"/>
      <c r="DX6" s="7" t="e">
        <f>+DW6/D6</f>
        <v>#DIV/0!</v>
      </c>
      <c r="DY6" s="5">
        <f>+产品销售数量!E3+产品销售数量!F3*2+产品销售数量!G3+产品销售数量!CY3+产品销售数量!DE3+产品销售数量!DH3</f>
        <v>0</v>
      </c>
      <c r="DZ6" s="5" t="e">
        <f>+DV6/DY6</f>
        <v>#DIV/0!</v>
      </c>
      <c r="EA6" s="5">
        <f>+DY6*$EA$3-DV6</f>
        <v>0</v>
      </c>
      <c r="EB6" s="5" t="e">
        <f>DW6/DV6*EA6</f>
        <v>#DIV/0!</v>
      </c>
      <c r="EC6" s="6"/>
      <c r="ED6" s="6"/>
      <c r="EE6" s="7" t="e">
        <f>+ED6/D6</f>
        <v>#DIV/0!</v>
      </c>
      <c r="EF6" s="5">
        <f>+产品销售数量!AS3</f>
        <v>0</v>
      </c>
      <c r="EG6" s="5" t="e">
        <f>+EC6/EF6</f>
        <v>#DIV/0!</v>
      </c>
      <c r="EH6" s="5">
        <f>+EF6*$EH$3-EC6</f>
        <v>0</v>
      </c>
      <c r="EI6" s="5" t="e">
        <f>ED6/EC6*EH6</f>
        <v>#DIV/0!</v>
      </c>
      <c r="EJ6" s="6"/>
      <c r="EK6" s="6"/>
      <c r="EL6" s="7" t="e">
        <f>+EK6/D6</f>
        <v>#DIV/0!</v>
      </c>
      <c r="EM6" s="5">
        <f>+产品销售数量!AD3+产品销售数量!AE3+产品销售数量!AF3+产品销售数量!AG3+产品销售数量!AH3+产品销售数量!AI3+产品销售数量!AJ3+产品销售数量!AK3+产品销售数量!AL3+产品销售数量!AM3+产品销售数量!AN3+产品销售数量!AO3+产品销售数量!AQ3+产品销售数量!AP3+产品销售数量!AR3+产品销售数量!BR3+产品销售数量!AS3+产品销售数量!CA3+产品销售数量!BE3+产品销售数量!BF3</f>
        <v>0</v>
      </c>
      <c r="EN6" s="5" t="e">
        <f>+EJ6/EM6</f>
        <v>#DIV/0!</v>
      </c>
      <c r="EO6" s="5">
        <f>EM6*$EO$3-EJ6</f>
        <v>0</v>
      </c>
      <c r="EP6" s="5" t="e">
        <f>EK6/EJ6*EO6</f>
        <v>#DIV/0!</v>
      </c>
      <c r="EQ6" s="6"/>
      <c r="ER6" s="6"/>
      <c r="ES6" s="7" t="e">
        <f>+ER6/D6</f>
        <v>#DIV/0!</v>
      </c>
      <c r="ET6" s="5">
        <f>+产品销售数量!AQ3+产品销售数量!AP3+产品销售数量!AR3+产品销售数量!BR3+产品销售数量!AS3+产品销售数量!CA3+产品销售数量!BE3+产品销售数量!BF3</f>
        <v>0</v>
      </c>
      <c r="EU6" s="5" t="e">
        <f>+EQ6/ET6</f>
        <v>#DIV/0!</v>
      </c>
      <c r="EV6" s="5">
        <f>+ET6*$EV$3-EQ6</f>
        <v>0</v>
      </c>
      <c r="EW6" s="5" t="e">
        <f>ER6/EQ6*EV6</f>
        <v>#DIV/0!</v>
      </c>
      <c r="EX6" s="6"/>
      <c r="EY6" s="6"/>
      <c r="EZ6" s="7" t="e">
        <f>+EY6/D6</f>
        <v>#DIV/0!</v>
      </c>
      <c r="FA6" s="5">
        <f>产品销售数量!H3</f>
        <v>0</v>
      </c>
      <c r="FB6" s="5" t="e">
        <f>+EX6/FA6</f>
        <v>#DIV/0!</v>
      </c>
      <c r="FC6" s="5">
        <f>+FA6*$FC$3-EX6</f>
        <v>0</v>
      </c>
      <c r="FD6" s="5" t="e">
        <f>EY6/EX6*FC6</f>
        <v>#DIV/0!</v>
      </c>
      <c r="FE6" s="6"/>
      <c r="FF6" s="6"/>
      <c r="FG6" s="7" t="e">
        <f>+FF6/D6</f>
        <v>#DIV/0!</v>
      </c>
      <c r="FH6" s="5">
        <f>+产品销售数量!J3+产品销售数量!K3+产品销售数量!L3+产品销售数量!M3+产品销售数量!O3+产品销售数量!P3+产品销售数量!S3+产品销售数量!T3+产品销售数量!BQ3+产品销售数量!BS3+产品销售数量!CC3+产品销售数量!CH3+产品销售数量!CI3+产品销售数量!CJ3+产品销售数量!CK3+产品销售数量!CL3+产品销售数量!BL3+产品销售数量!AU3++产品销售数量!AW3+产品销售数量!BQ3+产品销售数量!CN3+产品销售数量!CO3+产品销售数量!CQ3+产品销售数量!CX3+产品销售数量!CY3+产品销售数量!CM3</f>
        <v>0</v>
      </c>
      <c r="FI6" s="5" t="e">
        <f>+FE6/FH6</f>
        <v>#DIV/0!</v>
      </c>
      <c r="FJ6" s="5">
        <f>+FH6*$FJ$3-FE6</f>
        <v>0</v>
      </c>
      <c r="FK6" s="5" t="e">
        <f>FF6/FE6*FJ6</f>
        <v>#DIV/0!</v>
      </c>
      <c r="FL6" s="6"/>
      <c r="FM6" s="6"/>
      <c r="FN6" s="7" t="e">
        <f>+FM6/D6</f>
        <v>#DIV/0!</v>
      </c>
      <c r="FO6" s="5">
        <f>+产品销售数量!R3+产品销售数量!CE3</f>
        <v>0</v>
      </c>
      <c r="FP6" s="5" t="e">
        <f>+FL6/FO6</f>
        <v>#DIV/0!</v>
      </c>
      <c r="FQ6" s="5">
        <f>+FO6*$FQ$3-FL6</f>
        <v>0</v>
      </c>
      <c r="FR6" s="5" t="e">
        <f>FM6/FL6*FQ6</f>
        <v>#DIV/0!</v>
      </c>
      <c r="FS6" s="6"/>
      <c r="FT6" s="5">
        <f>+FS6*50</f>
        <v>0</v>
      </c>
      <c r="FU6" s="6"/>
      <c r="FV6" s="7" t="e">
        <f>+FU6/D6</f>
        <v>#DIV/0!</v>
      </c>
      <c r="FW6" s="5" t="e">
        <f>+FT6/E6</f>
        <v>#DIV/0!</v>
      </c>
      <c r="FX6" s="6"/>
      <c r="FY6" s="6"/>
      <c r="FZ6" s="7" t="e">
        <f>+FY6/D6</f>
        <v>#DIV/0!</v>
      </c>
      <c r="GA6" s="5" t="e">
        <f>+FX6/E6</f>
        <v>#DIV/0!</v>
      </c>
      <c r="GB6" s="6"/>
      <c r="GC6" s="6"/>
      <c r="GD6" s="7" t="e">
        <f>+GC6/D6</f>
        <v>#DIV/0!</v>
      </c>
      <c r="GE6" s="6"/>
      <c r="GF6" s="6"/>
      <c r="GG6" s="7" t="e">
        <f>+GF6/D6</f>
        <v>#DIV/0!</v>
      </c>
      <c r="GH6" s="6"/>
      <c r="GI6" s="6"/>
      <c r="GJ6" s="7" t="e">
        <f>+GI6/D6</f>
        <v>#DIV/0!</v>
      </c>
      <c r="GK6" s="6"/>
      <c r="GL6" s="6"/>
      <c r="GM6" s="7" t="e">
        <f>+GL6/D6</f>
        <v>#DIV/0!</v>
      </c>
      <c r="GN6" s="6"/>
      <c r="GO6" s="6"/>
      <c r="GP6" s="6"/>
      <c r="GQ6" s="7" t="e">
        <f>+GP6/D6</f>
        <v>#DIV/0!</v>
      </c>
      <c r="GR6" s="6"/>
      <c r="GS6" s="6"/>
      <c r="GT6" s="7" t="e">
        <f>+GS6/D6</f>
        <v>#DIV/0!</v>
      </c>
      <c r="GU6" s="72">
        <f>应产率辅助表!AJ3</f>
        <v>0</v>
      </c>
      <c r="GV6" s="72">
        <f>应产率辅助表!AJ32</f>
        <v>0</v>
      </c>
      <c r="GW6" s="7" t="e">
        <f>+GV6/$D6</f>
        <v>#DIV/0!</v>
      </c>
      <c r="GX6" s="72">
        <f>应产率辅助表!AK3</f>
        <v>0</v>
      </c>
      <c r="GY6" s="72">
        <f>应产率辅助表!AK32</f>
        <v>0</v>
      </c>
      <c r="GZ6" s="7" t="e">
        <f>+GY6/$D6</f>
        <v>#DIV/0!</v>
      </c>
      <c r="HA6" s="72">
        <f>应产率辅助表!AL3</f>
        <v>0</v>
      </c>
      <c r="HB6" s="72">
        <f>应产率辅助表!AL32</f>
        <v>0</v>
      </c>
      <c r="HC6" s="7" t="e">
        <f>+HB6/$D6</f>
        <v>#DIV/0!</v>
      </c>
      <c r="HD6" s="72">
        <f>应产率辅助表!AM3</f>
        <v>0</v>
      </c>
      <c r="HE6" s="72">
        <f>应产率辅助表!AM32</f>
        <v>0</v>
      </c>
      <c r="HF6" s="7" t="e">
        <f>+HE6/$D6</f>
        <v>#DIV/0!</v>
      </c>
      <c r="HG6" s="72">
        <f>应产率辅助表!AN3</f>
        <v>0</v>
      </c>
      <c r="HH6" s="72">
        <f>应产率辅助表!AN32</f>
        <v>0</v>
      </c>
      <c r="HI6" s="7" t="e">
        <f>+HH6/$D6</f>
        <v>#DIV/0!</v>
      </c>
      <c r="HJ6" s="72">
        <f>应产率辅助表!AO3</f>
        <v>0</v>
      </c>
      <c r="HK6" s="72">
        <f>应产率辅助表!AO32</f>
        <v>0</v>
      </c>
      <c r="HL6" s="7" t="e">
        <f>+HK6/$D6</f>
        <v>#DIV/0!</v>
      </c>
      <c r="HM6" s="72">
        <f>应产率辅助表!AP3</f>
        <v>0</v>
      </c>
      <c r="HN6" s="72">
        <f>应产率辅助表!AP32</f>
        <v>0</v>
      </c>
      <c r="HO6" s="7" t="e">
        <f>+HN6/$D6</f>
        <v>#DIV/0!</v>
      </c>
      <c r="HP6" s="6"/>
      <c r="HQ6" s="6"/>
      <c r="HR6" s="5" t="e">
        <f>+HQ6/D6</f>
        <v>#DIV/0!</v>
      </c>
      <c r="HS6" s="6"/>
      <c r="HT6" s="6"/>
      <c r="HU6" s="5" t="e">
        <f>+HT6/D6</f>
        <v>#DIV/0!</v>
      </c>
      <c r="HV6" s="6"/>
      <c r="HW6" s="6"/>
      <c r="HX6" s="5" t="e">
        <f>+HW6/D6</f>
        <v>#DIV/0!</v>
      </c>
      <c r="HY6" s="5"/>
      <c r="HZ6" s="5"/>
      <c r="IA6" s="5" t="e">
        <f>+HZ6/G6</f>
        <v>#DIV/0!</v>
      </c>
      <c r="IB6" s="5">
        <f>HP6+HS6+HV6</f>
        <v>0</v>
      </c>
      <c r="IC6" s="5">
        <f>HQ6+HT6+HW6</f>
        <v>0</v>
      </c>
      <c r="ID6" s="5" t="e">
        <f>IC6/D6</f>
        <v>#DIV/0!</v>
      </c>
      <c r="IE6" s="7" t="e">
        <f>+AC6+AK6+AR6+AY6+BF6+BM6+BT6+CA6+CH6+DQ6+DX6+EE6+GD6+GG6</f>
        <v>#DIV/0!</v>
      </c>
      <c r="IF6" s="7" t="e">
        <f>+EL6+ES6+EZ6+FG6+FV6+FZ6+GJ6+GM6+GQ6+GT6</f>
        <v>#DIV/0!</v>
      </c>
      <c r="IG6" s="5" t="e">
        <f>+IF6/D6</f>
        <v>#DIV/0!</v>
      </c>
      <c r="IH6" s="5" t="e">
        <f>+AC6+AK6+AR6+AY6+BF6+BM6+BT6+CA6+CH6+DQ6+DX6+EE6+GD6+GG6</f>
        <v>#DIV/0!</v>
      </c>
      <c r="II6" s="5" t="e">
        <f>+EL6+ES6+EZ6+FG6+FV6+FZ6+GJ6+GM6+GQ6+GT6</f>
        <v>#DIV/0!</v>
      </c>
      <c r="IJ6" s="8" t="e">
        <f>G6/F6</f>
        <v>#DIV/0!</v>
      </c>
      <c r="IK6" s="8" t="e">
        <f>N6/M6</f>
        <v>#DIV/0!</v>
      </c>
      <c r="IL6" s="8" t="e">
        <f>U6/T6</f>
        <v>#DIV/0!</v>
      </c>
      <c r="IM6" s="8" t="e">
        <f>AB6/AA6</f>
        <v>#DIV/0!</v>
      </c>
      <c r="IN6" s="8" t="e">
        <f>AJ6/AI6</f>
        <v>#DIV/0!</v>
      </c>
      <c r="IO6" s="8" t="e">
        <f>AQ6/AP6</f>
        <v>#DIV/0!</v>
      </c>
      <c r="IP6" s="8" t="e">
        <f>AX6/AW6</f>
        <v>#DIV/0!</v>
      </c>
      <c r="IQ6" s="8" t="e">
        <f>BE6/BD6</f>
        <v>#DIV/0!</v>
      </c>
      <c r="IR6" s="8" t="e">
        <f>BL6/BK6</f>
        <v>#DIV/0!</v>
      </c>
      <c r="IS6" s="8" t="e">
        <f>BS6/BR6</f>
        <v>#DIV/0!</v>
      </c>
      <c r="IT6" s="8" t="e">
        <f>BZ6/BY6</f>
        <v>#DIV/0!</v>
      </c>
      <c r="IU6" s="8" t="e">
        <f>CG6/CF6</f>
        <v>#DIV/0!</v>
      </c>
      <c r="IV6" s="8" t="e">
        <f>CN6/CM6</f>
        <v>#DIV/0!</v>
      </c>
      <c r="IW6" s="8" t="e">
        <f>CU6/CT6</f>
        <v>#DIV/0!</v>
      </c>
      <c r="IX6" s="8" t="e">
        <f>DB6/DA6</f>
        <v>#DIV/0!</v>
      </c>
      <c r="IY6" s="8" t="e">
        <f>DI6/DH6</f>
        <v>#DIV/0!</v>
      </c>
      <c r="IZ6" s="8" t="e">
        <f>DP6/DO6</f>
        <v>#DIV/0!</v>
      </c>
      <c r="JA6" s="8" t="e">
        <f>DW6/DV6</f>
        <v>#DIV/0!</v>
      </c>
      <c r="JB6" s="8" t="e">
        <f>ED6/EC6</f>
        <v>#DIV/0!</v>
      </c>
      <c r="JC6" s="8" t="e">
        <f>EK6/EJ6</f>
        <v>#DIV/0!</v>
      </c>
      <c r="JD6" s="8" t="e">
        <f>ER6/EQ6</f>
        <v>#DIV/0!</v>
      </c>
      <c r="JE6" s="8" t="e">
        <f>EY6/EX6</f>
        <v>#DIV/0!</v>
      </c>
      <c r="JF6" s="8" t="e">
        <f>FF6/FE6</f>
        <v>#DIV/0!</v>
      </c>
      <c r="JG6" s="8" t="e">
        <f>FM6/FL6</f>
        <v>#DIV/0!</v>
      </c>
      <c r="JH6" s="8" t="e">
        <f>FU6/FS6</f>
        <v>#DIV/0!</v>
      </c>
      <c r="JI6" s="8" t="e">
        <f>FY6/FX6</f>
        <v>#DIV/0!</v>
      </c>
      <c r="JJ6" s="8" t="e">
        <f>GC6/GB6</f>
        <v>#DIV/0!</v>
      </c>
      <c r="JK6" s="8" t="e">
        <f>GF6/GE6</f>
        <v>#DIV/0!</v>
      </c>
      <c r="JL6" s="8" t="e">
        <f>GI6/GH6</f>
        <v>#DIV/0!</v>
      </c>
      <c r="JM6" s="8" t="e">
        <f>GL6/GK6</f>
        <v>#DIV/0!</v>
      </c>
      <c r="JN6" s="8" t="e">
        <f>GP6/GO6</f>
        <v>#DIV/0!</v>
      </c>
      <c r="JO6" s="8" t="e">
        <f>GS6/GR6</f>
        <v>#DIV/0!</v>
      </c>
      <c r="JP6" s="9" t="e">
        <f>GV6/GU6</f>
        <v>#DIV/0!</v>
      </c>
      <c r="JQ6" s="9" t="e">
        <f>GY6/GX6</f>
        <v>#DIV/0!</v>
      </c>
      <c r="JR6" s="9" t="e">
        <f>HB6/HA6</f>
        <v>#DIV/0!</v>
      </c>
      <c r="JS6" s="9" t="e">
        <f>HE6/HD6</f>
        <v>#DIV/0!</v>
      </c>
      <c r="JT6" s="9" t="e">
        <f>HH6/HG6</f>
        <v>#DIV/0!</v>
      </c>
      <c r="JU6" s="9" t="e">
        <f>HK6/HJ6</f>
        <v>#DIV/0!</v>
      </c>
      <c r="JV6" s="9" t="e">
        <f>HN6/HM6</f>
        <v>#DIV/0!</v>
      </c>
      <c r="JW6" s="9" t="e">
        <f>HQ6/HP6</f>
        <v>#DIV/0!</v>
      </c>
    </row>
    <row r="7" spans="1:283" s="11" customFormat="1" ht="18" customHeight="1" x14ac:dyDescent="0.15">
      <c r="A7" s="10">
        <v>844</v>
      </c>
      <c r="B7" s="5" t="s">
        <v>586</v>
      </c>
      <c r="C7" s="5" t="s">
        <v>332</v>
      </c>
      <c r="D7" s="55">
        <v>90083.59</v>
      </c>
      <c r="E7" s="56">
        <f>产品销售数量!D4</f>
        <v>5291</v>
      </c>
      <c r="F7" s="6">
        <f>应产率辅助表!C4</f>
        <v>315000</v>
      </c>
      <c r="G7" s="6">
        <f>应产率辅助表!C33</f>
        <v>3113.22</v>
      </c>
      <c r="H7" s="7">
        <f t="shared" ref="H7:H32" si="1">+G7/D7</f>
        <v>3.4559235483399363E-2</v>
      </c>
      <c r="I7" s="5">
        <f>产品销售数量!E4+产品销售数量!F4*1.36</f>
        <v>2711.84</v>
      </c>
      <c r="J7" s="5">
        <f>I7/(F7/1000)</f>
        <v>8.6090158730158741</v>
      </c>
      <c r="K7" s="5">
        <f t="shared" ref="K7:K32" si="2">I7*$K$3-F7</f>
        <v>-16155.23199999996</v>
      </c>
      <c r="L7" s="5">
        <f t="shared" ref="L7:L32" si="3">G7/F7*K7</f>
        <v>-159.66600433980912</v>
      </c>
      <c r="M7" s="6">
        <f>应产率辅助表!D4</f>
        <v>30500</v>
      </c>
      <c r="N7" s="6">
        <f>应产率辅助表!D33</f>
        <v>360.91</v>
      </c>
      <c r="O7" s="7">
        <f t="shared" ref="O7:O32" si="4">+N7/D7</f>
        <v>4.0063900650495841E-3</v>
      </c>
      <c r="P7" s="5">
        <f>+产品销售数量!H4</f>
        <v>320</v>
      </c>
      <c r="Q7" s="5">
        <f t="shared" ref="Q7:Q32" si="5">P7/(M7/1000)</f>
        <v>10.491803278688524</v>
      </c>
      <c r="R7" s="5">
        <f t="shared" ref="R7:R32" si="6">P7*$R$3-M7</f>
        <v>-1588</v>
      </c>
      <c r="S7" s="5">
        <f t="shared" ref="S7:S32" si="7">N7/M7*R7</f>
        <v>-18.790986229508196</v>
      </c>
      <c r="T7" s="6">
        <f>应产率辅助表!E4</f>
        <v>117000</v>
      </c>
      <c r="U7" s="6">
        <f>应产率辅助表!E33</f>
        <v>1780.12</v>
      </c>
      <c r="V7" s="7">
        <f t="shared" ref="V7:V32" si="8">+U7/D7</f>
        <v>1.9760757758433029E-2</v>
      </c>
      <c r="W7" s="5">
        <f>+产品销售数量!V4+产品销售数量!CP4</f>
        <v>1113</v>
      </c>
      <c r="X7" s="5">
        <f t="shared" ref="X7:X32" si="9">W7/(T7/1000)</f>
        <v>9.5128205128205128</v>
      </c>
      <c r="Y7" s="5">
        <f t="shared" ref="Y7:Y32" si="10">W7*$Y$3-T7</f>
        <v>-5922.6000000000058</v>
      </c>
      <c r="Z7" s="5">
        <f t="shared" ref="Z7:Z32" si="11">U7/T7*Y7</f>
        <v>-90.11058728205137</v>
      </c>
      <c r="AA7" s="6">
        <f>应产率辅助表!F4</f>
        <v>120500</v>
      </c>
      <c r="AB7" s="6">
        <f>应产率辅助表!F33</f>
        <v>867.6</v>
      </c>
      <c r="AC7" s="7">
        <f t="shared" ref="AC7:AC32" si="12">+AB7/D7</f>
        <v>9.6310548902413858E-3</v>
      </c>
      <c r="AD7" s="5">
        <f>产品销售数量!J4*1.5+产品销售数量!K4*1.5+产品销售数量!L4*1.5+产品销售数量!O4*1.5+产品销售数量!P4*1.5+产品销售数量!S4*1.5+产品销售数量!T4*1.5+产品销售数量!CH4*1.35+产品销售数量!M4*1.5+产品销售数量!CK4*0.89*1.5+产品销售数量!BL4*1.35+产品销售数量!AU4*0.9+产品销售数量!AW4*0.9+产品销售数量!BB4*1.5+产品销售数量!CN4*1.35+产品销售数量!CO4*1.35+产品销售数量!CQ4*1.5+产品销售数量!CX4*1.5+产品销售数量!CY4*1.35+产品销售数量!CZ4*1.35</f>
        <v>11518.8</v>
      </c>
      <c r="AE7" s="5">
        <f t="shared" ref="AE7:AE32" si="13">AD7/(AA7/1000)</f>
        <v>95.591701244813265</v>
      </c>
      <c r="AF7" s="5">
        <f t="shared" ref="AF7:AF32" si="14">AD7*$AF$3-AA7</f>
        <v>-4160.1200000000099</v>
      </c>
      <c r="AG7" s="5">
        <f t="shared" ref="AG7:AG32" si="15">AB7/AA7*AF7</f>
        <v>-29.952864000000069</v>
      </c>
      <c r="AH7" s="6">
        <f t="shared" ref="AH7" si="16">AI7/25000</f>
        <v>10.6</v>
      </c>
      <c r="AI7" s="6">
        <f>应产率辅助表!G4</f>
        <v>265000</v>
      </c>
      <c r="AJ7" s="6">
        <f>应产率辅助表!G33</f>
        <v>1213.75</v>
      </c>
      <c r="AK7" s="7">
        <f t="shared" ref="AK7:AK32" si="17">+AJ7/D7</f>
        <v>1.3473597133506781E-2</v>
      </c>
      <c r="AL7" s="5">
        <f>+产品销售数量!J4*1.13+产品销售数量!K4*1.13+产品销售数量!O4*1.13+产品销售数量!U4+产品销售数量!V4*2.6+产品销售数量!W4*2.6+产品销售数量!X4*1.6+产品销售数量!Y4+产品销售数量!AB4*1.74+产品销售数量!BC4*1.19+产品销售数量!BL4*0.98+产品销售数量!BM4*0.74+产品销售数量!BN4*4.495+产品销售数量!BQ4*2.29+产品销售数量!BV4*2.56+产品销售数量!CG4*1.74+产品销售数量!CJ4*0.8+产品销售数量!CK4*1.13+产品销售数量!CM4*1.19+产品销售数量!CO4*0.98+产品销售数量!CP4*2.6+产品销售数量!CQ4*1.13+产品销售数量!CR4*1.4+产品销售数量!CS4*1.4+产品销售数量!CT4*1.4+产品销售数量!CV4*1.13+产品销售数量!CW4*0.98+产品销售数量!CX4*0.378+产品销售数量!CY4*1.19+产品销售数量!DA4*0.87+产品销售数量!DB4*1.5+产品销售数量!DI4*0.595+产品销售数量!DK4*1.74+产品销售数量!DO4*1.11</f>
        <v>12367.764999999998</v>
      </c>
      <c r="AM7" s="5">
        <f t="shared" ref="AM7:AM32" si="18">AL7/(AI7/1000)</f>
        <v>46.670811320754709</v>
      </c>
      <c r="AN7" s="5">
        <f t="shared" ref="AN7:AN32" si="19">AL7*$AN$3-AI7</f>
        <v>106651.33824999991</v>
      </c>
      <c r="AO7" s="5">
        <f t="shared" ref="AO7:AO32" si="20">AJ7/AI7*AN7</f>
        <v>488.48325207900905</v>
      </c>
      <c r="AP7" s="6">
        <f>应产率辅助表!H4</f>
        <v>2500</v>
      </c>
      <c r="AQ7" s="6">
        <f>应产率辅助表!H33</f>
        <v>35.44</v>
      </c>
      <c r="AR7" s="7">
        <f t="shared" ref="AR7:AR32" si="21">+AQ7/D7</f>
        <v>3.9341238509699714E-4</v>
      </c>
      <c r="AS7" s="5">
        <f>产品销售数量!I4*0.858+产品销售数量!Z4*0.686+产品销售数量!AA4*1.79+产品销售数量!CF4*1.79+产品销售数量!CL4*0.89</f>
        <v>595.95399999999995</v>
      </c>
      <c r="AT7" s="5">
        <f t="shared" ref="AT7:AT32" si="22">AS7/(AP7/1000)</f>
        <v>238.38159999999999</v>
      </c>
      <c r="AU7" s="5">
        <f t="shared" ref="AU7:AU32" si="23">AS7*$AU$3-AP7</f>
        <v>92.399899999999434</v>
      </c>
      <c r="AV7" s="5">
        <f t="shared" ref="AV7:AV32" si="24">AQ7/AP7*AU7</f>
        <v>1.3098609823999918</v>
      </c>
      <c r="AW7" s="6">
        <f>应产率辅助表!I4</f>
        <v>3000</v>
      </c>
      <c r="AX7" s="6">
        <f>应产率辅助表!I33</f>
        <v>42.52</v>
      </c>
      <c r="AY7" s="7">
        <f t="shared" ref="AY7:AY32" si="25">+AX7/D7</f>
        <v>4.720060557089255E-4</v>
      </c>
      <c r="AZ7" s="5">
        <f>+产品销售数量!I4*0.857+产品销售数量!Z4*0.485+产品销售数量!AA4*1.88+产品销售数量!CF4*1.88+产品销售数量!CL4*0.89</f>
        <v>588.47500000000002</v>
      </c>
      <c r="BA7" s="5">
        <f t="shared" ref="BA7:BA32" si="26">AZ7/(AW7/1000)</f>
        <v>196.15833333333333</v>
      </c>
      <c r="BB7" s="5">
        <f t="shared" ref="BB7:BB32" si="27">AZ7*$BB$3-AW7</f>
        <v>883.93499999999995</v>
      </c>
      <c r="BC7" s="5">
        <f t="shared" ref="BC7:BC32" si="28">AX7/AW7*BB7</f>
        <v>12.528305400000001</v>
      </c>
      <c r="BD7" s="6">
        <f>应产率辅助表!J4</f>
        <v>18000</v>
      </c>
      <c r="BE7" s="6">
        <f>应产率辅助表!J33</f>
        <v>330.31</v>
      </c>
      <c r="BF7" s="7">
        <f t="shared" ref="BF7:BF10" si="29">+BE7/D7</f>
        <v>3.6667055564726051E-3</v>
      </c>
      <c r="BG7" s="5">
        <f>+产品销售数量!J4*2+产品销售数量!L4*0.93+产品销售数量!O4*2+产品销售数量!P4*0.93+产品销售数量!U4*1.93+产品销售数量!W4*2+产品销售数量!V4*3.79+产品销售数量!I4*2.678+产品销售数量!CK4*1.32+产品销售数量!CQ4*2</f>
        <v>10985.43</v>
      </c>
      <c r="BH7" s="5">
        <f t="shared" ref="BH7:BH10" si="30">BG7/(BD7/1000)</f>
        <v>610.30166666666673</v>
      </c>
      <c r="BI7" s="5">
        <f t="shared" ref="BI7:BI10" si="31">BG7*$BI$3-BD7</f>
        <v>-2620.398000000001</v>
      </c>
      <c r="BJ7" s="5">
        <f t="shared" ref="BJ7:BJ10" si="32">BE7/BD7*BI7</f>
        <v>-48.085759076666683</v>
      </c>
      <c r="BK7" s="6">
        <f>应产率辅助表!K4</f>
        <v>6000</v>
      </c>
      <c r="BL7" s="6">
        <f>应产率辅助表!K33</f>
        <v>98.73</v>
      </c>
      <c r="BM7" s="7">
        <f t="shared" ref="BM7:BM32" si="33">+BL7/D7</f>
        <v>1.0959820762027801E-3</v>
      </c>
      <c r="BN7" s="5">
        <f>产品销售数量!K4*1.125+产品销售数量!Y4*4.12+产品销售数量!X4*5.5+产品销售数量!AA4*13.25+产品销售数量!AB4*13.25+产品销售数量!BN4*6.87+产品销售数量!BV4+产品销售数量!CF4*13.25+产品销售数量!CG4*13.25+产品销售数量!CJ4*6.63+产品销售数量!CL4*6.63+产品销售数量!CR4*2.25+产品销售数量!CS4*2.25+产品销售数量!CT4*2.25+产品销售数量!CV4*0.75+产品销售数量!DA4*6.63+产品销售数量!DJ4*13.25+产品销售数量!DK4*13.25</f>
        <v>8084.71</v>
      </c>
      <c r="BO7" s="5">
        <f t="shared" si="0"/>
        <v>1347.4516666666666</v>
      </c>
      <c r="BP7" s="5">
        <f t="shared" ref="BP7:BP32" si="34">BN7*$BP$3-BK7</f>
        <v>467.76800000000003</v>
      </c>
      <c r="BQ7" s="5">
        <f t="shared" ref="BQ7:BQ32" si="35">BL7/BK7*BP7</f>
        <v>7.6971224400000011</v>
      </c>
      <c r="BR7" s="6">
        <f>应产率辅助表!L4</f>
        <v>19700</v>
      </c>
      <c r="BS7" s="6">
        <f>应产率辅助表!L33</f>
        <v>122</v>
      </c>
      <c r="BT7" s="7">
        <f t="shared" ref="BT7:BT10" si="36">+BS7/D7</f>
        <v>1.3542977139343582E-3</v>
      </c>
      <c r="BU7" s="5">
        <f>产品销售数量!O4+产品销售数量!P4+产品销售数量!CI4*1.5+产品销售数量!CK4*0.89+产品销售数量!M4*1.34</f>
        <v>1801.08</v>
      </c>
      <c r="BV7" s="5">
        <f t="shared" ref="BV7:BV10" si="37">BU7/(BR7/1000)</f>
        <v>91.425380710659894</v>
      </c>
      <c r="BW7" s="5">
        <f t="shared" ref="BW7:BW10" si="38">BU7*$BW$3-BR7</f>
        <v>-1509.0920000000006</v>
      </c>
      <c r="BX7" s="5">
        <f t="shared" ref="BX7:BX10" si="39">BS7/BR7*BW7</f>
        <v>-9.3456458883248761</v>
      </c>
      <c r="BY7" s="6">
        <f>应产率辅助表!M4</f>
        <v>119400</v>
      </c>
      <c r="BZ7" s="6">
        <f>应产率辅助表!M33</f>
        <v>1152.6300000000001</v>
      </c>
      <c r="CA7" s="7">
        <f t="shared" ref="CA7:CA32" si="40">+BZ7/D7</f>
        <v>1.2795116180427536E-2</v>
      </c>
      <c r="CB7" s="5">
        <f>+产品销售数量!J4+产品销售数量!K4+产品销售数量!L4+产品销售数量!O4+产品销售数量!P4+产品销售数量!S4+产品销售数量!T4+产品销售数量!AU4*0.9+产品销售数量!AW4*0.9+产品销售数量!BL4*0.9+产品销售数量!CH4*0.9+产品销售数量!CK4*0.9+产品销售数量!CN4*0.9+产品销售数量!CO4*0.9+产品销售数量!CQ4+产品销售数量!CV4+产品销售数量!CW4*0.9+产品销售数量!DB4</f>
        <v>7178.9000000000005</v>
      </c>
      <c r="CC7" s="5">
        <f t="shared" ref="CC7:CC32" si="41">CB7/(BY7/1000)</f>
        <v>60.124790619765498</v>
      </c>
      <c r="CD7" s="5">
        <f t="shared" ref="CD7:CD32" si="42">CB7*$CD$3-BY7</f>
        <v>-10639.664999999994</v>
      </c>
      <c r="CE7" s="5">
        <f t="shared" ref="CE7:CE32" si="43">BZ7/BY7*CD7</f>
        <v>-102.71019320728638</v>
      </c>
      <c r="CF7" s="6">
        <f>应产率辅助表!N4</f>
        <v>0</v>
      </c>
      <c r="CG7" s="6">
        <f>应产率辅助表!N33</f>
        <v>0</v>
      </c>
      <c r="CH7" s="7">
        <f t="shared" ref="CH7:CH32" si="44">+CG7/D7</f>
        <v>0</v>
      </c>
      <c r="CI7" s="5">
        <f>产品销售数量!P4+产品销售数量!Z4*1.4+产品销售数量!L4</f>
        <v>224.6</v>
      </c>
      <c r="CJ7" s="5" t="e">
        <f t="shared" ref="CJ7:CJ32" si="45">CI7/(CF7/1000)</f>
        <v>#DIV/0!</v>
      </c>
      <c r="CK7" s="5">
        <f t="shared" ref="CK7:CK32" si="46">CB7*$CD$3-CF7</f>
        <v>108760.33500000001</v>
      </c>
      <c r="CL7" s="5" t="e">
        <f t="shared" ref="CL7:CL32" si="47">CG7/CF7*CK7</f>
        <v>#DIV/0!</v>
      </c>
      <c r="CM7" s="6">
        <f>应产率辅助表!O4</f>
        <v>303625</v>
      </c>
      <c r="CN7" s="6">
        <f>应产率辅助表!O33</f>
        <v>3037.48</v>
      </c>
      <c r="CO7" s="7">
        <f t="shared" ref="CO7:CO32" si="48">+CN7/D7</f>
        <v>3.3718460820666672E-2</v>
      </c>
      <c r="CP7" s="5">
        <f>+产品销售数量!AE4*1.04+产品销售数量!AD4*1.279+产品销售数量!BW4*1.04+产品销售数量!BX4*1.279</f>
        <v>3955.1130000000003</v>
      </c>
      <c r="CQ7" s="95">
        <f t="shared" ref="CQ7:CQ32" si="49">CP7/(CM7/1000)</f>
        <v>13.026308769040758</v>
      </c>
      <c r="CR7" s="5">
        <f t="shared" ref="CR7:CR32" si="50">CP7*$CR$3-CM7</f>
        <v>-128809.00539999997</v>
      </c>
      <c r="CS7" s="5">
        <f t="shared" ref="CS7:CS32" si="51">CN7/CM7*CR7</f>
        <v>-1288.611865697462</v>
      </c>
      <c r="CT7" s="6">
        <f>应产率辅助表!P4</f>
        <v>33034</v>
      </c>
      <c r="CU7" s="6">
        <f>应产率辅助表!P33</f>
        <v>356.93</v>
      </c>
      <c r="CV7" s="7">
        <f t="shared" ref="CV7:CV32" si="52">+CU7/K7</f>
        <v>-2.2093771231511926E-2</v>
      </c>
      <c r="CW7" s="5">
        <f>+产品销售数量!AC4*1.08+产品销售数量!AH4*1+产品销售数量!AG4*1.45+产品销售数量!BG4*0.834+产品销售数量!CU4*0.834+产品销售数量!DM4*1.19</f>
        <v>445.18999999999994</v>
      </c>
      <c r="CX7" s="95">
        <f t="shared" ref="CX7:CX32" si="53">CW7/(CT7/1000)</f>
        <v>13.476720954168432</v>
      </c>
      <c r="CY7" s="5">
        <f t="shared" ref="CY7:CY32" si="54">CW7*$CR$3-CT7</f>
        <v>-13356.602000000003</v>
      </c>
      <c r="CZ7" s="5">
        <f t="shared" ref="CZ7:CZ32" si="55">CU7/CT7*CY7</f>
        <v>-144.31712635042686</v>
      </c>
      <c r="DA7" s="6">
        <f>应产率辅助表!Q4</f>
        <v>0</v>
      </c>
      <c r="DB7" s="6">
        <f>应产率辅助表!Q33</f>
        <v>0</v>
      </c>
      <c r="DC7" s="7">
        <f t="shared" ref="DC7:DC32" si="56">+DB7/D7</f>
        <v>0</v>
      </c>
      <c r="DD7" s="5">
        <f>产品销售数量!AJ4*2+产品销售数量!AK4*1.38+产品销售数量!AL4+产品销售数量!BT4*1.38+产品销售数量!BU4*2</f>
        <v>0</v>
      </c>
      <c r="DE7" s="5" t="e">
        <f t="shared" ref="DE7:DE32" si="57">DD7/(DA7/1000)</f>
        <v>#DIV/0!</v>
      </c>
      <c r="DF7" s="5">
        <f t="shared" ref="DF7:DF32" si="58">DD7*$DF$3-DA7</f>
        <v>0</v>
      </c>
      <c r="DG7" s="5" t="e">
        <f t="shared" ref="DG7:DG32" si="59">DB7/DA7*DF7</f>
        <v>#DIV/0!</v>
      </c>
      <c r="DH7" s="6">
        <f>应产率辅助表!R4</f>
        <v>10080</v>
      </c>
      <c r="DI7" s="6">
        <f>应产率辅助表!R33</f>
        <v>194.63</v>
      </c>
      <c r="DJ7" s="7">
        <f t="shared" ref="DJ7:DJ32" si="60">+DI7/D7</f>
        <v>2.1605488857626568E-3</v>
      </c>
      <c r="DK7" s="5">
        <f>+产品销售数量!AM4*1.375+产品销售数量!AN4+产品销售数量!AO4*0.75+产品销售数量!BR4*0.57</f>
        <v>225.32</v>
      </c>
      <c r="DL7" s="5">
        <f t="shared" ref="DL7:DL32" si="61">DK7/(DH7/1000)</f>
        <v>22.353174603174601</v>
      </c>
      <c r="DM7" s="5">
        <f t="shared" ref="DM7:DM32" si="62">DK7*$DM$3-DH7</f>
        <v>-120.85599999999977</v>
      </c>
      <c r="DN7" s="5">
        <f t="shared" ref="DN7:DN32" si="63">DI7/DH7*DM7</f>
        <v>-2.3335519126984083</v>
      </c>
      <c r="DO7" s="6">
        <f>应产率辅助表!S4+应产率辅助表!T4</f>
        <v>1400</v>
      </c>
      <c r="DP7" s="6">
        <f>应产率辅助表!S33+应产率辅助表!T33</f>
        <v>119.5</v>
      </c>
      <c r="DQ7" s="7">
        <f t="shared" ref="DQ7:DQ32" si="64">+DP7/D7</f>
        <v>1.3265457115996377E-3</v>
      </c>
      <c r="DR7" s="5">
        <f>+产品销售数量!Y4+产品销售数量!X4+产品销售数量!AB4*3+产品销售数量!CG4*3+产品销售数量!CJ4*2+产品销售数量!BN4*2+产品销售数量!CR4+产品销售数量!CS4+产品销售数量!CT4+产品销售数量!BM4+产品销售数量!AA4+产品销售数量!CF4</f>
        <v>1315</v>
      </c>
      <c r="DS7" s="5">
        <f t="shared" ref="DS7:DS32" si="65">+DO7/DR7</f>
        <v>1.064638783269962</v>
      </c>
      <c r="DT7" s="5">
        <f t="shared" ref="DT7:DT32" si="66">DR7*$DT$3-DO7</f>
        <v>-85</v>
      </c>
      <c r="DU7" s="5">
        <f t="shared" ref="DU7:DU32" si="67">DP7/DO7*DT7</f>
        <v>-7.2553571428571422</v>
      </c>
      <c r="DV7" s="6">
        <f>应产率辅助表!U4</f>
        <v>5000</v>
      </c>
      <c r="DW7" s="6">
        <f>应产率辅助表!U33</f>
        <v>442.48</v>
      </c>
      <c r="DX7" s="7">
        <f t="shared" ref="DX7:DX32" si="68">+DW7/D7</f>
        <v>4.9118823972268428E-3</v>
      </c>
      <c r="DY7" s="5">
        <f>+产品销售数量!E4+产品销售数量!F4*2+产品销售数量!G4+产品销售数量!CY4+产品销售数量!DE4+产品销售数量!DH4</f>
        <v>5287</v>
      </c>
      <c r="DZ7" s="5">
        <f t="shared" ref="DZ7:DZ32" si="69">+DV7/DY7</f>
        <v>0.94571590694155472</v>
      </c>
      <c r="EA7" s="5">
        <f t="shared" ref="EA7:EA32" si="70">+DY7*$EA$3-DV7</f>
        <v>287</v>
      </c>
      <c r="EB7" s="5">
        <f t="shared" ref="EB7:EB32" si="71">DW7/DV7*EA7</f>
        <v>25.398352000000003</v>
      </c>
      <c r="EC7" s="6">
        <f>应产率辅助表!V4</f>
        <v>10</v>
      </c>
      <c r="ED7" s="6">
        <f>应产率辅助表!V33</f>
        <v>0.56000000000000005</v>
      </c>
      <c r="EE7" s="7">
        <f t="shared" ref="EE7:EE32" si="72">+ED7/D7</f>
        <v>6.2164485229773819E-6</v>
      </c>
      <c r="EF7" s="5">
        <f>+产品销售数量!AS4</f>
        <v>10</v>
      </c>
      <c r="EG7" s="5">
        <f t="shared" ref="EG7:EG32" si="73">+EC7/EF7</f>
        <v>1</v>
      </c>
      <c r="EH7" s="5">
        <f t="shared" ref="EH7:EH32" si="74">+EF7*$EH$3-EC7</f>
        <v>0</v>
      </c>
      <c r="EI7" s="5">
        <f t="shared" ref="EI7:EI32" si="75">ED7/EC7*EH7</f>
        <v>0</v>
      </c>
      <c r="EJ7" s="6">
        <f>应产率辅助表!W4</f>
        <v>4440</v>
      </c>
      <c r="EK7" s="6">
        <f>应产率辅助表!W33</f>
        <v>126.85</v>
      </c>
      <c r="EL7" s="7">
        <f t="shared" ref="EL7:EL32" si="76">+EK7/D7</f>
        <v>1.4081365984637158E-3</v>
      </c>
      <c r="EM7" s="5">
        <f>+产品销售数量!AD4+产品销售数量!AE4+产品销售数量!AF4+产品销售数量!AG4+产品销售数量!AH4+产品销售数量!AI4+产品销售数量!AJ4+产品销售数量!AK4+产品销售数量!AL4+产品销售数量!AM4+产品销售数量!AN4+产品销售数量!AO4+产品销售数量!AQ4+产品销售数量!AP4+产品销售数量!AR4+产品销售数量!BR4+产品销售数量!AS4+产品销售数量!CA4+产品销售数量!BE4+产品销售数量!BF4</f>
        <v>4196</v>
      </c>
      <c r="EN7" s="5">
        <f t="shared" ref="EN7:EN32" si="77">+EJ7/EM7</f>
        <v>1.0581506196377501</v>
      </c>
      <c r="EO7" s="5">
        <f t="shared" ref="EO7:EO32" si="78">EM7*$EO$3-EJ7</f>
        <v>-244</v>
      </c>
      <c r="EP7" s="5">
        <f t="shared" ref="EP7:EP32" si="79">EK7/EJ7*EO7</f>
        <v>-6.9710360360360362</v>
      </c>
      <c r="EQ7" s="6">
        <f>应产率辅助表!X4</f>
        <v>0</v>
      </c>
      <c r="ER7" s="6">
        <f>应产率辅助表!X33</f>
        <v>0</v>
      </c>
      <c r="ES7" s="7">
        <f t="shared" ref="ES7:ES32" si="80">+ER7/D7</f>
        <v>0</v>
      </c>
      <c r="ET7" s="5">
        <f>+产品销售数量!AQ4+产品销售数量!AP4+产品销售数量!AR4+产品销售数量!BR4+产品销售数量!AS4+产品销售数量!CA4+产品销售数量!BE4+产品销售数量!BF4</f>
        <v>300</v>
      </c>
      <c r="EU7" s="5">
        <f t="shared" ref="EU7:EU32" si="81">+EQ7/ET7</f>
        <v>0</v>
      </c>
      <c r="EV7" s="5">
        <f t="shared" ref="EV7:EV32" si="82">+ET7*$EV$3-EQ7</f>
        <v>300</v>
      </c>
      <c r="EW7" s="5" t="e">
        <f t="shared" ref="EW7:EW32" si="83">ER7/EQ7*EV7</f>
        <v>#DIV/0!</v>
      </c>
      <c r="EX7" s="6">
        <f>应产率辅助表!Y4</f>
        <v>320</v>
      </c>
      <c r="EY7" s="6">
        <f>应产率辅助表!Y33</f>
        <v>17.62</v>
      </c>
      <c r="EZ7" s="7">
        <f t="shared" ref="EZ7:EZ32" si="84">+EY7/D7</f>
        <v>1.9559611245510976E-4</v>
      </c>
      <c r="FA7" s="5">
        <f>产品销售数量!H4</f>
        <v>320</v>
      </c>
      <c r="FB7" s="5">
        <f t="shared" ref="FB7:FB32" si="85">+EX7/FA7</f>
        <v>1</v>
      </c>
      <c r="FC7" s="5">
        <f t="shared" ref="FC7:FC32" si="86">+FA7*$FC$3-EX7</f>
        <v>0</v>
      </c>
      <c r="FD7" s="5">
        <f t="shared" ref="FD7:FD32" si="87">EY7/EX7*FC7</f>
        <v>0</v>
      </c>
      <c r="FE7" s="6">
        <f>应产率辅助表!Z4</f>
        <v>8400</v>
      </c>
      <c r="FF7" s="6">
        <f>应产率辅助表!Z33</f>
        <v>347.72</v>
      </c>
      <c r="FG7" s="7">
        <f t="shared" ref="FG7:FG32" si="88">+FF7/D7</f>
        <v>3.8599705007315989E-3</v>
      </c>
      <c r="FH7" s="5">
        <f>+产品销售数量!J4+产品销售数量!K4+产品销售数量!L4+产品销售数量!M4+产品销售数量!O4+产品销售数量!P4+产品销售数量!S4+产品销售数量!T4+产品销售数量!BQ4+产品销售数量!BS4+产品销售数量!CC4+产品销售数量!CH4+产品销售数量!CI4+产品销售数量!CJ4+产品销售数量!CK4+产品销售数量!CL4+产品销售数量!BL4+产品销售数量!AU4++产品销售数量!AW4+产品销售数量!BQ4+产品销售数量!CN4+产品销售数量!CO4+产品销售数量!CQ4+产品销售数量!CX4+产品销售数量!CY4+产品销售数量!CM4</f>
        <v>8815</v>
      </c>
      <c r="FI7" s="5">
        <f t="shared" ref="FI7:FI32" si="89">+FE7/FH7</f>
        <v>0.95292115711854797</v>
      </c>
      <c r="FJ7" s="5">
        <f t="shared" ref="FJ7:FJ32" si="90">+FH7*$FJ$3-FE7</f>
        <v>415</v>
      </c>
      <c r="FK7" s="5">
        <f t="shared" ref="FK7:FK32" si="91">FF7/FE7*FJ7</f>
        <v>17.179023809523809</v>
      </c>
      <c r="FL7" s="6">
        <f>应产率辅助表!AA4</f>
        <v>0</v>
      </c>
      <c r="FM7" s="6">
        <f>应产率辅助表!AA33</f>
        <v>0</v>
      </c>
      <c r="FN7" s="7">
        <f t="shared" ref="FN7:FN32" si="92">+FM7/D7</f>
        <v>0</v>
      </c>
      <c r="FO7" s="5">
        <f>+产品销售数量!R4+产品销售数量!CE4</f>
        <v>0</v>
      </c>
      <c r="FP7" s="5" t="e">
        <f t="shared" ref="FP7:FP32" si="93">+FL7/FO7</f>
        <v>#DIV/0!</v>
      </c>
      <c r="FQ7" s="5">
        <f t="shared" ref="FQ7:FQ32" si="94">+FO7*$FQ$3-FL7</f>
        <v>0</v>
      </c>
      <c r="FR7" s="5" t="e">
        <f t="shared" ref="FR7:FR32" si="95">FM7/FL7*FQ7</f>
        <v>#DIV/0!</v>
      </c>
      <c r="FS7" s="6">
        <f>应产率辅助表!AB4</f>
        <v>420</v>
      </c>
      <c r="FT7" s="5">
        <f t="shared" ref="FT7:FT32" si="96">+FS7*50</f>
        <v>21000</v>
      </c>
      <c r="FU7" s="6">
        <f>应产率辅助表!AB33</f>
        <v>392.09</v>
      </c>
      <c r="FV7" s="7">
        <f t="shared" ref="FV7:FV32" si="97">+FU7/D7</f>
        <v>4.3525130381682165E-3</v>
      </c>
      <c r="FW7" s="5">
        <f t="shared" ref="FW7:FW32" si="98">+FT7/E7</f>
        <v>3.9690039690039689</v>
      </c>
      <c r="FX7" s="6">
        <f>应产率辅助表!AC4</f>
        <v>1800</v>
      </c>
      <c r="FY7" s="6">
        <f>应产率辅助表!AC33</f>
        <v>81.650000000000006</v>
      </c>
      <c r="FZ7" s="7">
        <f t="shared" ref="FZ7:FZ32" si="99">+FY7/D7</f>
        <v>9.0638039625197007E-4</v>
      </c>
      <c r="GA7" s="5">
        <f t="shared" ref="GA7:GA32" si="100">+FX7/E7</f>
        <v>0.34020034020034018</v>
      </c>
      <c r="GB7" s="6">
        <f>应产率辅助表!AD4</f>
        <v>21</v>
      </c>
      <c r="GC7" s="6">
        <f>应产率辅助表!AD33</f>
        <v>3285.71</v>
      </c>
      <c r="GD7" s="7">
        <f t="shared" ref="GD7:GD32" si="101">+GC7/D7</f>
        <v>3.6474012636485739E-2</v>
      </c>
      <c r="GE7" s="6">
        <f>应产率辅助表!AE4</f>
        <v>11000</v>
      </c>
      <c r="GF7" s="6">
        <f>应产率辅助表!AE33</f>
        <v>69.290000000000006</v>
      </c>
      <c r="GG7" s="7">
        <f t="shared" ref="GG7:GG32" si="102">+GF7/D7</f>
        <v>7.6917449670911217E-4</v>
      </c>
      <c r="GH7" s="6">
        <f>应产率辅助表!AF4</f>
        <v>95</v>
      </c>
      <c r="GI7" s="6">
        <f>应产率辅助表!AF33</f>
        <v>147.25</v>
      </c>
      <c r="GJ7" s="7">
        <f t="shared" ref="GJ7:GJ32" si="103">+GI7/D7</f>
        <v>1.6345929375150346E-3</v>
      </c>
      <c r="GK7" s="6">
        <f>应产率辅助表!AG4</f>
        <v>1350</v>
      </c>
      <c r="GL7" s="6">
        <f>应产率辅助表!AG33</f>
        <v>100.31</v>
      </c>
      <c r="GM7" s="7">
        <f t="shared" ref="GM7:GM32" si="104">+GL7/D7</f>
        <v>1.1135213416783236E-3</v>
      </c>
      <c r="GN7" s="6"/>
      <c r="GO7" s="6">
        <f>应产率辅助表!AH4</f>
        <v>1400</v>
      </c>
      <c r="GP7" s="6">
        <f>应产率辅助表!AH33</f>
        <v>80.010000000000005</v>
      </c>
      <c r="GQ7" s="7">
        <f t="shared" ref="GQ7:GQ32" si="105">+GP7/D7</f>
        <v>8.8817508272039341E-4</v>
      </c>
      <c r="GR7" s="6">
        <f>应产率辅助表!AI4</f>
        <v>2400</v>
      </c>
      <c r="GS7" s="6">
        <f>应产率辅助表!AI33</f>
        <v>91.44</v>
      </c>
      <c r="GT7" s="7">
        <f t="shared" ref="GT7:GT32" si="106">+GS7/D7</f>
        <v>1.0150572373947354E-3</v>
      </c>
      <c r="GU7" s="72">
        <f>应产率辅助表!AJ4</f>
        <v>2050</v>
      </c>
      <c r="GV7" s="72">
        <f>应产率辅助表!AJ33</f>
        <v>430.79</v>
      </c>
      <c r="GW7" s="7">
        <f t="shared" ref="GW7:GW31" si="107">+GV7/$D7</f>
        <v>4.7821140343096901E-3</v>
      </c>
      <c r="GX7" s="72">
        <f>应产率辅助表!AK4</f>
        <v>620</v>
      </c>
      <c r="GY7" s="72">
        <f>应产率辅助表!AK33</f>
        <v>84.27</v>
      </c>
      <c r="GZ7" s="7">
        <f t="shared" ref="GZ7:GZ32" si="108">+GY7/$D7</f>
        <v>9.35464494698757E-4</v>
      </c>
      <c r="HA7" s="72">
        <f>应产率辅助表!AL4</f>
        <v>1200</v>
      </c>
      <c r="HB7" s="72">
        <f>应产率辅助表!AL33</f>
        <v>456.89</v>
      </c>
      <c r="HC7" s="7">
        <f t="shared" ref="HC7:HC32" si="109">+HB7/$D7</f>
        <v>5.071844938684171E-3</v>
      </c>
      <c r="HD7" s="72">
        <f>应产率辅助表!AM4</f>
        <v>470</v>
      </c>
      <c r="HE7" s="72">
        <f>应产率辅助表!AM33</f>
        <v>38.57</v>
      </c>
      <c r="HF7" s="7">
        <f t="shared" ref="HF7:HF32" si="110">+HE7/$D7</f>
        <v>4.2815789202006716E-4</v>
      </c>
      <c r="HG7" s="72">
        <f>应产率辅助表!AN4</f>
        <v>385</v>
      </c>
      <c r="HH7" s="72">
        <f>应产率辅助表!AN33</f>
        <v>115.28</v>
      </c>
      <c r="HI7" s="7">
        <f t="shared" ref="HI7:HI32" si="111">+HH7/$D7</f>
        <v>1.2797003316586295E-3</v>
      </c>
      <c r="HJ7" s="72">
        <f>应产率辅助表!AO4</f>
        <v>0</v>
      </c>
      <c r="HK7" s="72">
        <f>应产率辅助表!AO33</f>
        <v>0</v>
      </c>
      <c r="HL7" s="7">
        <f t="shared" ref="HL7:HL32" si="112">+HK7/$D7</f>
        <v>0</v>
      </c>
      <c r="HM7" s="72">
        <f>应产率辅助表!AP4</f>
        <v>3000</v>
      </c>
      <c r="HN7" s="72">
        <f>应产率辅助表!AP33</f>
        <v>683.85</v>
      </c>
      <c r="HO7" s="7">
        <f t="shared" ref="HO7:HO32" si="113">+HN7/$D7</f>
        <v>7.5912827186394331E-3</v>
      </c>
      <c r="HP7" s="6">
        <f>产品销售数量!DP4</f>
        <v>34</v>
      </c>
      <c r="HQ7" s="6">
        <f t="shared" ref="HQ7" si="114">HP7*12.5</f>
        <v>425</v>
      </c>
      <c r="HR7" s="5">
        <f t="shared" ref="HR7:HR32" si="115">+HQ7/D7</f>
        <v>4.7178403969024771E-3</v>
      </c>
      <c r="HS7" s="6">
        <v>0</v>
      </c>
      <c r="HT7" s="6">
        <v>0</v>
      </c>
      <c r="HU7" s="5">
        <f t="shared" ref="HU7:HU32" si="116">+HT7/D7</f>
        <v>0</v>
      </c>
      <c r="HV7" s="6">
        <v>0</v>
      </c>
      <c r="HW7" s="6">
        <v>0</v>
      </c>
      <c r="HX7" s="5">
        <f t="shared" ref="HX7:HX32" si="117">+HW7/D7</f>
        <v>0</v>
      </c>
      <c r="HY7" s="5"/>
      <c r="HZ7" s="5"/>
      <c r="IA7" s="5">
        <f>+HZ7/G7</f>
        <v>0</v>
      </c>
      <c r="IB7" s="5">
        <f t="shared" ref="IB7:IC32" si="118">HP7+HS7+HV7</f>
        <v>34</v>
      </c>
      <c r="IC7" s="5">
        <f t="shared" si="118"/>
        <v>425</v>
      </c>
      <c r="ID7" s="5">
        <f t="shared" ref="ID7:ID32" si="119">IC7/D7</f>
        <v>4.7178403969024771E-3</v>
      </c>
      <c r="IE7" s="7">
        <f t="shared" ref="IE7:IF32" si="120">+HP7+HS7+HV7</f>
        <v>34</v>
      </c>
      <c r="IF7" s="7">
        <f t="shared" si="120"/>
        <v>425</v>
      </c>
      <c r="IG7" s="5">
        <f t="shared" ref="IG7:IG32" si="121">+IF7/D7</f>
        <v>4.7178403969024771E-3</v>
      </c>
      <c r="IH7" s="5">
        <f t="shared" ref="IH7:IH32" si="122">+AC7+AK7+AR7+AY7+BF7+BM7+BT7+CA7+CH7+DQ7+DX7+EE7+GD7+GG7</f>
        <v>8.6370003682135682E-2</v>
      </c>
      <c r="II7" s="5">
        <f t="shared" ref="II7:II32" si="123">+EL7+ES7+EZ7+FG7+FV7+FZ7+GJ7+GM7+GQ7+GT7</f>
        <v>1.5373943245379098E-2</v>
      </c>
      <c r="IJ7" s="8">
        <f t="shared" ref="IJ7:IJ32" si="124">G7/F7</f>
        <v>9.8832380952380942E-3</v>
      </c>
      <c r="IK7" s="8">
        <f t="shared" ref="IK7:IK32" si="125">N7/M7</f>
        <v>1.1833114754098361E-2</v>
      </c>
      <c r="IL7" s="8">
        <f t="shared" ref="IL7:IL32" si="126">U7/T7</f>
        <v>1.5214700854700855E-2</v>
      </c>
      <c r="IM7" s="8">
        <f t="shared" ref="IM7:IM32" si="127">AB7/AA7</f>
        <v>7.1999999999999998E-3</v>
      </c>
      <c r="IN7" s="8">
        <f t="shared" ref="IN7:IN32" si="128">AJ7/AI7</f>
        <v>4.5801886792452831E-3</v>
      </c>
      <c r="IO7" s="8">
        <f t="shared" ref="IO7:IO32" si="129">AQ7/AP7</f>
        <v>1.4175999999999999E-2</v>
      </c>
      <c r="IP7" s="8">
        <f t="shared" ref="IP7:IP32" si="130">AX7/AW7</f>
        <v>1.4173333333333335E-2</v>
      </c>
      <c r="IQ7" s="8">
        <f t="shared" ref="IQ7:IQ32" si="131">BE7/BD7</f>
        <v>1.8350555555555554E-2</v>
      </c>
      <c r="IR7" s="8">
        <f t="shared" ref="IR7:IR32" si="132">BL7/BK7</f>
        <v>1.6455000000000001E-2</v>
      </c>
      <c r="IS7" s="8">
        <f t="shared" ref="IS7:IS32" si="133">BS7/BR7</f>
        <v>6.1928934010152285E-3</v>
      </c>
      <c r="IT7" s="8">
        <f t="shared" ref="IT7:IT32" si="134">BZ7/BY7</f>
        <v>9.653517587939699E-3</v>
      </c>
      <c r="IU7" s="8" t="e">
        <f t="shared" ref="IU7:IU32" si="135">CG7/CF7</f>
        <v>#DIV/0!</v>
      </c>
      <c r="IV7" s="8">
        <f t="shared" ref="IV7:IV32" si="136">CN7/CM7</f>
        <v>1.0004051049814739E-2</v>
      </c>
      <c r="IW7" s="8">
        <f t="shared" ref="IW7:IW32" si="137">CU7/CT7</f>
        <v>1.0804928255736514E-2</v>
      </c>
      <c r="IX7" s="8" t="e">
        <f t="shared" ref="IX7:IX32" si="138">DB7/DA7</f>
        <v>#DIV/0!</v>
      </c>
      <c r="IY7" s="8">
        <f t="shared" ref="IY7:IY32" si="139">DI7/DH7</f>
        <v>1.9308531746031747E-2</v>
      </c>
      <c r="IZ7" s="8">
        <f t="shared" ref="IZ7:IZ32" si="140">DP7/DO7</f>
        <v>8.5357142857142854E-2</v>
      </c>
      <c r="JA7" s="8">
        <f t="shared" ref="JA7:JA32" si="141">DW7/DV7</f>
        <v>8.8496000000000005E-2</v>
      </c>
      <c r="JB7" s="8">
        <f t="shared" ref="JB7:JB32" si="142">ED7/EC7</f>
        <v>5.6000000000000008E-2</v>
      </c>
      <c r="JC7" s="8">
        <f t="shared" ref="JC7:JC32" si="143">EK7/EJ7</f>
        <v>2.8569819819819819E-2</v>
      </c>
      <c r="JD7" s="8" t="e">
        <f t="shared" ref="JD7:JD32" si="144">ER7/EQ7</f>
        <v>#DIV/0!</v>
      </c>
      <c r="JE7" s="8">
        <f t="shared" ref="JE7:JE32" si="145">EY7/EX7</f>
        <v>5.50625E-2</v>
      </c>
      <c r="JF7" s="8">
        <f t="shared" ref="JF7:JF32" si="146">FF7/FE7</f>
        <v>4.1395238095238096E-2</v>
      </c>
      <c r="JG7" s="8" t="e">
        <f t="shared" ref="JG7:JG32" si="147">FM7/FL7</f>
        <v>#DIV/0!</v>
      </c>
      <c r="JH7" s="8">
        <f t="shared" ref="JH7:JH32" si="148">FU7/FS7</f>
        <v>0.93354761904761896</v>
      </c>
      <c r="JI7" s="8">
        <f t="shared" ref="JI7:JI32" si="149">FY7/FX7</f>
        <v>4.5361111111111116E-2</v>
      </c>
      <c r="JJ7" s="8">
        <f t="shared" ref="JJ7:JJ32" si="150">GC7/GB7</f>
        <v>156.46238095238095</v>
      </c>
      <c r="JK7" s="8">
        <f t="shared" ref="JK7:JK32" si="151">GF7/GE7</f>
        <v>6.2990909090909096E-3</v>
      </c>
      <c r="JL7" s="8">
        <f t="shared" ref="JL7:JL32" si="152">GI7/GH7</f>
        <v>1.55</v>
      </c>
      <c r="JM7" s="81">
        <f t="shared" ref="JM7:JM32" si="153">GL7/GK7</f>
        <v>7.4303703703703705E-2</v>
      </c>
      <c r="JN7" s="8">
        <f t="shared" ref="JN7:JN32" si="154">GP7/GO7</f>
        <v>5.7150000000000006E-2</v>
      </c>
      <c r="JO7" s="8">
        <f t="shared" ref="JO7:JO32" si="155">GS7/GR7</f>
        <v>3.8100000000000002E-2</v>
      </c>
      <c r="JP7" s="9">
        <f t="shared" ref="JP7:JP32" si="156">GV7/GU7</f>
        <v>0.21014146341463416</v>
      </c>
      <c r="JQ7" s="9">
        <f t="shared" ref="JQ7:JQ32" si="157">GY7/GX7</f>
        <v>0.13591935483870968</v>
      </c>
      <c r="JR7" s="9">
        <f t="shared" ref="JR7:JR32" si="158">HB7/HA7</f>
        <v>0.38074166666666664</v>
      </c>
      <c r="JS7" s="9">
        <f t="shared" ref="JS7:JS32" si="159">HE7/HD7</f>
        <v>8.2063829787234047E-2</v>
      </c>
      <c r="JT7" s="9">
        <f t="shared" ref="JT7:JT32" si="160">HH7/HG7</f>
        <v>0.29942857142857143</v>
      </c>
      <c r="JU7" s="9" t="e">
        <f t="shared" ref="JU7:JU32" si="161">HK7/HJ7</f>
        <v>#DIV/0!</v>
      </c>
      <c r="JV7" s="9">
        <f t="shared" ref="JV7:JV32" si="162">HN7/HM7</f>
        <v>0.22795000000000001</v>
      </c>
      <c r="JW7" s="9">
        <f t="shared" ref="JW7:JW32" si="163">HQ7/HP7</f>
        <v>12.5</v>
      </c>
    </row>
    <row r="8" spans="1:283" s="11" customFormat="1" ht="18" customHeight="1" x14ac:dyDescent="0.15">
      <c r="A8" s="10">
        <v>845</v>
      </c>
      <c r="B8" s="5" t="s">
        <v>587</v>
      </c>
      <c r="C8" s="5" t="s">
        <v>333</v>
      </c>
      <c r="D8" s="55">
        <v>62719.360000000001</v>
      </c>
      <c r="E8" s="56">
        <f>产品销售数量!D5</f>
        <v>3807</v>
      </c>
      <c r="F8" s="6">
        <f>应产率辅助表!C5</f>
        <v>250564</v>
      </c>
      <c r="G8" s="6">
        <f>应产率辅助表!C34</f>
        <v>2476.39</v>
      </c>
      <c r="H8" s="7">
        <f t="shared" si="1"/>
        <v>3.9483661823079823E-2</v>
      </c>
      <c r="I8" s="5">
        <f>产品销售数量!E5+产品销售数量!F5*1.36</f>
        <v>2100.8000000000002</v>
      </c>
      <c r="J8" s="5">
        <f t="shared" ref="J8:J32" si="164">I8/(F8/1000)</f>
        <v>8.3842850529206121</v>
      </c>
      <c r="K8" s="5">
        <f t="shared" si="2"/>
        <v>-19055.839999999967</v>
      </c>
      <c r="L8" s="5">
        <f t="shared" si="3"/>
        <v>-188.3338852253313</v>
      </c>
      <c r="M8" s="6">
        <f>应产率辅助表!D5</f>
        <v>20830</v>
      </c>
      <c r="N8" s="6">
        <f>应产率辅助表!D34</f>
        <v>246.47</v>
      </c>
      <c r="O8" s="7">
        <f t="shared" si="4"/>
        <v>3.9297275992612171E-3</v>
      </c>
      <c r="P8" s="5">
        <f>+产品销售数量!H5</f>
        <v>216</v>
      </c>
      <c r="Q8" s="5">
        <f t="shared" si="5"/>
        <v>10.369659145463276</v>
      </c>
      <c r="R8" s="5">
        <f t="shared" si="6"/>
        <v>-1314.4000000000015</v>
      </c>
      <c r="S8" s="5">
        <f t="shared" si="7"/>
        <v>-15.552576476236215</v>
      </c>
      <c r="T8" s="6">
        <f>应产率辅助表!E5</f>
        <v>90000</v>
      </c>
      <c r="U8" s="6">
        <f>应产率辅助表!E34</f>
        <v>1368.26</v>
      </c>
      <c r="V8" s="7">
        <f t="shared" si="8"/>
        <v>2.1815592506045981E-2</v>
      </c>
      <c r="W8" s="5">
        <f>+产品销售数量!V5+产品销售数量!CP5</f>
        <v>862</v>
      </c>
      <c r="X8" s="5">
        <f t="shared" si="9"/>
        <v>9.5777777777777775</v>
      </c>
      <c r="Y8" s="5">
        <f t="shared" si="10"/>
        <v>-3972.4000000000087</v>
      </c>
      <c r="Z8" s="5">
        <f t="shared" si="11"/>
        <v>-60.391955822222357</v>
      </c>
      <c r="AA8" s="6">
        <f>应产率辅助表!F5</f>
        <v>89500</v>
      </c>
      <c r="AB8" s="6">
        <f>应产率辅助表!F34</f>
        <v>644.42999999999995</v>
      </c>
      <c r="AC8" s="7">
        <f t="shared" si="12"/>
        <v>1.0274817855284236E-2</v>
      </c>
      <c r="AD8" s="5">
        <f>产品销售数量!J5*1.5+产品销售数量!K5*1.5+产品销售数量!L5*1.5+产品销售数量!O5*1.5+产品销售数量!P5*1.5+产品销售数量!S5*1.5+产品销售数量!T5*1.5+产品销售数量!CH5*1.35+产品销售数量!M5*1.5+产品销售数量!CK5*0.89*1.5+产品销售数量!BL5*1.35+产品销售数量!AU5*0.9+产品销售数量!AW5*0.9+产品销售数量!BB5*1.5+产品销售数量!CN5*1.35+产品销售数量!CO5*1.35+产品销售数量!CQ5*1.5+产品销售数量!CX5*1.5+产品销售数量!CY5*1.35+产品销售数量!CZ5*1.35</f>
        <v>7696.65</v>
      </c>
      <c r="AE8" s="5">
        <f t="shared" si="13"/>
        <v>85.99608938547486</v>
      </c>
      <c r="AF8" s="5">
        <f t="shared" si="14"/>
        <v>-11763.835000000006</v>
      </c>
      <c r="AG8" s="5">
        <f t="shared" si="15"/>
        <v>-84.70355518491624</v>
      </c>
      <c r="AH8" s="6">
        <f t="shared" ref="AH8:AH32" si="165">AI8/25000</f>
        <v>9</v>
      </c>
      <c r="AI8" s="6">
        <f>应产率辅助表!G5</f>
        <v>225000</v>
      </c>
      <c r="AJ8" s="6">
        <f>应产率辅助表!G34</f>
        <v>1030.44</v>
      </c>
      <c r="AK8" s="7">
        <f t="shared" si="17"/>
        <v>1.6429376830375819E-2</v>
      </c>
      <c r="AL8" s="5">
        <f>+产品销售数量!J5*1.13+产品销售数量!K5*1.13+产品销售数量!O5*1.13+产品销售数量!U5+产品销售数量!V5*2.6+产品销售数量!W5*2.6+产品销售数量!X5*1.6+产品销售数量!Y5+产品销售数量!AB5*1.74+产品销售数量!BC5*1.19+产品销售数量!BL5*0.98+产品销售数量!BM5*0.74+产品销售数量!BN5*4.495+产品销售数量!BQ5*2.29+产品销售数量!BV5*2.56+产品销售数量!CG5*1.74+产品销售数量!CJ5*0.8+产品销售数量!CK5*1.13+产品销售数量!CM5*1.19+产品销售数量!CO5*0.98+产品销售数量!CP5*2.6+产品销售数量!CQ5*1.13+产品销售数量!CR5*1.4+产品销售数量!CS5*1.4+产品销售数量!CT5*1.4+产品销售数量!CV5*1.13+产品销售数量!CW5*0.98+产品销售数量!CX5*0.378+产品销售数量!CY5*1.19+产品销售数量!DA5*0.87+产品销售数量!DB5*1.5+产品销售数量!DI5*0.595+产品销售数量!DK5*1.74+产品销售数量!DO5*1.11</f>
        <v>8069.5399999999991</v>
      </c>
      <c r="AM8" s="5">
        <f t="shared" si="18"/>
        <v>35.864622222222216</v>
      </c>
      <c r="AN8" s="5">
        <f t="shared" si="19"/>
        <v>17489.676999999967</v>
      </c>
      <c r="AO8" s="5">
        <f t="shared" si="20"/>
        <v>80.098056746133196</v>
      </c>
      <c r="AP8" s="6">
        <f>应产率辅助表!H5</f>
        <v>0</v>
      </c>
      <c r="AQ8" s="6">
        <f>应产率辅助表!H34</f>
        <v>0</v>
      </c>
      <c r="AR8" s="7">
        <f t="shared" si="21"/>
        <v>0</v>
      </c>
      <c r="AS8" s="5">
        <f>产品销售数量!I5*0.858+产品销售数量!Z5*0.686+产品销售数量!AA5*1.79+产品销售数量!CF5*1.79+产品销售数量!CL5*0.89</f>
        <v>314.58000000000004</v>
      </c>
      <c r="AT8" s="5" t="e">
        <f t="shared" si="22"/>
        <v>#DIV/0!</v>
      </c>
      <c r="AU8" s="5">
        <f t="shared" si="23"/>
        <v>1368.423</v>
      </c>
      <c r="AV8" s="5" t="e">
        <f t="shared" si="24"/>
        <v>#DIV/0!</v>
      </c>
      <c r="AW8" s="6">
        <f>应产率辅助表!I5</f>
        <v>2000</v>
      </c>
      <c r="AX8" s="6">
        <f>应产率辅助表!I34</f>
        <v>28.48</v>
      </c>
      <c r="AY8" s="7">
        <f t="shared" si="25"/>
        <v>4.5408626618638964E-4</v>
      </c>
      <c r="AZ8" s="5">
        <f>+产品销售数量!I5*0.857+产品销售数量!Z5*0.485+产品销售数量!AA5*1.88+产品销售数量!CF5*1.88+产品销售数量!CL5*0.89</f>
        <v>312.73500000000001</v>
      </c>
      <c r="BA8" s="5">
        <f t="shared" si="26"/>
        <v>156.36750000000001</v>
      </c>
      <c r="BB8" s="5">
        <f t="shared" si="27"/>
        <v>64.050999999999931</v>
      </c>
      <c r="BC8" s="5">
        <f t="shared" si="28"/>
        <v>0.91208623999999905</v>
      </c>
      <c r="BD8" s="6">
        <f>应产率辅助表!J5</f>
        <v>10000</v>
      </c>
      <c r="BE8" s="6">
        <f>应产率辅助表!J34</f>
        <v>183.51</v>
      </c>
      <c r="BF8" s="7">
        <f t="shared" si="29"/>
        <v>2.9258908254165858E-3</v>
      </c>
      <c r="BG8" s="5">
        <f>+产品销售数量!J5*2+产品销售数量!L5*0.93+产品销售数量!O5*2+产品销售数量!P5*0.93+产品销售数量!U5*1.93+产品销售数量!W5*2+产品销售数量!V5*3.79+产品销售数量!I5*2.678+产品销售数量!CK5*1.32+产品销售数量!CQ5*2</f>
        <v>6827.7199999999993</v>
      </c>
      <c r="BH8" s="5">
        <f t="shared" si="30"/>
        <v>682.77199999999993</v>
      </c>
      <c r="BI8" s="5">
        <f t="shared" si="31"/>
        <v>-441.19200000000092</v>
      </c>
      <c r="BJ8" s="5">
        <f t="shared" si="32"/>
        <v>-8.096314392000016</v>
      </c>
      <c r="BK8" s="6">
        <f>应产率辅助表!K5</f>
        <v>2000</v>
      </c>
      <c r="BL8" s="6">
        <f>应产率辅助表!K34</f>
        <v>31.85</v>
      </c>
      <c r="BM8" s="7">
        <f t="shared" si="33"/>
        <v>5.0781768181307977E-4</v>
      </c>
      <c r="BN8" s="5">
        <f>产品销售数量!K5*1.125+产品销售数量!Y5*4.12+产品销售数量!X5*5.5+产品销售数量!AA5*13.25+产品销售数量!AB5*13.25+产品销售数量!BN5*6.87+产品销售数量!BV5+产品销售数量!CF5*13.25+产品销售数量!CG5*13.25+产品销售数量!CJ5*6.63+产品销售数量!CL5*6.63+产品销售数量!CR5*2.25+产品销售数量!CS5*2.25+产品销售数量!CT5*2.25+产品销售数量!CV5*0.75+产品销售数量!DA5*6.63+产品销售数量!DJ5*13.25+产品销售数量!DK5*13.25</f>
        <v>4702.1049999999996</v>
      </c>
      <c r="BO8" s="5">
        <f t="shared" si="0"/>
        <v>2351.0524999999998</v>
      </c>
      <c r="BP8" s="5">
        <f t="shared" si="34"/>
        <v>1761.6839999999997</v>
      </c>
      <c r="BQ8" s="5">
        <f t="shared" si="35"/>
        <v>28.054817699999997</v>
      </c>
      <c r="BR8" s="6">
        <f>应产率辅助表!L5</f>
        <v>0</v>
      </c>
      <c r="BS8" s="6">
        <f>应产率辅助表!L34</f>
        <v>0</v>
      </c>
      <c r="BT8" s="7">
        <f t="shared" si="36"/>
        <v>0</v>
      </c>
      <c r="BU8" s="5">
        <f>产品销售数量!O5+产品销售数量!P5+产品销售数量!CI5*1.5+产品销售数量!CK5*0.89+产品销售数量!M5*1.34</f>
        <v>1227.1600000000001</v>
      </c>
      <c r="BV8" s="5" t="e">
        <f t="shared" si="37"/>
        <v>#DIV/0!</v>
      </c>
      <c r="BW8" s="5">
        <f t="shared" si="38"/>
        <v>12394.316000000001</v>
      </c>
      <c r="BX8" s="5" t="e">
        <f t="shared" si="39"/>
        <v>#DIV/0!</v>
      </c>
      <c r="BY8" s="6">
        <f>应产率辅助表!M5</f>
        <v>53970</v>
      </c>
      <c r="BZ8" s="6">
        <f>应产率辅助表!M34</f>
        <v>521.04999999999995</v>
      </c>
      <c r="CA8" s="7">
        <f t="shared" si="40"/>
        <v>8.3076421698180594E-3</v>
      </c>
      <c r="CB8" s="5">
        <f>+产品销售数量!J5+产品销售数量!K5+产品销售数量!L5+产品销售数量!O5+产品销售数量!P5+产品销售数量!S5+产品销售数量!T5+产品销售数量!AU5*0.9+产品销售数量!AW5*0.9+产品销售数量!BL5*0.9+产品销售数量!CH5*0.9+产品销售数量!CK5*0.9+产品销售数量!CN5*0.9+产品销售数量!CO5*0.9+产品销售数量!CQ5+产品销售数量!CV5+产品销售数量!CW5*0.9+产品销售数量!DB5</f>
        <v>4585.8999999999996</v>
      </c>
      <c r="CC8" s="5">
        <f t="shared" si="41"/>
        <v>84.971280340930136</v>
      </c>
      <c r="CD8" s="5">
        <f t="shared" si="42"/>
        <v>15506.384999999995</v>
      </c>
      <c r="CE8" s="5">
        <f t="shared" si="43"/>
        <v>149.70542716787097</v>
      </c>
      <c r="CF8" s="6">
        <f>应产率辅助表!N5</f>
        <v>0</v>
      </c>
      <c r="CG8" s="6">
        <f>应产率辅助表!N34</f>
        <v>0</v>
      </c>
      <c r="CH8" s="7">
        <f t="shared" si="44"/>
        <v>0</v>
      </c>
      <c r="CI8" s="5">
        <f>产品销售数量!P5+产品销售数量!Z5*1.4+产品销售数量!L5</f>
        <v>117</v>
      </c>
      <c r="CJ8" s="5" t="e">
        <f t="shared" si="45"/>
        <v>#DIV/0!</v>
      </c>
      <c r="CK8" s="5">
        <f t="shared" si="46"/>
        <v>69476.384999999995</v>
      </c>
      <c r="CL8" s="5" t="e">
        <f t="shared" si="47"/>
        <v>#DIV/0!</v>
      </c>
      <c r="CM8" s="6">
        <f>应产率辅助表!O5</f>
        <v>234750</v>
      </c>
      <c r="CN8" s="6">
        <f>应产率辅助表!O34</f>
        <v>2348.48</v>
      </c>
      <c r="CO8" s="7">
        <f t="shared" si="48"/>
        <v>3.7444259635302402E-2</v>
      </c>
      <c r="CP8" s="5">
        <f>+产品销售数量!AE5*1.04+产品销售数量!AD5*1.279+产品销售数量!BW5*1.04+产品销售数量!BX5*1.279</f>
        <v>3059.5890000000004</v>
      </c>
      <c r="CQ8" s="95">
        <f t="shared" si="49"/>
        <v>13.033392971246007</v>
      </c>
      <c r="CR8" s="5">
        <f t="shared" si="50"/>
        <v>-99516.166199999978</v>
      </c>
      <c r="CS8" s="5">
        <f t="shared" si="51"/>
        <v>-995.57710755005724</v>
      </c>
      <c r="CT8" s="6">
        <f>应产率辅助表!P5</f>
        <v>26406</v>
      </c>
      <c r="CU8" s="6">
        <f>应产率辅助表!P34</f>
        <v>285.29000000000002</v>
      </c>
      <c r="CV8" s="7">
        <f t="shared" si="52"/>
        <v>-1.4971263402715415E-2</v>
      </c>
      <c r="CW8" s="5">
        <f>+产品销售数量!AC5*1.08+产品销售数量!AH5*1+产品销售数量!AG5*1.45+产品销售数量!BG5*0.834+产品销售数量!CU5*0.834+产品销售数量!DM5*1.19</f>
        <v>368.51</v>
      </c>
      <c r="CX8" s="5">
        <f t="shared" si="53"/>
        <v>13.955540407483149</v>
      </c>
      <c r="CY8" s="5">
        <f t="shared" si="54"/>
        <v>-10117.858</v>
      </c>
      <c r="CZ8" s="5">
        <f t="shared" si="55"/>
        <v>-109.31317536999168</v>
      </c>
      <c r="DA8" s="6">
        <f>应产率辅助表!Q5</f>
        <v>0</v>
      </c>
      <c r="DB8" s="6">
        <f>应产率辅助表!Q34</f>
        <v>0</v>
      </c>
      <c r="DC8" s="7">
        <f t="shared" si="56"/>
        <v>0</v>
      </c>
      <c r="DD8" s="5">
        <f>产品销售数量!AJ5*2+产品销售数量!AK5*1.38+产品销售数量!AL5+产品销售数量!BT5*1.38+产品销售数量!BU5*2</f>
        <v>0</v>
      </c>
      <c r="DE8" s="5" t="e">
        <f t="shared" si="57"/>
        <v>#DIV/0!</v>
      </c>
      <c r="DF8" s="5">
        <f t="shared" si="58"/>
        <v>0</v>
      </c>
      <c r="DG8" s="5" t="e">
        <f t="shared" si="59"/>
        <v>#DIV/0!</v>
      </c>
      <c r="DH8" s="6">
        <f>应产率辅助表!R5</f>
        <v>3520</v>
      </c>
      <c r="DI8" s="6">
        <f>应产率辅助表!R34</f>
        <v>69.16</v>
      </c>
      <c r="DJ8" s="7">
        <f t="shared" si="60"/>
        <v>1.1026898233655444E-3</v>
      </c>
      <c r="DK8" s="5">
        <f>+产品销售数量!AM5*1.375+产品销售数量!AN5+产品销售数量!AO5*0.75+产品销售数量!BR5*0.57</f>
        <v>88.05</v>
      </c>
      <c r="DL8" s="5">
        <f t="shared" si="61"/>
        <v>25.014204545454543</v>
      </c>
      <c r="DM8" s="5">
        <f t="shared" si="62"/>
        <v>371.80999999999995</v>
      </c>
      <c r="DN8" s="5">
        <f t="shared" si="63"/>
        <v>7.3052214772727257</v>
      </c>
      <c r="DO8" s="105">
        <f>应产率辅助表!S5+应产率辅助表!T5</f>
        <v>1490</v>
      </c>
      <c r="DP8" s="105">
        <f>应产率辅助表!S34+应产率辅助表!T34</f>
        <v>127.49000000000001</v>
      </c>
      <c r="DQ8" s="7">
        <f t="shared" si="64"/>
        <v>2.0327056908743969E-3</v>
      </c>
      <c r="DR8" s="5">
        <f>+产品销售数量!Y5+产品销售数量!X5+产品销售数量!AB5*3+产品销售数量!CG5*3+产品销售数量!CJ5*2+产品销售数量!BN5*2+产品销售数量!CR5+产品销售数量!CS5+产品销售数量!CT5+产品销售数量!BM5+产品销售数量!AA5+产品销售数量!CF5</f>
        <v>723</v>
      </c>
      <c r="DS8" s="5">
        <f t="shared" si="65"/>
        <v>2.0608575380359611</v>
      </c>
      <c r="DT8" s="5">
        <f t="shared" si="66"/>
        <v>-767</v>
      </c>
      <c r="DU8" s="5">
        <f t="shared" si="67"/>
        <v>-65.627402684563762</v>
      </c>
      <c r="DV8" s="6">
        <f>应产率辅助表!U5</f>
        <v>3517</v>
      </c>
      <c r="DW8" s="6">
        <f>应产率辅助表!U34</f>
        <v>311.31</v>
      </c>
      <c r="DX8" s="7">
        <f t="shared" si="68"/>
        <v>4.9635391687670284E-3</v>
      </c>
      <c r="DY8" s="5">
        <f>+产品销售数量!E5+产品销售数量!F5*2+产品销售数量!G5+产品销售数量!CY5+产品销售数量!DE5+产品销售数量!DH5</f>
        <v>3849</v>
      </c>
      <c r="DZ8" s="5">
        <f t="shared" si="69"/>
        <v>0.9137438295661211</v>
      </c>
      <c r="EA8" s="5">
        <f t="shared" si="70"/>
        <v>332</v>
      </c>
      <c r="EB8" s="5">
        <f t="shared" si="71"/>
        <v>29.387239124253625</v>
      </c>
      <c r="EC8" s="6">
        <f>应产率辅助表!V5</f>
        <v>0</v>
      </c>
      <c r="ED8" s="6">
        <f>应产率辅助表!V34</f>
        <v>0</v>
      </c>
      <c r="EE8" s="7">
        <f t="shared" si="72"/>
        <v>0</v>
      </c>
      <c r="EF8" s="5">
        <f>+产品销售数量!AS5</f>
        <v>11</v>
      </c>
      <c r="EG8" s="5">
        <f t="shared" si="73"/>
        <v>0</v>
      </c>
      <c r="EH8" s="5">
        <f t="shared" si="74"/>
        <v>11</v>
      </c>
      <c r="EI8" s="5" t="e">
        <f t="shared" si="75"/>
        <v>#DIV/0!</v>
      </c>
      <c r="EJ8" s="6">
        <f>应产率辅助表!W5</f>
        <v>3350</v>
      </c>
      <c r="EK8" s="6">
        <f>应产率辅助表!W34</f>
        <v>93.83</v>
      </c>
      <c r="EL8" s="7">
        <f t="shared" si="76"/>
        <v>1.4960292962173083E-3</v>
      </c>
      <c r="EM8" s="5">
        <f>+产品销售数量!AD5+产品销售数量!AE5+产品销售数量!AF5+产品销售数量!AG5+产品销售数量!AH5+产品销售数量!AI5+产品销售数量!AJ5+产品销售数量!AK5+产品销售数量!AL5+产品销售数量!AM5+产品销售数量!AN5+产品销售数量!AO5+产品销售数量!AQ5+产品销售数量!AP5+产品销售数量!AR5+产品销售数量!BR5+产品销售数量!AS5+产品销售数量!CA5+产品销售数量!BE5+产品销售数量!BF5</f>
        <v>2955</v>
      </c>
      <c r="EN8" s="5">
        <f t="shared" si="77"/>
        <v>1.1336717428087986</v>
      </c>
      <c r="EO8" s="5">
        <f t="shared" si="78"/>
        <v>-395</v>
      </c>
      <c r="EP8" s="5">
        <f t="shared" si="79"/>
        <v>-11.063537313432835</v>
      </c>
      <c r="EQ8" s="6">
        <f>应产率辅助表!X5</f>
        <v>0</v>
      </c>
      <c r="ER8" s="6">
        <f>应产率辅助表!X34</f>
        <v>0</v>
      </c>
      <c r="ES8" s="7">
        <f t="shared" si="80"/>
        <v>0</v>
      </c>
      <c r="ET8" s="5">
        <f>+产品销售数量!AQ5+产品销售数量!AP5+产品销售数量!AR5+产品销售数量!BR5+产品销售数量!AS5+产品销售数量!CA5+产品销售数量!BE5+产品销售数量!BF5</f>
        <v>358</v>
      </c>
      <c r="EU8" s="5">
        <f t="shared" si="81"/>
        <v>0</v>
      </c>
      <c r="EV8" s="5">
        <f t="shared" si="82"/>
        <v>358</v>
      </c>
      <c r="EW8" s="5" t="e">
        <f t="shared" si="83"/>
        <v>#DIV/0!</v>
      </c>
      <c r="EX8" s="6">
        <f>应产率辅助表!Y5</f>
        <v>240</v>
      </c>
      <c r="EY8" s="6">
        <f>应产率辅助表!Y34</f>
        <v>13.18</v>
      </c>
      <c r="EZ8" s="7">
        <f t="shared" si="84"/>
        <v>2.1014245043316767E-4</v>
      </c>
      <c r="FA8" s="5">
        <f>产品销售数量!H5</f>
        <v>216</v>
      </c>
      <c r="FB8" s="5">
        <f t="shared" si="85"/>
        <v>1.1111111111111112</v>
      </c>
      <c r="FC8" s="5">
        <f t="shared" si="86"/>
        <v>-24</v>
      </c>
      <c r="FD8" s="5">
        <f t="shared" si="87"/>
        <v>-1.3179999999999998</v>
      </c>
      <c r="FE8" s="6">
        <f>应产率辅助表!Z5</f>
        <v>6000</v>
      </c>
      <c r="FF8" s="6">
        <f>应产率辅助表!Z34</f>
        <v>248.41</v>
      </c>
      <c r="FG8" s="7">
        <f t="shared" si="88"/>
        <v>3.9606590373371152E-3</v>
      </c>
      <c r="FH8" s="5">
        <f>+产品销售数量!J5+产品销售数量!K5+产品销售数量!L5+产品销售数量!M5+产品销售数量!O5+产品销售数量!P5+产品销售数量!S5+产品销售数量!T5+产品销售数量!BQ5+产品销售数量!BS5+产品销售数量!CC5+产品销售数量!CH5+产品销售数量!CI5+产品销售数量!CJ5+产品销售数量!CK5+产品销售数量!CL5+产品销售数量!BL5+产品销售数量!AU5++产品销售数量!AW5+产品销售数量!BQ5+产品销售数量!CN5+产品销售数量!CO5+产品销售数量!CQ5+产品销售数量!CX5+产品销售数量!CY5+产品销售数量!CM5</f>
        <v>5769</v>
      </c>
      <c r="FI8" s="5">
        <f t="shared" si="89"/>
        <v>1.0400416016640666</v>
      </c>
      <c r="FJ8" s="5">
        <f t="shared" si="90"/>
        <v>-231</v>
      </c>
      <c r="FK8" s="5">
        <f t="shared" si="91"/>
        <v>-9.5637849999999993</v>
      </c>
      <c r="FL8" s="6">
        <f>应产率辅助表!AA5</f>
        <v>0</v>
      </c>
      <c r="FM8" s="6">
        <f>应产率辅助表!AA34</f>
        <v>0</v>
      </c>
      <c r="FN8" s="7">
        <f t="shared" si="92"/>
        <v>0</v>
      </c>
      <c r="FO8" s="5">
        <f>+产品销售数量!R5+产品销售数量!CE5</f>
        <v>0</v>
      </c>
      <c r="FP8" s="5" t="e">
        <f t="shared" si="93"/>
        <v>#DIV/0!</v>
      </c>
      <c r="FQ8" s="5">
        <f t="shared" si="94"/>
        <v>0</v>
      </c>
      <c r="FR8" s="5" t="e">
        <f t="shared" si="95"/>
        <v>#DIV/0!</v>
      </c>
      <c r="FS8" s="6">
        <f>应产率辅助表!AB5</f>
        <v>198</v>
      </c>
      <c r="FT8" s="5">
        <f t="shared" si="96"/>
        <v>9900</v>
      </c>
      <c r="FU8" s="6">
        <f>应产率辅助表!AB34</f>
        <v>185.27</v>
      </c>
      <c r="FV8" s="7">
        <f t="shared" si="97"/>
        <v>2.9539523362483292E-3</v>
      </c>
      <c r="FW8" s="5">
        <f t="shared" si="98"/>
        <v>2.6004728132387709</v>
      </c>
      <c r="FX8" s="6">
        <f>应产率辅助表!AC5</f>
        <v>500</v>
      </c>
      <c r="FY8" s="6">
        <f>应产率辅助表!AC34</f>
        <v>22.68</v>
      </c>
      <c r="FZ8" s="7">
        <f t="shared" si="99"/>
        <v>3.6161083276359962E-4</v>
      </c>
      <c r="GA8" s="5">
        <f t="shared" si="100"/>
        <v>0.13133701076963489</v>
      </c>
      <c r="GB8" s="6">
        <f>应产率辅助表!AD5</f>
        <v>14.5</v>
      </c>
      <c r="GC8" s="6">
        <f>应产率辅助表!AD34</f>
        <v>2235.4499999999998</v>
      </c>
      <c r="GD8" s="7">
        <f t="shared" si="101"/>
        <v>3.5642104766375166E-2</v>
      </c>
      <c r="GE8" s="6">
        <f>应产率辅助表!AE5</f>
        <v>4000</v>
      </c>
      <c r="GF8" s="6">
        <f>应产率辅助表!AE34</f>
        <v>25.22</v>
      </c>
      <c r="GG8" s="7">
        <f t="shared" si="102"/>
        <v>4.0210869498668352E-4</v>
      </c>
      <c r="GH8" s="6">
        <f>应产率辅助表!AF5</f>
        <v>0</v>
      </c>
      <c r="GI8" s="6">
        <f>应产率辅助表!AF34</f>
        <v>0</v>
      </c>
      <c r="GJ8" s="7">
        <f t="shared" si="103"/>
        <v>0</v>
      </c>
      <c r="GK8" s="6">
        <f>应产率辅助表!AG5</f>
        <v>1400</v>
      </c>
      <c r="GL8" s="6">
        <f>应产率辅助表!AG34</f>
        <v>278.12</v>
      </c>
      <c r="GM8" s="7">
        <f t="shared" si="104"/>
        <v>4.4343564730252348E-3</v>
      </c>
      <c r="GN8" s="6"/>
      <c r="GO8" s="6">
        <f>应产率辅助表!AH5</f>
        <v>0</v>
      </c>
      <c r="GP8" s="6">
        <f>应产率辅助表!AH34</f>
        <v>0</v>
      </c>
      <c r="GQ8" s="7">
        <f t="shared" si="105"/>
        <v>0</v>
      </c>
      <c r="GR8" s="6">
        <f>应产率辅助表!AI5</f>
        <v>2030</v>
      </c>
      <c r="GS8" s="6">
        <f>应产率辅助表!AI34</f>
        <v>225.15</v>
      </c>
      <c r="GT8" s="7">
        <f t="shared" si="106"/>
        <v>3.5898006612312371E-3</v>
      </c>
      <c r="GU8" s="72">
        <f>应产率辅助表!AJ5</f>
        <v>1027</v>
      </c>
      <c r="GV8" s="72">
        <f>应产率辅助表!AJ34</f>
        <v>213.02</v>
      </c>
      <c r="GW8" s="7">
        <f t="shared" si="107"/>
        <v>3.3963994530556434E-3</v>
      </c>
      <c r="GX8" s="72">
        <f>应产率辅助表!AK5</f>
        <v>280</v>
      </c>
      <c r="GY8" s="72">
        <f>应产率辅助表!AK34</f>
        <v>38.04</v>
      </c>
      <c r="GZ8" s="7">
        <f t="shared" si="108"/>
        <v>6.0651129093154015E-4</v>
      </c>
      <c r="HA8" s="72">
        <f>应产率辅助表!AL5</f>
        <v>277</v>
      </c>
      <c r="HB8" s="72">
        <f>应产率辅助表!AL34</f>
        <v>104.58</v>
      </c>
      <c r="HC8" s="7">
        <f t="shared" si="109"/>
        <v>1.6674277288543761E-3</v>
      </c>
      <c r="HD8" s="72">
        <f>应产率辅助表!AM5</f>
        <v>250</v>
      </c>
      <c r="HE8" s="72">
        <f>应产率辅助表!AM34</f>
        <v>20.53</v>
      </c>
      <c r="HF8" s="7">
        <f t="shared" si="110"/>
        <v>3.2733114623618612E-4</v>
      </c>
      <c r="HG8" s="72">
        <f>应产率辅助表!AN5</f>
        <v>90</v>
      </c>
      <c r="HH8" s="72">
        <f>应产率辅助表!AN34</f>
        <v>27.54</v>
      </c>
      <c r="HI8" s="7">
        <f t="shared" si="111"/>
        <v>4.3909886835579955E-4</v>
      </c>
      <c r="HJ8" s="72">
        <f>应产率辅助表!AO5</f>
        <v>0</v>
      </c>
      <c r="HK8" s="72">
        <f>应产率辅助表!AO34</f>
        <v>0</v>
      </c>
      <c r="HL8" s="7">
        <f t="shared" si="112"/>
        <v>0</v>
      </c>
      <c r="HM8" s="72">
        <f>应产率辅助表!AP5</f>
        <v>920</v>
      </c>
      <c r="HN8" s="72">
        <f>应产率辅助表!AP34</f>
        <v>209.71</v>
      </c>
      <c r="HO8" s="7">
        <f t="shared" si="113"/>
        <v>3.3436246798436721E-3</v>
      </c>
      <c r="HP8" s="6">
        <f>产品销售数量!DP5</f>
        <v>21</v>
      </c>
      <c r="HQ8" s="6">
        <v>78</v>
      </c>
      <c r="HR8" s="5">
        <f t="shared" si="115"/>
        <v>1.2436351391340728E-3</v>
      </c>
      <c r="HS8" s="6">
        <v>0</v>
      </c>
      <c r="HT8" s="6">
        <v>0</v>
      </c>
      <c r="HU8" s="5">
        <f t="shared" si="116"/>
        <v>0</v>
      </c>
      <c r="HV8" s="6">
        <v>0</v>
      </c>
      <c r="HW8" s="6">
        <v>0</v>
      </c>
      <c r="HX8" s="5">
        <f t="shared" si="117"/>
        <v>0</v>
      </c>
      <c r="HY8" s="5"/>
      <c r="HZ8" s="5"/>
      <c r="IA8" s="5">
        <f t="shared" ref="IA8:IA32" si="166">+HZ8/G8</f>
        <v>0</v>
      </c>
      <c r="IB8" s="5">
        <f t="shared" si="118"/>
        <v>21</v>
      </c>
      <c r="IC8" s="5">
        <f t="shared" si="118"/>
        <v>78</v>
      </c>
      <c r="ID8" s="5">
        <f t="shared" si="119"/>
        <v>1.2436351391340728E-3</v>
      </c>
      <c r="IE8" s="7">
        <f t="shared" si="120"/>
        <v>21</v>
      </c>
      <c r="IF8" s="7">
        <f t="shared" si="120"/>
        <v>78</v>
      </c>
      <c r="IG8" s="5">
        <f t="shared" si="121"/>
        <v>1.2436351391340728E-3</v>
      </c>
      <c r="IH8" s="5">
        <f t="shared" si="122"/>
        <v>8.1940089949897446E-2</v>
      </c>
      <c r="II8" s="5">
        <f t="shared" si="123"/>
        <v>1.7006551087255992E-2</v>
      </c>
      <c r="IJ8" s="8">
        <f t="shared" si="124"/>
        <v>9.8832633578646561E-3</v>
      </c>
      <c r="IK8" s="8">
        <f t="shared" si="125"/>
        <v>1.1832453192510802E-2</v>
      </c>
      <c r="IL8" s="8">
        <f t="shared" si="126"/>
        <v>1.5202888888888889E-2</v>
      </c>
      <c r="IM8" s="8">
        <f t="shared" si="127"/>
        <v>7.2003351955307257E-3</v>
      </c>
      <c r="IN8" s="8">
        <f t="shared" si="128"/>
        <v>4.5797333333333339E-3</v>
      </c>
      <c r="IO8" s="81" t="e">
        <f t="shared" si="129"/>
        <v>#DIV/0!</v>
      </c>
      <c r="IP8" s="81">
        <f t="shared" si="130"/>
        <v>1.4240000000000001E-2</v>
      </c>
      <c r="IQ8" s="8">
        <f t="shared" si="131"/>
        <v>1.8350999999999999E-2</v>
      </c>
      <c r="IR8" s="8">
        <f t="shared" si="132"/>
        <v>1.5925000000000002E-2</v>
      </c>
      <c r="IS8" s="8" t="e">
        <f t="shared" si="133"/>
        <v>#DIV/0!</v>
      </c>
      <c r="IT8" s="8">
        <f t="shared" si="134"/>
        <v>9.6544376505465993E-3</v>
      </c>
      <c r="IU8" s="8" t="e">
        <f t="shared" si="135"/>
        <v>#DIV/0!</v>
      </c>
      <c r="IV8" s="8">
        <f t="shared" si="136"/>
        <v>1.0004174653887114E-2</v>
      </c>
      <c r="IW8" s="8">
        <f t="shared" si="137"/>
        <v>1.0803983943043249E-2</v>
      </c>
      <c r="IX8" s="8" t="e">
        <f t="shared" si="138"/>
        <v>#DIV/0!</v>
      </c>
      <c r="IY8" s="8">
        <f t="shared" si="139"/>
        <v>1.9647727272727272E-2</v>
      </c>
      <c r="IZ8" s="81">
        <f>DP8/DO8</f>
        <v>8.5563758389261751E-2</v>
      </c>
      <c r="JA8" s="8">
        <f t="shared" si="141"/>
        <v>8.8515780494739835E-2</v>
      </c>
      <c r="JB8" s="8" t="e">
        <f t="shared" si="142"/>
        <v>#DIV/0!</v>
      </c>
      <c r="JC8" s="8">
        <f t="shared" si="143"/>
        <v>2.8008955223880597E-2</v>
      </c>
      <c r="JD8" s="8" t="e">
        <f t="shared" si="144"/>
        <v>#DIV/0!</v>
      </c>
      <c r="JE8" s="8">
        <f t="shared" si="145"/>
        <v>5.4916666666666662E-2</v>
      </c>
      <c r="JF8" s="8">
        <f t="shared" si="146"/>
        <v>4.1401666666666663E-2</v>
      </c>
      <c r="JG8" s="8" t="e">
        <f t="shared" si="147"/>
        <v>#DIV/0!</v>
      </c>
      <c r="JH8" s="8">
        <f t="shared" si="148"/>
        <v>0.93570707070707071</v>
      </c>
      <c r="JI8" s="8">
        <f t="shared" si="149"/>
        <v>4.5359999999999998E-2</v>
      </c>
      <c r="JJ8" s="8">
        <f t="shared" si="150"/>
        <v>154.16896551724136</v>
      </c>
      <c r="JK8" s="8">
        <f t="shared" si="151"/>
        <v>6.3049999999999998E-3</v>
      </c>
      <c r="JL8" s="8" t="e">
        <f t="shared" si="152"/>
        <v>#DIV/0!</v>
      </c>
      <c r="JM8" s="81">
        <f t="shared" si="153"/>
        <v>0.19865714285714287</v>
      </c>
      <c r="JN8" s="8" t="e">
        <f t="shared" si="154"/>
        <v>#DIV/0!</v>
      </c>
      <c r="JO8" s="8">
        <f t="shared" si="155"/>
        <v>0.11091133004926108</v>
      </c>
      <c r="JP8" s="9">
        <f t="shared" si="156"/>
        <v>0.20741966893865629</v>
      </c>
      <c r="JQ8" s="9">
        <f t="shared" si="157"/>
        <v>0.13585714285714284</v>
      </c>
      <c r="JR8" s="9">
        <f t="shared" si="158"/>
        <v>0.37754512635379062</v>
      </c>
      <c r="JS8" s="9">
        <f t="shared" si="159"/>
        <v>8.2119999999999999E-2</v>
      </c>
      <c r="JT8" s="9">
        <f t="shared" si="160"/>
        <v>0.30599999999999999</v>
      </c>
      <c r="JU8" s="9" t="e">
        <f t="shared" si="161"/>
        <v>#DIV/0!</v>
      </c>
      <c r="JV8" s="9">
        <f t="shared" si="162"/>
        <v>0.22794565217391305</v>
      </c>
      <c r="JW8" s="9">
        <f t="shared" si="163"/>
        <v>3.7142857142857144</v>
      </c>
    </row>
    <row r="9" spans="1:283" s="11" customFormat="1" ht="18" customHeight="1" x14ac:dyDescent="0.15">
      <c r="A9" s="10">
        <v>846</v>
      </c>
      <c r="B9" s="5" t="s">
        <v>588</v>
      </c>
      <c r="C9" s="5" t="s">
        <v>334</v>
      </c>
      <c r="D9" s="55">
        <v>34448.160000000003</v>
      </c>
      <c r="E9" s="56">
        <f>产品销售数量!D6</f>
        <v>2111</v>
      </c>
      <c r="F9" s="6">
        <f>应产率辅助表!C6</f>
        <v>142200</v>
      </c>
      <c r="G9" s="6">
        <f>应产率辅助表!C35</f>
        <v>1405.41</v>
      </c>
      <c r="H9" s="7">
        <f t="shared" si="1"/>
        <v>4.0797824905597281E-2</v>
      </c>
      <c r="I9" s="5">
        <f>产品销售数量!E6+产品销售数量!F6*1.36</f>
        <v>1228.6400000000001</v>
      </c>
      <c r="J9" s="5">
        <f t="shared" si="164"/>
        <v>8.6402250351617447</v>
      </c>
      <c r="K9" s="5">
        <f t="shared" si="2"/>
        <v>-6803.8719999999739</v>
      </c>
      <c r="L9" s="5">
        <f t="shared" si="3"/>
        <v>-67.244934933333084</v>
      </c>
      <c r="M9" s="6">
        <f>应产率辅助表!D6</f>
        <v>18100</v>
      </c>
      <c r="N9" s="6">
        <f>应产率辅助表!D35</f>
        <v>214.17</v>
      </c>
      <c r="O9" s="7">
        <f t="shared" si="4"/>
        <v>6.2171680577424154E-3</v>
      </c>
      <c r="P9" s="5">
        <f>+产品销售数量!H6</f>
        <v>195</v>
      </c>
      <c r="Q9" s="5">
        <f t="shared" si="5"/>
        <v>10.773480662983424</v>
      </c>
      <c r="R9" s="5">
        <f t="shared" si="6"/>
        <v>-481.75</v>
      </c>
      <c r="S9" s="5">
        <f t="shared" si="7"/>
        <v>-5.700353453038673</v>
      </c>
      <c r="T9" s="6">
        <f>应产率辅助表!E6</f>
        <v>39800</v>
      </c>
      <c r="U9" s="6">
        <f>应产率辅助表!E35</f>
        <v>604.92999999999995</v>
      </c>
      <c r="V9" s="7">
        <f t="shared" si="8"/>
        <v>1.7560589593174206E-2</v>
      </c>
      <c r="W9" s="5">
        <f>+产品销售数量!V6+产品销售数量!CP6</f>
        <v>385</v>
      </c>
      <c r="X9" s="5">
        <f t="shared" si="9"/>
        <v>9.6733668341708547</v>
      </c>
      <c r="Y9" s="5">
        <f t="shared" si="10"/>
        <v>-1377</v>
      </c>
      <c r="Z9" s="5">
        <f t="shared" si="11"/>
        <v>-20.929362060301507</v>
      </c>
      <c r="AA9" s="6">
        <f>应产率辅助表!F6</f>
        <v>46300</v>
      </c>
      <c r="AB9" s="6">
        <f>应产率辅助表!F35</f>
        <v>333.38</v>
      </c>
      <c r="AC9" s="7">
        <f t="shared" si="12"/>
        <v>9.6777302474210514E-3</v>
      </c>
      <c r="AD9" s="5">
        <f>产品销售数量!J6*1.5+产品销售数量!K6*1.5+产品销售数量!L6*1.5+产品销售数量!O6*1.5+产品销售数量!P6*1.5+产品销售数量!S6*1.5+产品销售数量!T6*1.5+产品销售数量!CH6*1.35+产品销售数量!M6*1.5+产品销售数量!CK6*0.89*1.5+产品销售数量!BL6*1.35+产品销售数量!AU6*0.9+产品销售数量!AW6*0.9+产品销售数量!BB6*1.5+产品销售数量!CN6*1.35+产品销售数量!CO6*1.35+产品销售数量!CQ6*1.5+产品销售数量!CX6*1.5+产品销售数量!CY6*1.35+产品销售数量!CZ6*1.35</f>
        <v>4033.2</v>
      </c>
      <c r="AE9" s="5">
        <f t="shared" si="13"/>
        <v>87.110151187904975</v>
      </c>
      <c r="AF9" s="5">
        <f t="shared" si="14"/>
        <v>-5564.68</v>
      </c>
      <c r="AG9" s="5">
        <f t="shared" si="15"/>
        <v>-40.068099749460046</v>
      </c>
      <c r="AH9" s="6">
        <f t="shared" si="165"/>
        <v>5.5279999999999996</v>
      </c>
      <c r="AI9" s="6">
        <f>应产率辅助表!G6</f>
        <v>138200</v>
      </c>
      <c r="AJ9" s="6">
        <f>应产率辅助表!G35</f>
        <v>633.07000000000005</v>
      </c>
      <c r="AK9" s="7">
        <f t="shared" si="17"/>
        <v>1.8377469217514084E-2</v>
      </c>
      <c r="AL9" s="5">
        <f>+产品销售数量!J6*1.13+产品销售数量!K6*1.13+产品销售数量!O6*1.13+产品销售数量!U6+产品销售数量!V6*2.6+产品销售数量!W6*2.6+产品销售数量!X6*1.6+产品销售数量!Y6+产品销售数量!AB6*1.74+产品销售数量!BC6*1.19+产品销售数量!BL6*0.98+产品销售数量!BM6*0.74+产品销售数量!BN6*4.495+产品销售数量!BQ6*2.29+产品销售数量!BV6*2.56+产品销售数量!CG6*1.74+产品销售数量!CJ6*0.8+产品销售数量!CK6*1.13+产品销售数量!CM6*1.19+产品销售数量!CO6*0.98+产品销售数量!CP6*2.6+产品销售数量!CQ6*1.13+产品销售数量!CR6*1.4+产品销售数量!CS6*1.4+产品销售数量!CT6*1.4+产品销售数量!CV6*1.13+产品销售数量!CW6*0.98+产品销售数量!CX6*0.378+产品销售数量!CY6*1.19+产品销售数量!DA6*0.87+产品销售数量!DB6*1.5+产品销售数量!DI6*0.595+产品销售数量!DK6*1.74+产品销售数量!DO6*1.11</f>
        <v>4240.7650000000003</v>
      </c>
      <c r="AM9" s="5">
        <f t="shared" si="18"/>
        <v>30.685709117221425</v>
      </c>
      <c r="AN9" s="5">
        <f t="shared" si="19"/>
        <v>-10765.011749999991</v>
      </c>
      <c r="AO9" s="5">
        <f t="shared" si="20"/>
        <v>-49.312633781277093</v>
      </c>
      <c r="AP9" s="6">
        <f>应产率辅助表!H6</f>
        <v>820</v>
      </c>
      <c r="AQ9" s="6">
        <f>应产率辅助表!H35</f>
        <v>11.63</v>
      </c>
      <c r="AR9" s="7">
        <f t="shared" si="21"/>
        <v>3.3760874310848532E-4</v>
      </c>
      <c r="AS9" s="5">
        <f>产品销售数量!I6*0.858+产品销售数量!Z6*0.686+产品销售数量!AA6*1.79+产品销售数量!CF6*1.79+产品销售数量!CL6*0.89</f>
        <v>156.352</v>
      </c>
      <c r="AT9" s="5">
        <f t="shared" si="22"/>
        <v>190.67317073170733</v>
      </c>
      <c r="AU9" s="5">
        <f t="shared" si="23"/>
        <v>-139.86880000000008</v>
      </c>
      <c r="AV9" s="5">
        <f t="shared" si="24"/>
        <v>-1.9837489560975621</v>
      </c>
      <c r="AW9" s="6">
        <f>应产率辅助表!I6</f>
        <v>1100</v>
      </c>
      <c r="AX9" s="6">
        <f>应产率辅助表!I35</f>
        <v>15.59</v>
      </c>
      <c r="AY9" s="7">
        <f t="shared" si="25"/>
        <v>4.5256408470002458E-4</v>
      </c>
      <c r="AZ9" s="5">
        <f>+产品销售数量!I6*0.857+产品销售数量!Z6*0.485+产品销售数量!AA6*1.88+产品销售数量!CF6*1.88+产品销售数量!CL6*0.89</f>
        <v>157.85499999999999</v>
      </c>
      <c r="BA9" s="5">
        <f t="shared" si="26"/>
        <v>143.50454545454542</v>
      </c>
      <c r="BB9" s="5">
        <f t="shared" si="27"/>
        <v>-58.157000000000153</v>
      </c>
      <c r="BC9" s="5">
        <f t="shared" si="28"/>
        <v>-0.82424330000000212</v>
      </c>
      <c r="BD9" s="6">
        <f>应产率辅助表!J6</f>
        <v>4500</v>
      </c>
      <c r="BE9" s="6">
        <f>应产率辅助表!J35</f>
        <v>82.57</v>
      </c>
      <c r="BF9" s="7">
        <f t="shared" si="29"/>
        <v>2.3969349886902519E-3</v>
      </c>
      <c r="BG9" s="5">
        <f>+产品销售数量!J6*2+产品销售数量!L6*0.93+产品销售数量!O6*2+产品销售数量!P6*0.93+产品销售数量!U6*1.93+产品销售数量!W6*2+产品销售数量!V6*3.79+产品销售数量!I6*2.678+产品销售数量!CK6*1.32+产品销售数量!CQ6*2</f>
        <v>3041.3199999999997</v>
      </c>
      <c r="BH9" s="5">
        <f t="shared" si="30"/>
        <v>675.84888888888884</v>
      </c>
      <c r="BI9" s="5">
        <f t="shared" si="31"/>
        <v>-242.15200000000095</v>
      </c>
      <c r="BJ9" s="5">
        <f t="shared" si="32"/>
        <v>-4.4432201422222395</v>
      </c>
      <c r="BK9" s="6">
        <f>应产率辅助表!K6</f>
        <v>2100</v>
      </c>
      <c r="BL9" s="6">
        <f>应产率辅助表!K35</f>
        <v>33.92</v>
      </c>
      <c r="BM9" s="7">
        <f t="shared" si="33"/>
        <v>9.8466797646086165E-4</v>
      </c>
      <c r="BN9" s="5">
        <f>产品销售数量!K6*1.125+产品销售数量!Y6*4.12+产品销售数量!X6*5.5+产品销售数量!AA6*13.25+产品销售数量!AB6*13.25+产品销售数量!BN6*6.87+产品销售数量!BV6+产品销售数量!CF6*13.25+产品销售数量!CG6*13.25+产品销售数量!CJ6*6.63+产品销售数量!CL6*6.63+产品销售数量!CR6*2.25+产品销售数量!CS6*2.25+产品销售数量!CT6*2.25+产品销售数量!CV6*0.75+产品销售数量!DA6*6.63+产品销售数量!DJ6*13.25+产品销售数量!DK6*13.25</f>
        <v>3026.4549999999999</v>
      </c>
      <c r="BO9" s="5">
        <f t="shared" si="0"/>
        <v>1441.1690476190474</v>
      </c>
      <c r="BP9" s="5">
        <f t="shared" si="34"/>
        <v>321.16400000000021</v>
      </c>
      <c r="BQ9" s="5">
        <f t="shared" si="35"/>
        <v>5.1875632761904802</v>
      </c>
      <c r="BR9" s="6">
        <f>应产率辅助表!L6</f>
        <v>4400</v>
      </c>
      <c r="BS9" s="6">
        <f>应产率辅助表!L35</f>
        <v>27.29</v>
      </c>
      <c r="BT9" s="7">
        <f t="shared" si="36"/>
        <v>7.922048666750269E-4</v>
      </c>
      <c r="BU9" s="5">
        <f>产品销售数量!O6+产品销售数量!P6+产品销售数量!CI6*1.5+产品销售数量!CK6*0.89+产品销售数量!M6*1.34</f>
        <v>521.6400000000001</v>
      </c>
      <c r="BV9" s="5">
        <f t="shared" si="37"/>
        <v>118.55454545454546</v>
      </c>
      <c r="BW9" s="5">
        <f t="shared" si="38"/>
        <v>868.56400000000122</v>
      </c>
      <c r="BX9" s="5">
        <f t="shared" si="39"/>
        <v>5.3870708090909165</v>
      </c>
      <c r="BY9" s="6">
        <f>应产率辅助表!M6</f>
        <v>33450</v>
      </c>
      <c r="BZ9" s="6">
        <f>应产率辅助表!M35</f>
        <v>322.79000000000002</v>
      </c>
      <c r="CA9" s="7">
        <f t="shared" si="40"/>
        <v>9.3703117960436781E-3</v>
      </c>
      <c r="CB9" s="5">
        <f>+产品销售数量!J6+产品销售数量!K6+产品销售数量!L6+产品销售数量!O6+产品销售数量!P6+产品销售数量!S6+产品销售数量!T6+产品销售数量!AU6*0.9+产品销售数量!AW6*0.9+产品销售数量!BL6*0.9+产品销售数量!CH6*0.9+产品销售数量!CK6*0.9+产品销售数量!CN6*0.9+产品销售数量!CO6*0.9+产品销售数量!CQ6+产品销售数量!CV6+产品销售数量!CW6*0.9+产品销售数量!DB6</f>
        <v>2497.1000000000004</v>
      </c>
      <c r="CC9" s="5">
        <f t="shared" si="41"/>
        <v>74.651718983557558</v>
      </c>
      <c r="CD9" s="5">
        <f t="shared" si="42"/>
        <v>4381.0650000000096</v>
      </c>
      <c r="CE9" s="5">
        <f t="shared" si="43"/>
        <v>42.276949816143599</v>
      </c>
      <c r="CF9" s="6">
        <f>应产率辅助表!N6</f>
        <v>0</v>
      </c>
      <c r="CG9" s="6">
        <f>应产率辅助表!N35</f>
        <v>0</v>
      </c>
      <c r="CH9" s="7">
        <f t="shared" si="44"/>
        <v>0</v>
      </c>
      <c r="CI9" s="5">
        <f>产品销售数量!P6+产品销售数量!Z6*1.4+产品销售数量!L6</f>
        <v>49.8</v>
      </c>
      <c r="CJ9" s="5" t="e">
        <f t="shared" si="45"/>
        <v>#DIV/0!</v>
      </c>
      <c r="CK9" s="5">
        <f t="shared" si="46"/>
        <v>37831.06500000001</v>
      </c>
      <c r="CL9" s="5" t="e">
        <f t="shared" si="47"/>
        <v>#DIV/0!</v>
      </c>
      <c r="CM9" s="6">
        <f>应产率辅助表!O6</f>
        <v>120000</v>
      </c>
      <c r="CN9" s="6">
        <f>应产率辅助表!O35</f>
        <v>1200.47</v>
      </c>
      <c r="CO9" s="7">
        <f t="shared" si="48"/>
        <v>3.4848595686968471E-2</v>
      </c>
      <c r="CP9" s="5">
        <f>+产品销售数量!AE6*1.04+产品销售数量!AD6*1.279+产品销售数量!BW6*1.04+产品销售数量!BX6*1.279</f>
        <v>1558.0420000000001</v>
      </c>
      <c r="CQ9" s="5">
        <f t="shared" si="49"/>
        <v>12.983683333333335</v>
      </c>
      <c r="CR9" s="5">
        <f t="shared" si="50"/>
        <v>-51134.54359999999</v>
      </c>
      <c r="CS9" s="5">
        <f t="shared" si="51"/>
        <v>-511.54571296243319</v>
      </c>
      <c r="CT9" s="6">
        <f>应产率辅助表!P6</f>
        <v>8617</v>
      </c>
      <c r="CU9" s="6">
        <f>应产率辅助表!P35</f>
        <v>93.72</v>
      </c>
      <c r="CV9" s="7">
        <f t="shared" si="52"/>
        <v>-1.3774509573372392E-2</v>
      </c>
      <c r="CW9" s="5">
        <f>+产品销售数量!AC6*1.08+产品销售数量!AH6*1+产品销售数量!AG6*1.45+产品销售数量!BG6*0.834+产品销售数量!CU6*0.834+产品销售数量!DM6*1.19</f>
        <v>119.12</v>
      </c>
      <c r="CX9" s="95">
        <f t="shared" si="53"/>
        <v>13.823836602065683</v>
      </c>
      <c r="CY9" s="5">
        <f t="shared" si="54"/>
        <v>-3351.8959999999997</v>
      </c>
      <c r="CZ9" s="5">
        <f t="shared" si="55"/>
        <v>-36.455807487524659</v>
      </c>
      <c r="DA9" s="6">
        <f>应产率辅助表!Q6</f>
        <v>0</v>
      </c>
      <c r="DB9" s="6">
        <f>应产率辅助表!Q35</f>
        <v>0</v>
      </c>
      <c r="DC9" s="7">
        <f t="shared" si="56"/>
        <v>0</v>
      </c>
      <c r="DD9" s="5">
        <f>产品销售数量!AJ6*2+产品销售数量!AK6*1.38+产品销售数量!AL6+产品销售数量!BT6*1.38+产品销售数量!BU6*2</f>
        <v>0</v>
      </c>
      <c r="DE9" s="5" t="e">
        <f t="shared" si="57"/>
        <v>#DIV/0!</v>
      </c>
      <c r="DF9" s="5">
        <f t="shared" si="58"/>
        <v>0</v>
      </c>
      <c r="DG9" s="5" t="e">
        <f t="shared" si="59"/>
        <v>#DIV/0!</v>
      </c>
      <c r="DH9" s="6">
        <f>应产率辅助表!R6</f>
        <v>15060</v>
      </c>
      <c r="DI9" s="6">
        <f>应产率辅助表!R35</f>
        <v>290.75</v>
      </c>
      <c r="DJ9" s="7">
        <f t="shared" si="60"/>
        <v>8.4402185777121327E-3</v>
      </c>
      <c r="DK9" s="5">
        <f>+产品销售数量!AM6*1.375+产品销售数量!AN6+产品销售数量!AO6*0.75+产品销售数量!BR6*0.57</f>
        <v>332.39</v>
      </c>
      <c r="DL9" s="5">
        <f t="shared" si="61"/>
        <v>22.071049136786186</v>
      </c>
      <c r="DM9" s="5">
        <f t="shared" si="62"/>
        <v>-368.36199999999917</v>
      </c>
      <c r="DN9" s="5">
        <f t="shared" si="63"/>
        <v>-7.1116368857901575</v>
      </c>
      <c r="DO9" s="105">
        <f>应产率辅助表!S6+应产率辅助表!T6</f>
        <v>33</v>
      </c>
      <c r="DP9" s="105">
        <f>应产率辅助表!S35+应产率辅助表!T35</f>
        <v>3.3200000000000003</v>
      </c>
      <c r="DQ9" s="7">
        <f t="shared" si="64"/>
        <v>9.6376700526240003E-5</v>
      </c>
      <c r="DR9" s="5">
        <f>+产品销售数量!Y6+产品销售数量!X6+产品销售数量!AB6*3+产品销售数量!CG6*3+产品销售数量!CJ6*2+产品销售数量!BN6*2+产品销售数量!CR6+产品销售数量!CS6+产品销售数量!CT6+产品销售数量!BM6+产品销售数量!AA6+产品销售数量!CF6</f>
        <v>395</v>
      </c>
      <c r="DS9" s="5">
        <f t="shared" si="65"/>
        <v>8.3544303797468356E-2</v>
      </c>
      <c r="DT9" s="5">
        <f t="shared" si="66"/>
        <v>362</v>
      </c>
      <c r="DU9" s="5">
        <f t="shared" si="67"/>
        <v>36.419393939393942</v>
      </c>
      <c r="DV9" s="6">
        <f>应产率辅助表!U6</f>
        <v>1790</v>
      </c>
      <c r="DW9" s="6">
        <f>应产率辅助表!U35</f>
        <v>158.37</v>
      </c>
      <c r="DX9" s="7">
        <f t="shared" si="68"/>
        <v>4.5973427898616352E-3</v>
      </c>
      <c r="DY9" s="5">
        <f>+产品销售数量!E6+产品销售数量!F6*2+产品销售数量!G6+产品销售数量!CY6+产品销售数量!DE6+产品销售数量!DH6</f>
        <v>2079</v>
      </c>
      <c r="DZ9" s="5">
        <f t="shared" si="69"/>
        <v>0.86099086099086097</v>
      </c>
      <c r="EA9" s="5">
        <f t="shared" si="70"/>
        <v>289</v>
      </c>
      <c r="EB9" s="5">
        <f t="shared" si="71"/>
        <v>25.569234636871506</v>
      </c>
      <c r="EC9" s="6">
        <f>应产率辅助表!V6</f>
        <v>10</v>
      </c>
      <c r="ED9" s="6">
        <f>应产率辅助表!V35</f>
        <v>0.56000000000000005</v>
      </c>
      <c r="EE9" s="7">
        <f t="shared" si="72"/>
        <v>1.6256310932136868E-5</v>
      </c>
      <c r="EF9" s="5">
        <f>+产品销售数量!AS6</f>
        <v>5</v>
      </c>
      <c r="EG9" s="5">
        <f t="shared" si="73"/>
        <v>2</v>
      </c>
      <c r="EH9" s="5">
        <f t="shared" si="74"/>
        <v>-5</v>
      </c>
      <c r="EI9" s="5">
        <f t="shared" si="75"/>
        <v>-0.28000000000000003</v>
      </c>
      <c r="EJ9" s="6">
        <f>应产率辅助表!W6</f>
        <v>1800</v>
      </c>
      <c r="EK9" s="6">
        <f>应产率辅助表!W35</f>
        <v>54</v>
      </c>
      <c r="EL9" s="7">
        <f t="shared" si="76"/>
        <v>1.5675728398846264E-3</v>
      </c>
      <c r="EM9" s="5">
        <f>+产品销售数量!AD6+产品销售数量!AE6+产品销售数量!AF6+产品销售数量!AG6+产品销售数量!AH6+产品销售数量!AI6+产品销售数量!AJ6+产品销售数量!AK6+产品销售数量!AL6+产品销售数量!AM6+产品销售数量!AN6+产品销售数量!AO6+产品销售数量!AQ6+产品销售数量!AP6+产品销售数量!AR6+产品销售数量!BR6+产品销售数量!AS6+产品销售数量!CA6+产品销售数量!BE6+产品销售数量!BF6</f>
        <v>1469</v>
      </c>
      <c r="EN9" s="5">
        <f t="shared" si="77"/>
        <v>1.2253233492171545</v>
      </c>
      <c r="EO9" s="5">
        <f t="shared" si="78"/>
        <v>-331</v>
      </c>
      <c r="EP9" s="5">
        <f t="shared" si="79"/>
        <v>-9.93</v>
      </c>
      <c r="EQ9" s="6">
        <f>应产率辅助表!X6</f>
        <v>0</v>
      </c>
      <c r="ER9" s="6">
        <f>应产率辅助表!X35</f>
        <v>0</v>
      </c>
      <c r="ES9" s="7">
        <f t="shared" si="80"/>
        <v>0</v>
      </c>
      <c r="ET9" s="5">
        <f>+产品销售数量!AQ6+产品销售数量!AP6+产品销售数量!AR6+产品销售数量!BR6+产品销售数量!AS6+产品销售数量!CA6+产品销售数量!BE6+产品销售数量!BF6</f>
        <v>113</v>
      </c>
      <c r="EU9" s="5">
        <f t="shared" si="81"/>
        <v>0</v>
      </c>
      <c r="EV9" s="5">
        <f t="shared" si="82"/>
        <v>113</v>
      </c>
      <c r="EW9" s="5" t="e">
        <f t="shared" si="83"/>
        <v>#DIV/0!</v>
      </c>
      <c r="EX9" s="6">
        <f>应产率辅助表!Y6</f>
        <v>200</v>
      </c>
      <c r="EY9" s="6">
        <f>应产率辅助表!Y35</f>
        <v>11.03</v>
      </c>
      <c r="EZ9" s="7">
        <f t="shared" si="84"/>
        <v>3.2019126710976719E-4</v>
      </c>
      <c r="FA9" s="5">
        <f>产品销售数量!H6</f>
        <v>195</v>
      </c>
      <c r="FB9" s="5">
        <f t="shared" si="85"/>
        <v>1.0256410256410255</v>
      </c>
      <c r="FC9" s="5">
        <f t="shared" si="86"/>
        <v>-5</v>
      </c>
      <c r="FD9" s="5">
        <f t="shared" si="87"/>
        <v>-0.27575</v>
      </c>
      <c r="FE9" s="6">
        <f>应产率辅助表!Z6</f>
        <v>3080</v>
      </c>
      <c r="FF9" s="6">
        <f>应产率辅助表!Z35</f>
        <v>127.52</v>
      </c>
      <c r="FG9" s="7">
        <f t="shared" si="88"/>
        <v>3.7017942322608807E-3</v>
      </c>
      <c r="FH9" s="5">
        <f>+产品销售数量!J6+产品销售数量!K6+产品销售数量!L6+产品销售数量!M6+产品销售数量!O6+产品销售数量!P6+产品销售数量!S6+产品销售数量!T6+产品销售数量!BQ6+产品销售数量!BS6+产品销售数量!CC6+产品销售数量!CH6+产品销售数量!CI6+产品销售数量!CJ6+产品销售数量!CK6+产品销售数量!CL6+产品销售数量!BL6+产品销售数量!AU6++产品销售数量!AW6+产品销售数量!BQ6+产品销售数量!CN6+产品销售数量!CO6+产品销售数量!CQ6+产品销售数量!CX6+产品销售数量!CY6+产品销售数量!CM6</f>
        <v>3083</v>
      </c>
      <c r="FI9" s="5">
        <f t="shared" si="89"/>
        <v>0.99902692182938702</v>
      </c>
      <c r="FJ9" s="5">
        <f t="shared" si="90"/>
        <v>3</v>
      </c>
      <c r="FK9" s="5">
        <f t="shared" si="91"/>
        <v>0.1242077922077922</v>
      </c>
      <c r="FL9" s="6">
        <f>应产率辅助表!AA6</f>
        <v>0</v>
      </c>
      <c r="FM9" s="6">
        <f>应产率辅助表!AA35</f>
        <v>0</v>
      </c>
      <c r="FN9" s="7">
        <f t="shared" si="92"/>
        <v>0</v>
      </c>
      <c r="FO9" s="5">
        <f>+产品销售数量!R6+产品销售数量!CE6</f>
        <v>0</v>
      </c>
      <c r="FP9" s="5" t="e">
        <f t="shared" si="93"/>
        <v>#DIV/0!</v>
      </c>
      <c r="FQ9" s="5">
        <f t="shared" si="94"/>
        <v>0</v>
      </c>
      <c r="FR9" s="5" t="e">
        <f t="shared" si="95"/>
        <v>#DIV/0!</v>
      </c>
      <c r="FS9" s="6">
        <f>应产率辅助表!AB6</f>
        <v>139</v>
      </c>
      <c r="FT9" s="5">
        <f t="shared" si="96"/>
        <v>6950</v>
      </c>
      <c r="FU9" s="6">
        <f>应产率辅助表!AB35</f>
        <v>126.2</v>
      </c>
      <c r="FV9" s="7">
        <f t="shared" si="97"/>
        <v>3.6634757850637014E-3</v>
      </c>
      <c r="FW9" s="5">
        <f t="shared" si="98"/>
        <v>3.2922785409758411</v>
      </c>
      <c r="FX9" s="6">
        <f>应产率辅助表!AC6</f>
        <v>100</v>
      </c>
      <c r="FY9" s="6">
        <f>应产率辅助表!AC35</f>
        <v>4.54</v>
      </c>
      <c r="FZ9" s="7">
        <f t="shared" si="99"/>
        <v>1.3179223505696674E-4</v>
      </c>
      <c r="GA9" s="5">
        <f t="shared" si="100"/>
        <v>4.7370914258645189E-2</v>
      </c>
      <c r="GB9" s="6">
        <f>应产率辅助表!AD6</f>
        <v>12</v>
      </c>
      <c r="GC9" s="6">
        <f>应产率辅助表!AD35</f>
        <v>1867.01</v>
      </c>
      <c r="GD9" s="7">
        <f t="shared" si="101"/>
        <v>5.4197669773944378E-2</v>
      </c>
      <c r="GE9" s="6">
        <f>应产率辅助表!AE6</f>
        <v>8000</v>
      </c>
      <c r="GF9" s="6">
        <f>应产率辅助表!AE35</f>
        <v>50.4</v>
      </c>
      <c r="GG9" s="7">
        <f t="shared" si="102"/>
        <v>1.4630679838923181E-3</v>
      </c>
      <c r="GH9" s="6">
        <f>应产率辅助表!AF6</f>
        <v>41</v>
      </c>
      <c r="GI9" s="6">
        <f>应产率辅助表!AF35</f>
        <v>63.55</v>
      </c>
      <c r="GJ9" s="7">
        <f t="shared" si="103"/>
        <v>1.844800999530889E-3</v>
      </c>
      <c r="GK9" s="6">
        <f>应产率辅助表!AG6</f>
        <v>1637</v>
      </c>
      <c r="GL9" s="6">
        <f>应产率辅助表!AG35</f>
        <v>103.82000000000001</v>
      </c>
      <c r="GM9" s="7">
        <f t="shared" si="104"/>
        <v>3.0138039303115173E-3</v>
      </c>
      <c r="GN9" s="6"/>
      <c r="GO9" s="6">
        <f>应产率辅助表!AH6</f>
        <v>230</v>
      </c>
      <c r="GP9" s="6">
        <f>应产率辅助表!AH35</f>
        <v>13.14</v>
      </c>
      <c r="GQ9" s="7">
        <f t="shared" si="105"/>
        <v>3.8144272437192579E-4</v>
      </c>
      <c r="GR9" s="6">
        <f>应产率辅助表!AI6</f>
        <v>600</v>
      </c>
      <c r="GS9" s="6">
        <f>应产率辅助表!AI35</f>
        <v>22.86</v>
      </c>
      <c r="GT9" s="7">
        <f t="shared" si="106"/>
        <v>6.6360583555115848E-4</v>
      </c>
      <c r="GU9" s="72">
        <f>应产率辅助表!AJ6</f>
        <v>125</v>
      </c>
      <c r="GV9" s="72">
        <f>应产率辅助表!AJ35</f>
        <v>25.59</v>
      </c>
      <c r="GW9" s="7">
        <f t="shared" si="107"/>
        <v>7.4285535134532572E-4</v>
      </c>
      <c r="GX9" s="72">
        <f>应产率辅助表!AK6</f>
        <v>110</v>
      </c>
      <c r="GY9" s="72">
        <f>应产率辅助表!AK35</f>
        <v>14.88</v>
      </c>
      <c r="GZ9" s="7">
        <f t="shared" si="108"/>
        <v>4.3195340476820821E-4</v>
      </c>
      <c r="HA9" s="72">
        <f>应产率辅助表!AL6</f>
        <v>185</v>
      </c>
      <c r="HB9" s="72">
        <f>应产率辅助表!AL35</f>
        <v>69.849999999999994</v>
      </c>
      <c r="HC9" s="7">
        <f t="shared" si="109"/>
        <v>2.0276844975174288E-3</v>
      </c>
      <c r="HD9" s="72">
        <f>应产率辅助表!AM6</f>
        <v>60</v>
      </c>
      <c r="HE9" s="72">
        <f>应产率辅助表!AM35</f>
        <v>4.91</v>
      </c>
      <c r="HF9" s="7">
        <f t="shared" si="110"/>
        <v>1.4253301192284289E-4</v>
      </c>
      <c r="HG9" s="72">
        <f>应产率辅助表!AN6</f>
        <v>100</v>
      </c>
      <c r="HH9" s="72">
        <f>应产率辅助表!AN35</f>
        <v>29.94</v>
      </c>
      <c r="HI9" s="7">
        <f t="shared" si="111"/>
        <v>8.6913205233603188E-4</v>
      </c>
      <c r="HJ9" s="72">
        <f>应产率辅助表!AO6</f>
        <v>65</v>
      </c>
      <c r="HK9" s="72">
        <f>应产率辅助表!AO35</f>
        <v>23.43</v>
      </c>
      <c r="HL9" s="7">
        <f t="shared" si="112"/>
        <v>6.8015243774994074E-4</v>
      </c>
      <c r="HM9" s="72">
        <f>应产率辅助表!AP6</f>
        <v>150</v>
      </c>
      <c r="HN9" s="72">
        <f>应产率辅助表!AP35</f>
        <v>34.19</v>
      </c>
      <c r="HO9" s="7">
        <f t="shared" si="113"/>
        <v>9.9250584066028474E-4</v>
      </c>
      <c r="HP9" s="6">
        <f>产品销售数量!DP6</f>
        <v>10</v>
      </c>
      <c r="HQ9" s="6">
        <v>130</v>
      </c>
      <c r="HR9" s="5">
        <f t="shared" si="115"/>
        <v>3.7737864663889157E-3</v>
      </c>
      <c r="HS9" s="6">
        <v>0</v>
      </c>
      <c r="HT9" s="6">
        <v>0</v>
      </c>
      <c r="HU9" s="5">
        <f t="shared" si="116"/>
        <v>0</v>
      </c>
      <c r="HV9" s="6">
        <v>0</v>
      </c>
      <c r="HW9" s="6">
        <v>0</v>
      </c>
      <c r="HX9" s="5">
        <f t="shared" si="117"/>
        <v>0</v>
      </c>
      <c r="HY9" s="5"/>
      <c r="HZ9" s="5"/>
      <c r="IA9" s="5">
        <f t="shared" si="166"/>
        <v>0</v>
      </c>
      <c r="IB9" s="5">
        <f t="shared" si="118"/>
        <v>10</v>
      </c>
      <c r="IC9" s="5">
        <f t="shared" si="118"/>
        <v>130</v>
      </c>
      <c r="ID9" s="5">
        <f t="shared" si="119"/>
        <v>3.7737864663889157E-3</v>
      </c>
      <c r="IE9" s="7">
        <f t="shared" si="120"/>
        <v>10</v>
      </c>
      <c r="IF9" s="7">
        <f t="shared" si="120"/>
        <v>130</v>
      </c>
      <c r="IG9" s="5">
        <f t="shared" si="121"/>
        <v>3.7737864663889157E-3</v>
      </c>
      <c r="IH9" s="5">
        <f t="shared" si="122"/>
        <v>0.10276020547977016</v>
      </c>
      <c r="II9" s="5">
        <f t="shared" si="123"/>
        <v>1.5288479849141435E-2</v>
      </c>
      <c r="IJ9" s="8">
        <f t="shared" si="124"/>
        <v>9.8833333333333342E-3</v>
      </c>
      <c r="IK9" s="8">
        <f t="shared" si="125"/>
        <v>1.1832596685082871E-2</v>
      </c>
      <c r="IL9" s="8">
        <f t="shared" si="126"/>
        <v>1.5199246231155778E-2</v>
      </c>
      <c r="IM9" s="8">
        <f t="shared" si="127"/>
        <v>7.2004319654427641E-3</v>
      </c>
      <c r="IN9" s="8">
        <f t="shared" si="128"/>
        <v>4.58082489146165E-3</v>
      </c>
      <c r="IO9" s="8">
        <f t="shared" si="129"/>
        <v>1.4182926829268293E-2</v>
      </c>
      <c r="IP9" s="8">
        <f t="shared" si="130"/>
        <v>1.4172727272727273E-2</v>
      </c>
      <c r="IQ9" s="8">
        <f t="shared" si="131"/>
        <v>1.8348888888888887E-2</v>
      </c>
      <c r="IR9" s="8">
        <f t="shared" si="132"/>
        <v>1.6152380952380953E-2</v>
      </c>
      <c r="IS9" s="8">
        <f t="shared" si="133"/>
        <v>6.2022727272727273E-3</v>
      </c>
      <c r="IT9" s="8">
        <f t="shared" si="134"/>
        <v>9.6499252615844557E-3</v>
      </c>
      <c r="IU9" s="8" t="e">
        <f t="shared" si="135"/>
        <v>#DIV/0!</v>
      </c>
      <c r="IV9" s="8">
        <f t="shared" si="136"/>
        <v>1.0003916666666666E-2</v>
      </c>
      <c r="IW9" s="81">
        <f t="shared" si="137"/>
        <v>1.0876175002901242E-2</v>
      </c>
      <c r="IX9" s="8" t="e">
        <f t="shared" si="138"/>
        <v>#DIV/0!</v>
      </c>
      <c r="IY9" s="8">
        <f t="shared" si="139"/>
        <v>1.9306108897742365E-2</v>
      </c>
      <c r="IZ9" s="8">
        <f t="shared" si="140"/>
        <v>0.10060606060606062</v>
      </c>
      <c r="JA9" s="8">
        <f t="shared" si="141"/>
        <v>8.8474860335195527E-2</v>
      </c>
      <c r="JB9" s="8">
        <f t="shared" si="142"/>
        <v>5.6000000000000008E-2</v>
      </c>
      <c r="JC9" s="8">
        <f t="shared" si="143"/>
        <v>0.03</v>
      </c>
      <c r="JD9" s="8" t="e">
        <f t="shared" si="144"/>
        <v>#DIV/0!</v>
      </c>
      <c r="JE9" s="8">
        <f t="shared" si="145"/>
        <v>5.5149999999999998E-2</v>
      </c>
      <c r="JF9" s="8">
        <f t="shared" si="146"/>
        <v>4.1402597402597399E-2</v>
      </c>
      <c r="JG9" s="8" t="e">
        <f t="shared" si="147"/>
        <v>#DIV/0!</v>
      </c>
      <c r="JH9" s="8">
        <f t="shared" si="148"/>
        <v>0.90791366906474824</v>
      </c>
      <c r="JI9" s="8">
        <f t="shared" si="149"/>
        <v>4.5400000000000003E-2</v>
      </c>
      <c r="JJ9" s="8">
        <f t="shared" si="150"/>
        <v>155.58416666666668</v>
      </c>
      <c r="JK9" s="8">
        <f t="shared" si="151"/>
        <v>6.3E-3</v>
      </c>
      <c r="JL9" s="8">
        <f t="shared" si="152"/>
        <v>1.5499999999999998</v>
      </c>
      <c r="JM9" s="81">
        <f t="shared" si="153"/>
        <v>6.3420891875381802E-2</v>
      </c>
      <c r="JN9" s="8">
        <f t="shared" si="154"/>
        <v>5.7130434782608701E-2</v>
      </c>
      <c r="JO9" s="8">
        <f t="shared" si="155"/>
        <v>3.8100000000000002E-2</v>
      </c>
      <c r="JP9" s="9">
        <f t="shared" si="156"/>
        <v>0.20471999999999999</v>
      </c>
      <c r="JQ9" s="9">
        <f t="shared" si="157"/>
        <v>0.13527272727272727</v>
      </c>
      <c r="JR9" s="9">
        <f t="shared" si="158"/>
        <v>0.37756756756756754</v>
      </c>
      <c r="JS9" s="9">
        <f t="shared" si="159"/>
        <v>8.1833333333333341E-2</v>
      </c>
      <c r="JT9" s="9">
        <f t="shared" si="160"/>
        <v>0.2994</v>
      </c>
      <c r="JU9" s="9">
        <f t="shared" si="161"/>
        <v>0.36046153846153844</v>
      </c>
      <c r="JV9" s="9">
        <f t="shared" si="162"/>
        <v>0.22793333333333332</v>
      </c>
      <c r="JW9" s="9">
        <f t="shared" si="163"/>
        <v>13</v>
      </c>
    </row>
    <row r="10" spans="1:283" s="11" customFormat="1" ht="18" customHeight="1" x14ac:dyDescent="0.15">
      <c r="A10" s="10">
        <v>854</v>
      </c>
      <c r="B10" s="5" t="s">
        <v>589</v>
      </c>
      <c r="C10" s="5" t="s">
        <v>335</v>
      </c>
      <c r="D10" s="55">
        <v>46720.98</v>
      </c>
      <c r="E10" s="56">
        <f>产品销售数量!D7</f>
        <v>2195</v>
      </c>
      <c r="F10" s="6">
        <f>应产率辅助表!C7</f>
        <v>171900</v>
      </c>
      <c r="G10" s="6">
        <f>应产率辅助表!C36</f>
        <v>1698.94</v>
      </c>
      <c r="H10" s="7">
        <f t="shared" si="1"/>
        <v>3.6363535182695222E-2</v>
      </c>
      <c r="I10" s="5">
        <f>产品销售数量!E7+产品销售数量!F7*1.36</f>
        <v>1479.96</v>
      </c>
      <c r="J10" s="5">
        <f t="shared" si="164"/>
        <v>8.6094240837696336</v>
      </c>
      <c r="K10" s="5">
        <f t="shared" si="2"/>
        <v>-8808.4079999999958</v>
      </c>
      <c r="L10" s="5">
        <f t="shared" si="3"/>
        <v>-87.056176192670122</v>
      </c>
      <c r="M10" s="6">
        <f>应产率辅助表!D7</f>
        <v>19400</v>
      </c>
      <c r="N10" s="6">
        <f>应产率辅助表!D36</f>
        <v>229.55</v>
      </c>
      <c r="O10" s="7">
        <f t="shared" si="4"/>
        <v>4.9132102965305947E-3</v>
      </c>
      <c r="P10" s="5">
        <f>+产品销售数量!H7</f>
        <v>203</v>
      </c>
      <c r="Q10" s="5">
        <f t="shared" si="5"/>
        <v>10.463917525773196</v>
      </c>
      <c r="R10" s="5">
        <f t="shared" si="6"/>
        <v>-1058.9500000000007</v>
      </c>
      <c r="S10" s="5">
        <f t="shared" si="7"/>
        <v>-12.529998582474237</v>
      </c>
      <c r="T10" s="6">
        <f>应产率辅助表!E7</f>
        <v>56800</v>
      </c>
      <c r="U10" s="6">
        <f>应产率辅助表!E36</f>
        <v>864.99</v>
      </c>
      <c r="V10" s="7">
        <f t="shared" si="8"/>
        <v>1.8513952404251792E-2</v>
      </c>
      <c r="W10" s="5">
        <f>+产品销售数量!V7+产品销售数量!CP7</f>
        <v>536</v>
      </c>
      <c r="X10" s="5">
        <f t="shared" si="9"/>
        <v>9.4366197183098599</v>
      </c>
      <c r="Y10" s="5">
        <f t="shared" si="10"/>
        <v>-3307.2000000000044</v>
      </c>
      <c r="Z10" s="5">
        <f t="shared" si="11"/>
        <v>-50.364347323943726</v>
      </c>
      <c r="AA10" s="6">
        <f>应产率辅助表!F7</f>
        <v>58500</v>
      </c>
      <c r="AB10" s="6">
        <f>应产率辅助表!F36</f>
        <v>421.2</v>
      </c>
      <c r="AC10" s="7">
        <f t="shared" si="12"/>
        <v>9.0152218553634783E-3</v>
      </c>
      <c r="AD10" s="5">
        <f>产品销售数量!J7*1.5+产品销售数量!K7*1.5+产品销售数量!L7*1.5+产品销售数量!O7*1.5+产品销售数量!P7*1.5+产品销售数量!S7*1.5+产品销售数量!T7*1.5+产品销售数量!CH7*1.35+产品销售数量!M7*1.5+产品销售数量!CK7*0.89*1.5+产品销售数量!BL7*1.35+产品销售数量!AU7*0.9+产品销售数量!AW7*0.9+产品销售数量!BB7*1.5+产品销售数量!CN7*1.35+产品销售数量!CO7*1.35+产品销售数量!CQ7*1.5+产品销售数量!CX7*1.5+产品销售数量!CY7*1.35+产品销售数量!CZ7*1.35</f>
        <v>5103.1499999999996</v>
      </c>
      <c r="AE10" s="5">
        <f t="shared" si="13"/>
        <v>87.23333333333332</v>
      </c>
      <c r="AF10" s="5">
        <f t="shared" si="14"/>
        <v>-6958.1850000000049</v>
      </c>
      <c r="AG10" s="5">
        <f t="shared" si="15"/>
        <v>-50.098932000000033</v>
      </c>
      <c r="AH10" s="6">
        <f t="shared" si="165"/>
        <v>7</v>
      </c>
      <c r="AI10" s="6">
        <f>应产率辅助表!G7</f>
        <v>175000</v>
      </c>
      <c r="AJ10" s="6">
        <f>应产率辅助表!G36</f>
        <v>801.47</v>
      </c>
      <c r="AK10" s="7">
        <f t="shared" si="17"/>
        <v>1.715439188133468E-2</v>
      </c>
      <c r="AL10" s="5">
        <f>+产品销售数量!J7*1.13+产品销售数量!K7*1.13+产品销售数量!O7*1.13+产品销售数量!U7+产品销售数量!V7*2.6+产品销售数量!W7*2.6+产品销售数量!X7*1.6+产品销售数量!Y7+产品销售数量!AB7*1.74+产品销售数量!BC7*1.19+产品销售数量!BL7*0.98+产品销售数量!BM7*0.74+产品销售数量!BN7*4.495+产品销售数量!BQ7*2.29+产品销售数量!BV7*2.56+产品销售数量!CG7*1.74+产品销售数量!CJ7*0.8+产品销售数量!CK7*1.13+产品销售数量!CM7*1.19+产品销售数量!CO7*0.98+产品销售数量!CP7*2.6+产品销售数量!CQ7*1.13+产品销售数量!CR7*1.4+产品销售数量!CS7*1.4+产品销售数量!CT7*1.4+产品销售数量!CV7*1.13+产品销售数量!CW7*0.98+产品销售数量!CX7*0.378+产品销售数量!CY7*1.19+产品销售数量!DA7*0.87+产品销售数量!DB7*1.5+产品销售数量!DI7*0.595+产品销售数量!DK7*1.74+产品销售数量!DO7*1.11</f>
        <v>5597.8949999999986</v>
      </c>
      <c r="AM10" s="5">
        <f t="shared" si="18"/>
        <v>31.98797142857142</v>
      </c>
      <c r="AN10" s="5">
        <f t="shared" si="19"/>
        <v>-6783.2552500000456</v>
      </c>
      <c r="AO10" s="5">
        <f t="shared" si="20"/>
        <v>-31.066146201243065</v>
      </c>
      <c r="AP10" s="6">
        <f>应产率辅助表!H7</f>
        <v>900</v>
      </c>
      <c r="AQ10" s="6">
        <f>应产率辅助表!H36</f>
        <v>12.77</v>
      </c>
      <c r="AR10" s="7">
        <f t="shared" si="21"/>
        <v>2.7332474618469045E-4</v>
      </c>
      <c r="AS10" s="5">
        <f>产品销售数量!I7*0.858+产品销售数量!Z7*0.686+产品销售数量!AA7*1.79+产品销售数量!CF7*1.79+产品销售数量!CL7*0.89</f>
        <v>259.55</v>
      </c>
      <c r="AT10" s="5">
        <f t="shared" si="22"/>
        <v>288.38888888888891</v>
      </c>
      <c r="AU10" s="5">
        <f t="shared" si="23"/>
        <v>229.04250000000002</v>
      </c>
      <c r="AV10" s="5">
        <f t="shared" si="24"/>
        <v>3.2498585833333333</v>
      </c>
      <c r="AW10" s="6">
        <f>应产率辅助表!I7</f>
        <v>2000</v>
      </c>
      <c r="AX10" s="6">
        <f>应产率辅助表!I36</f>
        <v>28.32</v>
      </c>
      <c r="AY10" s="7">
        <f t="shared" si="25"/>
        <v>6.0615166890762989E-4</v>
      </c>
      <c r="AZ10" s="5">
        <f>+产品销售数量!I7*0.857+产品销售数量!Z7*0.485+产品销售数量!AA7*1.88+产品销售数量!CF7*1.88+产品销售数量!CL7*0.89</f>
        <v>272.60000000000002</v>
      </c>
      <c r="BA10" s="5">
        <f t="shared" si="26"/>
        <v>136.30000000000001</v>
      </c>
      <c r="BB10" s="5">
        <f t="shared" si="27"/>
        <v>-200.83999999999992</v>
      </c>
      <c r="BC10" s="5">
        <f t="shared" si="28"/>
        <v>-2.843894399999999</v>
      </c>
      <c r="BD10" s="6">
        <f>应产率辅助表!J7</f>
        <v>5500</v>
      </c>
      <c r="BE10" s="6">
        <f>应产率辅助表!J36</f>
        <v>100.95</v>
      </c>
      <c r="BF10" s="7">
        <f t="shared" si="29"/>
        <v>2.1606995401209478E-3</v>
      </c>
      <c r="BG10" s="5">
        <f>+产品销售数量!J7*2+产品销售数量!L7*0.93+产品销售数量!O7*2+产品销售数量!P7*0.93+产品销售数量!U7*1.93+产品销售数量!W7*2+产品销售数量!V7*3.79+产品销售数量!I7*2.678+产品销售数量!CK7*1.32+产品销售数量!CQ7*2</f>
        <v>4053.15</v>
      </c>
      <c r="BH10" s="5">
        <f t="shared" si="30"/>
        <v>736.93636363636369</v>
      </c>
      <c r="BI10" s="5">
        <f t="shared" si="31"/>
        <v>174.40999999999985</v>
      </c>
      <c r="BJ10" s="5">
        <f t="shared" si="32"/>
        <v>3.2012162727272706</v>
      </c>
      <c r="BK10" s="6">
        <f>应产率辅助表!K7</f>
        <v>3000</v>
      </c>
      <c r="BL10" s="6">
        <f>应产率辅助表!K36</f>
        <v>49.4</v>
      </c>
      <c r="BM10" s="7">
        <f t="shared" si="33"/>
        <v>1.0573408348883092E-3</v>
      </c>
      <c r="BN10" s="5">
        <f>产品销售数量!K7*1.125+产品销售数量!Y7*4.12+产品销售数量!X7*5.5+产品销售数量!AA7*13.25+产品销售数量!AB7*13.25+产品销售数量!BN7*6.87+产品销售数量!BV7+产品销售数量!CF7*13.25+产品销售数量!CG7*13.25+产品销售数量!CJ7*6.63+产品销售数量!CL7*6.63+产品销售数量!CR7*2.25+产品销售数量!CS7*2.25+产品销售数量!CT7*2.25+产品销售数量!CV7*0.75+产品销售数量!DA7*6.63+产品销售数量!DJ7*13.25+产品销售数量!DK7*13.25</f>
        <v>4198.0149999999994</v>
      </c>
      <c r="BO10" s="79">
        <f t="shared" si="0"/>
        <v>1399.3383333333331</v>
      </c>
      <c r="BP10" s="5">
        <f t="shared" si="34"/>
        <v>358.41199999999981</v>
      </c>
      <c r="BQ10" s="5">
        <f t="shared" si="35"/>
        <v>5.9018509333333302</v>
      </c>
      <c r="BR10" s="6">
        <f>应产率辅助表!L7</f>
        <v>9500</v>
      </c>
      <c r="BS10" s="6">
        <f>应产率辅助表!L36</f>
        <v>58.85</v>
      </c>
      <c r="BT10" s="7">
        <f t="shared" si="36"/>
        <v>1.2596054277971053E-3</v>
      </c>
      <c r="BU10" s="5">
        <f>产品销售数量!O7+产品销售数量!P7+产品销售数量!CI7*1.5+产品销售数量!CK7*0.89+产品销售数量!M7*1.34</f>
        <v>870.18000000000006</v>
      </c>
      <c r="BV10" s="5">
        <f t="shared" si="37"/>
        <v>91.597894736842107</v>
      </c>
      <c r="BW10" s="5">
        <f t="shared" si="38"/>
        <v>-711.18199999999888</v>
      </c>
      <c r="BX10" s="5">
        <f t="shared" si="39"/>
        <v>-4.4055853368420985</v>
      </c>
      <c r="BY10" s="6">
        <f>应产率辅助表!M7</f>
        <v>52100</v>
      </c>
      <c r="BZ10" s="6">
        <f>应产率辅助表!M36</f>
        <v>502.93</v>
      </c>
      <c r="CA10" s="7">
        <f t="shared" si="40"/>
        <v>1.0764543038266749E-2</v>
      </c>
      <c r="CB10" s="5">
        <f>+产品销售数量!J7+产品销售数量!K7+产品销售数量!L7+产品销售数量!O7+产品销售数量!P7+产品销售数量!S7+产品销售数量!T7+产品销售数量!AU7*0.9+产品销售数量!AW7*0.9+产品销售数量!BL7*0.9+产品销售数量!CH7*0.9+产品销售数量!CK7*0.9+产品销售数量!CN7*0.9+产品销售数量!CO7*0.9+产品销售数量!CQ7+产品销售数量!CV7+产品销售数量!CW7*0.9+产品销售数量!DB7</f>
        <v>3072.4000000000005</v>
      </c>
      <c r="CC10" s="5">
        <f t="shared" si="41"/>
        <v>58.971209213051836</v>
      </c>
      <c r="CD10" s="5">
        <f t="shared" si="42"/>
        <v>-5553.1399999999921</v>
      </c>
      <c r="CE10" s="5">
        <f t="shared" si="43"/>
        <v>-53.605387719769602</v>
      </c>
      <c r="CF10" s="6">
        <f>应产率辅助表!N7</f>
        <v>0</v>
      </c>
      <c r="CG10" s="6">
        <f>应产率辅助表!N36</f>
        <v>0</v>
      </c>
      <c r="CH10" s="7">
        <f t="shared" si="44"/>
        <v>0</v>
      </c>
      <c r="CI10" s="5">
        <f>产品销售数量!P7+产品销售数量!Z7*1.4+产品销售数量!L7</f>
        <v>50</v>
      </c>
      <c r="CJ10" s="5" t="e">
        <f t="shared" si="45"/>
        <v>#DIV/0!</v>
      </c>
      <c r="CK10" s="5">
        <f t="shared" si="46"/>
        <v>46546.860000000008</v>
      </c>
      <c r="CL10" s="5" t="e">
        <f t="shared" si="47"/>
        <v>#DIV/0!</v>
      </c>
      <c r="CM10" s="6">
        <f>应产率辅助表!O7</f>
        <v>179125</v>
      </c>
      <c r="CN10" s="6">
        <f>应产率辅助表!O36</f>
        <v>1795.49</v>
      </c>
      <c r="CO10" s="7">
        <f t="shared" si="48"/>
        <v>3.8430058616064987E-2</v>
      </c>
      <c r="CP10" s="5">
        <f>+产品销售数量!AE7*1.04+产品销售数量!AD7*1.279+产品销售数量!BW7*1.04+产品销售数量!BX7*1.279</f>
        <v>2332.7200000000003</v>
      </c>
      <c r="CQ10" s="5">
        <f t="shared" si="49"/>
        <v>13.022861130495466</v>
      </c>
      <c r="CR10" s="5">
        <f t="shared" si="50"/>
        <v>-76018.775999999983</v>
      </c>
      <c r="CS10" s="5">
        <f t="shared" si="51"/>
        <v>-761.98717164125594</v>
      </c>
      <c r="CT10" s="6">
        <f>应产率辅助表!P7</f>
        <v>14517</v>
      </c>
      <c r="CU10" s="6">
        <f>应产率辅助表!P36</f>
        <v>158.04</v>
      </c>
      <c r="CV10" s="7">
        <f t="shared" si="52"/>
        <v>-1.7941948193135476E-2</v>
      </c>
      <c r="CW10" s="5">
        <f>+产品销售数量!AC7*1.08+产品销售数量!AH7*1+产品销售数量!AG7*1.45+产品销售数量!BG7*0.834+产品销售数量!CU7*0.834+产品销售数量!DM7*1.19</f>
        <v>196.35999999999999</v>
      </c>
      <c r="CX10" s="5">
        <f t="shared" si="53"/>
        <v>13.526210649583247</v>
      </c>
      <c r="CY10" s="5">
        <f t="shared" si="54"/>
        <v>-5837.8880000000008</v>
      </c>
      <c r="CZ10" s="5">
        <f t="shared" si="55"/>
        <v>-63.554440967141971</v>
      </c>
      <c r="DA10" s="6">
        <f>应产率辅助表!Q7</f>
        <v>0</v>
      </c>
      <c r="DB10" s="6">
        <f>应产率辅助表!Q36</f>
        <v>0</v>
      </c>
      <c r="DC10" s="7">
        <f t="shared" si="56"/>
        <v>0</v>
      </c>
      <c r="DD10" s="5">
        <f>产品销售数量!AJ7*2+产品销售数量!AK7*1.38+产品销售数量!AL7+产品销售数量!BT7*1.38+产品销售数量!BU7*2</f>
        <v>0</v>
      </c>
      <c r="DE10" s="5" t="e">
        <f t="shared" si="57"/>
        <v>#DIV/0!</v>
      </c>
      <c r="DF10" s="5">
        <f t="shared" si="58"/>
        <v>0</v>
      </c>
      <c r="DG10" s="5" t="e">
        <f t="shared" si="59"/>
        <v>#DIV/0!</v>
      </c>
      <c r="DH10" s="6">
        <f>应产率辅助表!R7</f>
        <v>6260</v>
      </c>
      <c r="DI10" s="6">
        <f>应产率辅助表!R36</f>
        <v>120.87</v>
      </c>
      <c r="DJ10" s="7">
        <f t="shared" si="60"/>
        <v>2.5870604597763146E-3</v>
      </c>
      <c r="DK10" s="5">
        <f>+产品销售数量!AM7*1.375+产品销售数量!AN7+产品销售数量!AO7*0.75+产品销售数量!BR7*0.57</f>
        <v>132.815</v>
      </c>
      <c r="DL10" s="5">
        <f t="shared" si="61"/>
        <v>21.216453674121407</v>
      </c>
      <c r="DM10" s="5">
        <f t="shared" si="62"/>
        <v>-389.57699999999932</v>
      </c>
      <c r="DN10" s="5">
        <f t="shared" si="63"/>
        <v>-7.5220722028753864</v>
      </c>
      <c r="DO10" s="6">
        <f>应产率辅助表!S7+应产率辅助表!T7</f>
        <v>880</v>
      </c>
      <c r="DP10" s="6">
        <f>应产率辅助表!S36+应产率辅助表!T36</f>
        <v>77.12</v>
      </c>
      <c r="DQ10" s="7">
        <f t="shared" si="64"/>
        <v>1.6506503074207775E-3</v>
      </c>
      <c r="DR10" s="5">
        <f>+产品销售数量!Y7+产品销售数量!X7+产品销售数量!AB7*3+产品销售数量!CG7*3+产品销售数量!CJ7*2+产品销售数量!BN7*2+产品销售数量!CR7+产品销售数量!CS7+产品销售数量!CT7+产品销售数量!BM7+产品销售数量!AA7+产品销售数量!CF7</f>
        <v>676</v>
      </c>
      <c r="DS10" s="5">
        <f t="shared" si="65"/>
        <v>1.3017751479289941</v>
      </c>
      <c r="DT10" s="5">
        <f t="shared" si="66"/>
        <v>-204</v>
      </c>
      <c r="DU10" s="5">
        <f t="shared" si="67"/>
        <v>-17.877818181818181</v>
      </c>
      <c r="DV10" s="6">
        <f>应产率辅助表!U7</f>
        <v>2775</v>
      </c>
      <c r="DW10" s="6">
        <f>应产率辅助表!U36</f>
        <v>245.56</v>
      </c>
      <c r="DX10" s="7">
        <f t="shared" si="68"/>
        <v>5.2558829031411581E-3</v>
      </c>
      <c r="DY10" s="5">
        <f>+产品销售数量!E7+产品销售数量!F7*2+产品销售数量!G7+产品销售数量!CY7+产品销售数量!DE7+产品销售数量!DH7</f>
        <v>2973</v>
      </c>
      <c r="DZ10" s="5">
        <f t="shared" si="69"/>
        <v>0.93340060544904135</v>
      </c>
      <c r="EA10" s="5">
        <f t="shared" si="70"/>
        <v>198</v>
      </c>
      <c r="EB10" s="5">
        <f t="shared" si="71"/>
        <v>17.521037837837838</v>
      </c>
      <c r="EC10" s="6">
        <f>应产率辅助表!V7</f>
        <v>10</v>
      </c>
      <c r="ED10" s="6">
        <f>应产率辅助表!V36</f>
        <v>0.56999999999999995</v>
      </c>
      <c r="EE10" s="7">
        <f t="shared" si="72"/>
        <v>1.2200086556403567E-5</v>
      </c>
      <c r="EF10" s="5">
        <f>+产品销售数量!AS7</f>
        <v>9</v>
      </c>
      <c r="EG10" s="5">
        <f t="shared" si="73"/>
        <v>1.1111111111111112</v>
      </c>
      <c r="EH10" s="5">
        <f t="shared" si="74"/>
        <v>-1</v>
      </c>
      <c r="EI10" s="5">
        <f t="shared" si="75"/>
        <v>-5.6999999999999995E-2</v>
      </c>
      <c r="EJ10" s="6">
        <f>应产率辅助表!W7</f>
        <v>2100</v>
      </c>
      <c r="EK10" s="6">
        <f>应产率辅助表!W36</f>
        <v>62.25</v>
      </c>
      <c r="EL10" s="7">
        <f t="shared" si="76"/>
        <v>1.3323778739230212E-3</v>
      </c>
      <c r="EM10" s="5">
        <f>+产品销售数量!AD7+产品销售数量!AE7+产品销售数量!AF7+产品销售数量!AG7+产品销售数量!AH7+产品销售数量!AI7+产品销售数量!AJ7+产品销售数量!AK7+产品销售数量!AL7+产品销售数量!AM7+产品销售数量!AN7+产品销售数量!AO7+产品销售数量!AQ7+产品销售数量!AP7+产品销售数量!AR7+产品销售数量!BR7+产品销售数量!AS7+产品销售数量!CA7+产品销售数量!BE7+产品销售数量!BF7</f>
        <v>2033</v>
      </c>
      <c r="EN10" s="5">
        <f t="shared" si="77"/>
        <v>1.0329562223315298</v>
      </c>
      <c r="EO10" s="5">
        <f t="shared" si="78"/>
        <v>-67</v>
      </c>
      <c r="EP10" s="5">
        <f t="shared" si="79"/>
        <v>-1.9860714285714287</v>
      </c>
      <c r="EQ10" s="6">
        <f>应产率辅助表!X7</f>
        <v>0</v>
      </c>
      <c r="ER10" s="6">
        <f>应产率辅助表!X36</f>
        <v>0</v>
      </c>
      <c r="ES10" s="7">
        <f t="shared" si="80"/>
        <v>0</v>
      </c>
      <c r="ET10" s="5">
        <f>+产品销售数量!AQ7+产品销售数量!AP7+产品销售数量!AR7+产品销售数量!BR7+产品销售数量!AS7+产品销售数量!CA7+产品销售数量!BE7+产品销售数量!BF7</f>
        <v>225</v>
      </c>
      <c r="EU10" s="5">
        <f t="shared" si="81"/>
        <v>0</v>
      </c>
      <c r="EV10" s="5">
        <f t="shared" si="82"/>
        <v>225</v>
      </c>
      <c r="EW10" s="5" t="e">
        <f t="shared" si="83"/>
        <v>#DIV/0!</v>
      </c>
      <c r="EX10" s="6">
        <f>应产率辅助表!Y7</f>
        <v>203</v>
      </c>
      <c r="EY10" s="6">
        <f>应产率辅助表!Y36</f>
        <v>11.14</v>
      </c>
      <c r="EZ10" s="7">
        <f t="shared" si="84"/>
        <v>2.3843677936550133E-4</v>
      </c>
      <c r="FA10" s="5">
        <f>产品销售数量!H7</f>
        <v>203</v>
      </c>
      <c r="FB10" s="5">
        <f t="shared" si="85"/>
        <v>1</v>
      </c>
      <c r="FC10" s="5">
        <f t="shared" si="86"/>
        <v>0</v>
      </c>
      <c r="FD10" s="5">
        <f t="shared" si="87"/>
        <v>0</v>
      </c>
      <c r="FE10" s="6">
        <f>应产率辅助表!Z7</f>
        <v>3800</v>
      </c>
      <c r="FF10" s="6">
        <f>应产率辅助表!Z36</f>
        <v>157.31</v>
      </c>
      <c r="FG10" s="7">
        <f t="shared" si="88"/>
        <v>3.3670098529611321E-3</v>
      </c>
      <c r="FH10" s="5">
        <f>+产品销售数量!J7+产品销售数量!K7+产品销售数量!L7+产品销售数量!M7+产品销售数量!O7+产品销售数量!P7+产品销售数量!S7+产品销售数量!T7+产品销售数量!BQ7+产品销售数量!BS7+产品销售数量!CC7+产品销售数量!CH7+产品销售数量!CI7+产品销售数量!CJ7+产品销售数量!CK7+产品销售数量!CL7+产品销售数量!BL7+产品销售数量!AU7++产品销售数量!AW7+产品销售数量!BQ7+产品销售数量!CN7+产品销售数量!CO7+产品销售数量!CQ7+产品销售数量!CX7+产品销售数量!CY7+产品销售数量!CM7</f>
        <v>3850</v>
      </c>
      <c r="FI10" s="5">
        <f t="shared" si="89"/>
        <v>0.98701298701298701</v>
      </c>
      <c r="FJ10" s="5">
        <f t="shared" si="90"/>
        <v>50</v>
      </c>
      <c r="FK10" s="5">
        <f t="shared" si="91"/>
        <v>2.0698684210526319</v>
      </c>
      <c r="FL10" s="6">
        <f>应产率辅助表!AA7</f>
        <v>0</v>
      </c>
      <c r="FM10" s="6">
        <f>应产率辅助表!AA36</f>
        <v>0</v>
      </c>
      <c r="FN10" s="7">
        <f t="shared" si="92"/>
        <v>0</v>
      </c>
      <c r="FO10" s="5">
        <f>+产品销售数量!R7+产品销售数量!CE7</f>
        <v>0</v>
      </c>
      <c r="FP10" s="5" t="e">
        <f t="shared" si="93"/>
        <v>#DIV/0!</v>
      </c>
      <c r="FQ10" s="5">
        <f t="shared" si="94"/>
        <v>0</v>
      </c>
      <c r="FR10" s="5" t="e">
        <f t="shared" si="95"/>
        <v>#DIV/0!</v>
      </c>
      <c r="FS10" s="6">
        <f>应产率辅助表!AB7</f>
        <v>202</v>
      </c>
      <c r="FT10" s="5">
        <f t="shared" si="96"/>
        <v>10100</v>
      </c>
      <c r="FU10" s="6">
        <f>应产率辅助表!AB36</f>
        <v>237.58</v>
      </c>
      <c r="FV10" s="7">
        <f t="shared" si="97"/>
        <v>5.0850816913515081E-3</v>
      </c>
      <c r="FW10" s="5">
        <f t="shared" si="98"/>
        <v>4.6013667425968112</v>
      </c>
      <c r="FX10" s="6">
        <f>应产率辅助表!AC7</f>
        <v>2000</v>
      </c>
      <c r="FY10" s="6">
        <f>应产率辅助表!AC36</f>
        <v>90.72</v>
      </c>
      <c r="FZ10" s="7">
        <f t="shared" si="99"/>
        <v>1.9417400919244415E-3</v>
      </c>
      <c r="GA10" s="5">
        <f t="shared" si="100"/>
        <v>0.91116173120728927</v>
      </c>
      <c r="GB10" s="6">
        <f>应产率辅助表!AD7</f>
        <v>12</v>
      </c>
      <c r="GC10" s="6">
        <f>应产率辅助表!AD36</f>
        <v>1845.02</v>
      </c>
      <c r="GD10" s="7">
        <f t="shared" si="101"/>
        <v>3.9490181926834581E-2</v>
      </c>
      <c r="GE10" s="6">
        <f>应产率辅助表!AE7</f>
        <v>3000</v>
      </c>
      <c r="GF10" s="6">
        <f>应产率辅助表!AE36</f>
        <v>18.91</v>
      </c>
      <c r="GG10" s="7">
        <f t="shared" si="102"/>
        <v>4.0474322242384469E-4</v>
      </c>
      <c r="GH10" s="6">
        <f>应产率辅助表!AF7</f>
        <v>50</v>
      </c>
      <c r="GI10" s="6">
        <f>应产率辅助表!AF36</f>
        <v>77.5</v>
      </c>
      <c r="GJ10" s="7">
        <f t="shared" si="103"/>
        <v>1.6587836984583797E-3</v>
      </c>
      <c r="GK10" s="6">
        <f>应产率辅助表!AG7</f>
        <v>900</v>
      </c>
      <c r="GL10" s="6">
        <f>应产率辅助表!AG36</f>
        <v>62.690000000000005</v>
      </c>
      <c r="GM10" s="7">
        <f t="shared" si="104"/>
        <v>1.3417954845981398E-3</v>
      </c>
      <c r="GN10" s="6"/>
      <c r="GO10" s="6">
        <f>应产率辅助表!AH7</f>
        <v>300</v>
      </c>
      <c r="GP10" s="6">
        <f>应产率辅助表!AH36</f>
        <v>17.149999999999999</v>
      </c>
      <c r="GQ10" s="7">
        <f t="shared" si="105"/>
        <v>3.6707277972337048E-4</v>
      </c>
      <c r="GR10" s="6">
        <f>应产率辅助表!AI7</f>
        <v>1800</v>
      </c>
      <c r="GS10" s="6">
        <f>应产率辅助表!AI36</f>
        <v>68.58</v>
      </c>
      <c r="GT10" s="7">
        <f t="shared" si="106"/>
        <v>1.4678630456809766E-3</v>
      </c>
      <c r="GU10" s="72">
        <f>应产率辅助表!AJ7</f>
        <v>740</v>
      </c>
      <c r="GV10" s="72">
        <f>应产率辅助表!AJ36</f>
        <v>151.41</v>
      </c>
      <c r="GW10" s="7">
        <f t="shared" si="107"/>
        <v>3.2407282552720422E-3</v>
      </c>
      <c r="GX10" s="72">
        <f>应产率辅助表!AK7</f>
        <v>190</v>
      </c>
      <c r="GY10" s="72">
        <f>应产率辅助表!AK36</f>
        <v>25.91</v>
      </c>
      <c r="GZ10" s="7">
        <f t="shared" si="108"/>
        <v>5.5456884680073063E-4</v>
      </c>
      <c r="HA10" s="72">
        <f>应产率辅助表!AL7</f>
        <v>90</v>
      </c>
      <c r="HB10" s="72">
        <f>应产率辅助表!AL36</f>
        <v>33.950000000000003</v>
      </c>
      <c r="HC10" s="7">
        <f t="shared" si="109"/>
        <v>7.2665427822789675E-4</v>
      </c>
      <c r="HD10" s="72">
        <f>应产率辅助表!AM7</f>
        <v>40</v>
      </c>
      <c r="HE10" s="72">
        <f>应产率辅助表!AM36</f>
        <v>3.28</v>
      </c>
      <c r="HF10" s="7">
        <f t="shared" si="110"/>
        <v>7.0204006850883678E-5</v>
      </c>
      <c r="HG10" s="72">
        <f>应产率辅助表!AN7</f>
        <v>100</v>
      </c>
      <c r="HH10" s="72">
        <f>应产率辅助表!AN36</f>
        <v>29.95</v>
      </c>
      <c r="HI10" s="7">
        <f t="shared" si="111"/>
        <v>6.4103963572681899E-4</v>
      </c>
      <c r="HJ10" s="72">
        <f>应产率辅助表!AO7</f>
        <v>150</v>
      </c>
      <c r="HK10" s="72">
        <f>应产率辅助表!AO36</f>
        <v>54.06</v>
      </c>
      <c r="HL10" s="7">
        <f t="shared" si="112"/>
        <v>1.1570818934020647E-3</v>
      </c>
      <c r="HM10" s="72">
        <f>应产率辅助表!AP7</f>
        <v>1300</v>
      </c>
      <c r="HN10" s="72">
        <f>应产率辅助表!AP36</f>
        <v>299.18</v>
      </c>
      <c r="HO10" s="7">
        <f t="shared" si="113"/>
        <v>6.4035471858681046E-3</v>
      </c>
      <c r="HP10" s="6">
        <f>产品销售数量!DP7</f>
        <v>30</v>
      </c>
      <c r="HQ10" s="6">
        <v>247</v>
      </c>
      <c r="HR10" s="5">
        <f t="shared" si="115"/>
        <v>5.286704174441546E-3</v>
      </c>
      <c r="HS10" s="6">
        <v>0</v>
      </c>
      <c r="HT10" s="6">
        <v>0</v>
      </c>
      <c r="HU10" s="5">
        <f t="shared" si="116"/>
        <v>0</v>
      </c>
      <c r="HV10" s="6">
        <v>0</v>
      </c>
      <c r="HW10" s="6">
        <v>0</v>
      </c>
      <c r="HX10" s="5">
        <f t="shared" si="117"/>
        <v>0</v>
      </c>
      <c r="HY10" s="5"/>
      <c r="HZ10" s="5"/>
      <c r="IA10" s="5">
        <f t="shared" si="166"/>
        <v>0</v>
      </c>
      <c r="IB10" s="5">
        <f t="shared" si="118"/>
        <v>30</v>
      </c>
      <c r="IC10" s="5">
        <f t="shared" si="118"/>
        <v>247</v>
      </c>
      <c r="ID10" s="5">
        <f t="shared" si="119"/>
        <v>5.286704174441546E-3</v>
      </c>
      <c r="IE10" s="7">
        <f t="shared" si="120"/>
        <v>30</v>
      </c>
      <c r="IF10" s="7">
        <f t="shared" si="120"/>
        <v>247</v>
      </c>
      <c r="IG10" s="5">
        <f t="shared" si="121"/>
        <v>5.286704174441546E-3</v>
      </c>
      <c r="IH10" s="5">
        <f t="shared" si="122"/>
        <v>8.9104937439240348E-2</v>
      </c>
      <c r="II10" s="5">
        <f t="shared" si="123"/>
        <v>1.680016129798647E-2</v>
      </c>
      <c r="IJ10" s="8">
        <f t="shared" si="124"/>
        <v>9.8833042466550322E-3</v>
      </c>
      <c r="IK10" s="8">
        <f t="shared" si="125"/>
        <v>1.1832474226804125E-2</v>
      </c>
      <c r="IL10" s="8">
        <f t="shared" si="126"/>
        <v>1.5228697183098591E-2</v>
      </c>
      <c r="IM10" s="8">
        <f t="shared" si="127"/>
        <v>7.1999999999999998E-3</v>
      </c>
      <c r="IN10" s="8">
        <f t="shared" si="128"/>
        <v>4.5798285714285713E-3</v>
      </c>
      <c r="IO10" s="8">
        <f t="shared" si="129"/>
        <v>1.4188888888888888E-2</v>
      </c>
      <c r="IP10" s="8">
        <f t="shared" si="130"/>
        <v>1.4160000000000001E-2</v>
      </c>
      <c r="IQ10" s="8">
        <f t="shared" si="131"/>
        <v>1.8354545454545457E-2</v>
      </c>
      <c r="IR10" s="81">
        <f t="shared" si="132"/>
        <v>1.6466666666666668E-2</v>
      </c>
      <c r="IS10" s="8">
        <f t="shared" si="133"/>
        <v>6.1947368421052633E-3</v>
      </c>
      <c r="IT10" s="8">
        <f t="shared" si="134"/>
        <v>9.6531669865643002E-3</v>
      </c>
      <c r="IU10" s="8" t="e">
        <f t="shared" si="135"/>
        <v>#DIV/0!</v>
      </c>
      <c r="IV10" s="8">
        <f t="shared" si="136"/>
        <v>1.0023670621074669E-2</v>
      </c>
      <c r="IW10" s="8">
        <f t="shared" si="137"/>
        <v>1.0886546807191567E-2</v>
      </c>
      <c r="IX10" s="8" t="e">
        <f t="shared" si="138"/>
        <v>#DIV/0!</v>
      </c>
      <c r="IY10" s="8">
        <f t="shared" si="139"/>
        <v>1.9308306709265175E-2</v>
      </c>
      <c r="IZ10" s="8">
        <f t="shared" si="140"/>
        <v>8.7636363636363637E-2</v>
      </c>
      <c r="JA10" s="8">
        <f t="shared" si="141"/>
        <v>8.8490090090090096E-2</v>
      </c>
      <c r="JB10" s="8">
        <f t="shared" si="142"/>
        <v>5.6999999999999995E-2</v>
      </c>
      <c r="JC10" s="8">
        <f t="shared" si="143"/>
        <v>2.9642857142857144E-2</v>
      </c>
      <c r="JD10" s="8" t="e">
        <f t="shared" si="144"/>
        <v>#DIV/0!</v>
      </c>
      <c r="JE10" s="8">
        <f t="shared" si="145"/>
        <v>5.48768472906404E-2</v>
      </c>
      <c r="JF10" s="8">
        <f t="shared" si="146"/>
        <v>4.1397368421052634E-2</v>
      </c>
      <c r="JG10" s="8" t="e">
        <f t="shared" si="147"/>
        <v>#DIV/0!</v>
      </c>
      <c r="JH10" s="8">
        <f t="shared" si="148"/>
        <v>1.1761386138613863</v>
      </c>
      <c r="JI10" s="8">
        <f t="shared" si="149"/>
        <v>4.5359999999999998E-2</v>
      </c>
      <c r="JJ10" s="8">
        <f t="shared" si="150"/>
        <v>153.75166666666667</v>
      </c>
      <c r="JK10" s="8">
        <f t="shared" si="151"/>
        <v>6.3033333333333335E-3</v>
      </c>
      <c r="JL10" s="8">
        <f t="shared" si="152"/>
        <v>1.55</v>
      </c>
      <c r="JM10" s="82">
        <f t="shared" si="153"/>
        <v>6.9655555555555568E-2</v>
      </c>
      <c r="JN10" s="8">
        <f t="shared" si="154"/>
        <v>5.7166666666666664E-2</v>
      </c>
      <c r="JO10" s="8">
        <f t="shared" si="155"/>
        <v>3.8100000000000002E-2</v>
      </c>
      <c r="JP10" s="9">
        <f t="shared" si="156"/>
        <v>0.20460810810810812</v>
      </c>
      <c r="JQ10" s="9">
        <f t="shared" si="157"/>
        <v>0.13636842105263158</v>
      </c>
      <c r="JR10" s="9">
        <f t="shared" si="158"/>
        <v>0.37722222222222224</v>
      </c>
      <c r="JS10" s="9">
        <f t="shared" si="159"/>
        <v>8.199999999999999E-2</v>
      </c>
      <c r="JT10" s="9">
        <f t="shared" si="160"/>
        <v>0.29949999999999999</v>
      </c>
      <c r="JU10" s="9">
        <f t="shared" si="161"/>
        <v>0.3604</v>
      </c>
      <c r="JV10" s="9">
        <f t="shared" si="162"/>
        <v>0.23013846153846154</v>
      </c>
      <c r="JW10" s="9">
        <f t="shared" si="163"/>
        <v>8.2333333333333325</v>
      </c>
    </row>
    <row r="11" spans="1:283" s="11" customFormat="1" ht="18" customHeight="1" x14ac:dyDescent="0.15">
      <c r="A11" s="10">
        <v>860</v>
      </c>
      <c r="B11" s="5" t="s">
        <v>595</v>
      </c>
      <c r="C11" s="5" t="s">
        <v>591</v>
      </c>
      <c r="D11" s="55">
        <v>62789.4</v>
      </c>
      <c r="E11" s="56">
        <f>产品销售数量!D8</f>
        <v>4605</v>
      </c>
      <c r="F11" s="6">
        <f>应产率辅助表!C8</f>
        <v>286050</v>
      </c>
      <c r="G11" s="6">
        <f>应产率辅助表!C37</f>
        <v>2831.71</v>
      </c>
      <c r="H11" s="7">
        <f t="shared" si="1"/>
        <v>4.5098535740108997E-2</v>
      </c>
      <c r="I11" s="5">
        <f>产品销售数量!E8+产品销售数量!F8*1.36</f>
        <v>2451.2800000000002</v>
      </c>
      <c r="J11" s="5">
        <f t="shared" si="164"/>
        <v>8.5694109421429818</v>
      </c>
      <c r="K11" s="5">
        <f t="shared" si="2"/>
        <v>-15918.943999999959</v>
      </c>
      <c r="L11" s="5">
        <f t="shared" si="3"/>
        <v>-157.58725018087705</v>
      </c>
      <c r="M11" s="6">
        <f>应产率辅助表!D8</f>
        <v>9400</v>
      </c>
      <c r="N11" s="6">
        <f>应产率辅助表!D37</f>
        <v>111.23</v>
      </c>
      <c r="O11" s="7">
        <f t="shared" si="4"/>
        <v>1.771477351272667E-3</v>
      </c>
      <c r="P11" s="5">
        <f>+产品销售数量!H8</f>
        <v>108</v>
      </c>
      <c r="Q11" s="5">
        <f t="shared" si="5"/>
        <v>11.48936170212766</v>
      </c>
      <c r="R11" s="5">
        <f t="shared" si="6"/>
        <v>357.79999999999927</v>
      </c>
      <c r="S11" s="5">
        <f t="shared" si="7"/>
        <v>4.2338397872340341</v>
      </c>
      <c r="T11" s="6">
        <f>应产率辅助表!E8</f>
        <v>122442</v>
      </c>
      <c r="U11" s="6">
        <f>应产率辅助表!E37</f>
        <v>1864.82</v>
      </c>
      <c r="V11" s="7">
        <f t="shared" si="8"/>
        <v>2.9699598976897373E-2</v>
      </c>
      <c r="W11" s="5">
        <f>+产品销售数量!V8+产品销售数量!CP8</f>
        <v>1044</v>
      </c>
      <c r="X11" s="5">
        <f t="shared" si="9"/>
        <v>8.5264860097025537</v>
      </c>
      <c r="Y11" s="5">
        <f t="shared" si="10"/>
        <v>-18250.800000000003</v>
      </c>
      <c r="Z11" s="5">
        <f t="shared" si="11"/>
        <v>-277.96390826677123</v>
      </c>
      <c r="AA11" s="6">
        <f>应产率辅助表!F8</f>
        <v>91000</v>
      </c>
      <c r="AB11" s="6">
        <f>应产率辅助表!F37</f>
        <v>655.29</v>
      </c>
      <c r="AC11" s="7">
        <f t="shared" si="12"/>
        <v>1.0436315683857465E-2</v>
      </c>
      <c r="AD11" s="5">
        <f>产品销售数量!J8*1.5+产品销售数量!K8*1.5+产品销售数量!L8*1.5+产品销售数量!O8*1.5+产品销售数量!P8*1.5+产品销售数量!S8*1.5+产品销售数量!T8*1.5+产品销售数量!CH8*1.35+产品销售数量!M8*1.5+产品销售数量!CK8*0.89*1.5+产品销售数量!BL8*1.35+产品销售数量!AU8*0.9+产品销售数量!AW8*0.9+产品销售数量!BB8*1.5+产品销售数量!CN8*1.35+产品销售数量!CO8*1.35+产品销售数量!CQ8*1.5+产品销售数量!CX8*1.5+产品销售数量!CY8*1.35+产品销售数量!CZ8*1.35</f>
        <v>11427.300000000001</v>
      </c>
      <c r="AE11" s="5">
        <f t="shared" si="13"/>
        <v>125.57472527472528</v>
      </c>
      <c r="AF11" s="5">
        <f t="shared" si="14"/>
        <v>24415.73000000001</v>
      </c>
      <c r="AG11" s="5">
        <f t="shared" si="15"/>
        <v>175.81740342527479</v>
      </c>
      <c r="AH11" s="6">
        <f t="shared" si="165"/>
        <v>12.08</v>
      </c>
      <c r="AI11" s="6">
        <f>应产率辅助表!G8</f>
        <v>302000</v>
      </c>
      <c r="AJ11" s="6">
        <f>应产率辅助表!G37</f>
        <v>1383.18</v>
      </c>
      <c r="AK11" s="7">
        <f t="shared" si="17"/>
        <v>2.2028877485690261E-2</v>
      </c>
      <c r="AL11" s="5">
        <f>+产品销售数量!J8*1.13+产品销售数量!K8*1.13+产品销售数量!O8*1.13+产品销售数量!U8+产品销售数量!V8*2.6+产品销售数量!W8*2.6+产品销售数量!X8*1.6+产品销售数量!Y8+产品销售数量!AB8*1.74+产品销售数量!BC8*1.19+产品销售数量!BL8*0.98+产品销售数量!BM8*0.74+产品销售数量!BN8*4.495+产品销售数量!BQ8*2.29+产品销售数量!BV8*2.56+产品销售数量!CG8*1.74+产品销售数量!CJ8*0.8+产品销售数量!CK8*1.13+产品销售数量!CM8*1.19+产品销售数量!CO8*0.98+产品销售数量!CP8*2.6+产品销售数量!CQ8*1.13+产品销售数量!CR8*1.4+产品销售数量!CS8*1.4+产品销售数量!CT8*1.4+产品销售数量!CV8*1.13+产品销售数量!CW8*0.98+产品销售数量!CX8*0.378+产品销售数量!CY8*1.19+产品销售数量!DA8*0.87+产品销售数量!DB8*1.5+产品销售数量!DI8*0.595+产品销售数量!DK8*1.74+产品销售数量!DO8*1.11</f>
        <v>11643.024999999998</v>
      </c>
      <c r="AM11" s="5">
        <f t="shared" si="18"/>
        <v>38.553062913907276</v>
      </c>
      <c r="AN11" s="5">
        <f t="shared" si="19"/>
        <v>47872.901249999937</v>
      </c>
      <c r="AO11" s="5">
        <f t="shared" si="20"/>
        <v>219.26105811581098</v>
      </c>
      <c r="AP11" s="6">
        <v>0</v>
      </c>
      <c r="AQ11" s="6">
        <f>应产率辅助表!H37</f>
        <v>22.66</v>
      </c>
      <c r="AR11" s="7">
        <f t="shared" si="21"/>
        <v>3.608889398529051E-4</v>
      </c>
      <c r="AS11" s="5">
        <f>产品销售数量!I8*0.858+产品销售数量!Z8*0.686+产品销售数量!AA8*1.79+产品销售数量!CF8*1.79+产品销售数量!CL8*0.89</f>
        <v>500.86799999999999</v>
      </c>
      <c r="AT11" s="5" t="e">
        <f t="shared" si="22"/>
        <v>#DIV/0!</v>
      </c>
      <c r="AU11" s="5">
        <f t="shared" si="23"/>
        <v>2178.7757999999999</v>
      </c>
      <c r="AV11" s="5" t="e">
        <f t="shared" si="24"/>
        <v>#DIV/0!</v>
      </c>
      <c r="AW11" s="6">
        <f>应产率辅助表!I8</f>
        <v>2348</v>
      </c>
      <c r="AX11" s="6">
        <f>应产率辅助表!I37</f>
        <v>33.32</v>
      </c>
      <c r="AY11" s="7">
        <f t="shared" si="25"/>
        <v>5.3066281888344206E-4</v>
      </c>
      <c r="AZ11" s="5">
        <f>+产品销售数量!I8*0.857+产品销售数量!Z8*0.485+产品销售数量!AA8*1.88+产品销售数量!CF8*1.88+产品销售数量!CL8*0.89</f>
        <v>520.63499999999999</v>
      </c>
      <c r="BA11" s="5">
        <f>AZ11/(AW11/1000)</f>
        <v>221.73551959114141</v>
      </c>
      <c r="BB11" s="5">
        <f t="shared" si="27"/>
        <v>1088.1909999999998</v>
      </c>
      <c r="BC11" s="5">
        <f t="shared" si="28"/>
        <v>15.442301584327085</v>
      </c>
      <c r="BD11" s="6">
        <f>应产率辅助表!J8</f>
        <v>18000</v>
      </c>
      <c r="BE11" s="6">
        <f>应产率辅助表!J37</f>
        <v>330.27</v>
      </c>
      <c r="BF11" s="7">
        <f t="shared" ref="BF11:BF32" si="167">+BE11/D11</f>
        <v>5.2599642614836262E-3</v>
      </c>
      <c r="BG11" s="5">
        <f>+产品销售数量!J8*2+产品销售数量!L8*0.93+产品销售数量!O8*2+产品销售数量!P8*0.93+产品销售数量!U8*1.93+产品销售数量!W8*2+产品销售数量!V8*3.79+产品销售数量!I8*2.678+产品销售数量!CK8*1.32+产品销售数量!CQ8*2</f>
        <v>14719.24</v>
      </c>
      <c r="BH11" s="5">
        <f t="shared" ref="BH11:BH32" si="168">BG11/(BD11/1000)</f>
        <v>817.73555555555549</v>
      </c>
      <c r="BI11" s="5">
        <f t="shared" ref="BI11:BI32" si="169">BG11*$BI$3-BD11</f>
        <v>2606.9359999999979</v>
      </c>
      <c r="BJ11" s="5">
        <f t="shared" ref="BJ11:BJ32" si="170">BE11/BD11*BI11</f>
        <v>47.832930706666623</v>
      </c>
      <c r="BK11" s="6">
        <f>应产率辅助表!K8</f>
        <v>5200</v>
      </c>
      <c r="BL11" s="6">
        <f>应产率辅助表!K37</f>
        <v>83.05</v>
      </c>
      <c r="BM11" s="7">
        <f t="shared" si="33"/>
        <v>1.3226754834414726E-3</v>
      </c>
      <c r="BN11" s="5">
        <f>产品销售数量!K8*1.125+产品销售数量!Y8*4.12+产品销售数量!X8*5.5+产品销售数量!AA8*13.25+产品销售数量!AB8*13.25+产品销售数量!BN8*6.87+产品销售数量!BV8+产品销售数量!CF8*13.25+产品销售数量!CG8*13.25+产品销售数量!CJ8*6.63+产品销售数量!CL8*6.63+产品销售数量!CR8*2.25+产品销售数量!CS8*2.25+产品销售数量!CT8*2.25+产品销售数量!CV8*0.75+产品销售数量!DA8*6.63+产品销售数量!DJ8*13.25+产品销售数量!DK8*13.25</f>
        <v>6435.4049999999997</v>
      </c>
      <c r="BO11" s="5">
        <f t="shared" si="0"/>
        <v>1237.5778846153846</v>
      </c>
      <c r="BP11" s="5">
        <f t="shared" si="34"/>
        <v>-51.675999999999476</v>
      </c>
      <c r="BQ11" s="5">
        <f t="shared" si="35"/>
        <v>-0.82532534615383779</v>
      </c>
      <c r="BR11" s="6">
        <f>应产率辅助表!L8</f>
        <v>16240</v>
      </c>
      <c r="BS11" s="6">
        <f>应产率辅助表!L37</f>
        <v>100.53</v>
      </c>
      <c r="BT11" s="7">
        <f t="shared" ref="BT11:BT32" si="171">+BS11/D11</f>
        <v>1.6010664220393888E-3</v>
      </c>
      <c r="BU11" s="5">
        <f>产品销售数量!O8+产品销售数量!P8+产品销售数量!CI8*1.5+产品销售数量!CK8*0.89+产品销售数量!M8*1.34</f>
        <v>2202.36</v>
      </c>
      <c r="BV11" s="5">
        <f t="shared" ref="BV11:BV32" si="172">BU11/(BR11/1000)</f>
        <v>135.61330049261085</v>
      </c>
      <c r="BW11" s="5">
        <f t="shared" ref="BW11:BW32" si="173">BU11*$BW$3-BR11</f>
        <v>6003.8359999999993</v>
      </c>
      <c r="BX11" s="5">
        <f t="shared" ref="BX11:BX32" si="174">BS11/BR11*BW11</f>
        <v>37.165371495073892</v>
      </c>
      <c r="BY11" s="6">
        <f>应产率辅助表!M8</f>
        <v>128100</v>
      </c>
      <c r="BZ11" s="6">
        <f>应产率辅助表!M37</f>
        <v>1240.58</v>
      </c>
      <c r="CA11" s="7">
        <f t="shared" si="40"/>
        <v>1.9757793512917784E-2</v>
      </c>
      <c r="CB11" s="5">
        <f>+产品销售数量!J8+产品销售数量!K8+产品销售数量!L8+产品销售数量!O8+产品销售数量!P8+产品销售数量!S8+产品销售数量!T8+产品销售数量!AU8*0.9+产品销售数量!AW8*0.9+产品销售数量!BL8*0.9+产品销售数量!CH8*0.9+产品销售数量!CK8*0.9+产品销售数量!CN8*0.9+产品销售数量!CO8*0.9+产品销售数量!CQ8+产品销售数量!CV8+产品销售数量!CW8*0.9+产品销售数量!DB8</f>
        <v>7229.2000000000007</v>
      </c>
      <c r="CC11" s="5">
        <f t="shared" si="41"/>
        <v>56.434035909445754</v>
      </c>
      <c r="CD11" s="5">
        <f t="shared" si="42"/>
        <v>-18577.619999999981</v>
      </c>
      <c r="CE11" s="5">
        <f t="shared" si="43"/>
        <v>-179.91431553161573</v>
      </c>
      <c r="CF11" s="6">
        <f>应产率辅助表!N8</f>
        <v>0</v>
      </c>
      <c r="CG11" s="6">
        <f>应产率辅助表!N37</f>
        <v>0</v>
      </c>
      <c r="CH11" s="7">
        <f t="shared" si="44"/>
        <v>0</v>
      </c>
      <c r="CI11" s="5">
        <f>产品销售数量!P8+产品销售数量!Z8*1.4+产品销售数量!L8</f>
        <v>239.2</v>
      </c>
      <c r="CJ11" s="5" t="e">
        <f t="shared" si="45"/>
        <v>#DIV/0!</v>
      </c>
      <c r="CK11" s="5">
        <f t="shared" si="46"/>
        <v>109522.38000000002</v>
      </c>
      <c r="CL11" s="5" t="e">
        <f t="shared" si="47"/>
        <v>#DIV/0!</v>
      </c>
      <c r="CM11" s="6">
        <f>应产率辅助表!O8</f>
        <v>329208</v>
      </c>
      <c r="CN11" s="6">
        <f>应产率辅助表!O37</f>
        <v>3398.07</v>
      </c>
      <c r="CO11" s="7">
        <f t="shared" si="48"/>
        <v>5.4118529560722037E-2</v>
      </c>
      <c r="CP11" s="5">
        <f>+产品销售数量!AE8*1.04+产品销售数量!AD8*1.279+产品销售数量!BW8*1.04+产品销售数量!BX8*1.279</f>
        <v>4277.7199999999993</v>
      </c>
      <c r="CQ11" s="5">
        <f t="shared" si="49"/>
        <v>12.993973414983836</v>
      </c>
      <c r="CR11" s="5">
        <f t="shared" si="50"/>
        <v>-140132.77600000001</v>
      </c>
      <c r="CS11" s="5">
        <f t="shared" si="51"/>
        <v>-1446.4441390923673</v>
      </c>
      <c r="CT11" s="6">
        <f>应产率辅助表!P8</f>
        <v>11565.34</v>
      </c>
      <c r="CU11" s="6">
        <f>应产率辅助表!P37</f>
        <v>140.34</v>
      </c>
      <c r="CV11" s="7">
        <f t="shared" si="52"/>
        <v>-8.8159114071888409E-3</v>
      </c>
      <c r="CW11" s="5">
        <f>+产品销售数量!AC8*1.08+产品销售数量!AH8*1+产品销售数量!AG8*1.45+产品销售数量!BG8*0.834+产品销售数量!CU8*0.834+产品销售数量!DM8*1.19</f>
        <v>158.91999999999999</v>
      </c>
      <c r="CX11" s="5">
        <f t="shared" si="53"/>
        <v>13.741057331647836</v>
      </c>
      <c r="CY11" s="5">
        <f t="shared" si="54"/>
        <v>-4541.076</v>
      </c>
      <c r="CZ11" s="5">
        <f t="shared" si="55"/>
        <v>-55.103836622183181</v>
      </c>
      <c r="DA11" s="6">
        <f>应产率辅助表!Q8</f>
        <v>0</v>
      </c>
      <c r="DB11" s="6">
        <f>应产率辅助表!Q37</f>
        <v>0</v>
      </c>
      <c r="DC11" s="7">
        <f t="shared" si="56"/>
        <v>0</v>
      </c>
      <c r="DD11" s="5">
        <f>产品销售数量!AJ8*2+产品销售数量!AK8*1.38+产品销售数量!AL8+产品销售数量!BT8*1.38+产品销售数量!BU8*2</f>
        <v>0</v>
      </c>
      <c r="DE11" s="5" t="e">
        <f t="shared" si="57"/>
        <v>#DIV/0!</v>
      </c>
      <c r="DF11" s="5">
        <f t="shared" si="58"/>
        <v>0</v>
      </c>
      <c r="DG11" s="5" t="e">
        <f t="shared" si="59"/>
        <v>#DIV/0!</v>
      </c>
      <c r="DH11" s="6">
        <f>应产率辅助表!R8</f>
        <v>7196</v>
      </c>
      <c r="DI11" s="6">
        <f>应产率辅助表!R37</f>
        <v>138.94</v>
      </c>
      <c r="DJ11" s="7">
        <f t="shared" si="60"/>
        <v>2.2127938792216519E-3</v>
      </c>
      <c r="DK11" s="5">
        <f>+产品销售数量!AM8*1.375+产品销售数量!AN8+产品销售数量!AO8*0.75+产品销售数量!BR8*0.57</f>
        <v>136.01499999999999</v>
      </c>
      <c r="DL11" s="5">
        <f t="shared" si="61"/>
        <v>18.901473040578097</v>
      </c>
      <c r="DM11" s="5">
        <f t="shared" si="62"/>
        <v>-1184.1370000000006</v>
      </c>
      <c r="DN11" s="5">
        <f t="shared" si="63"/>
        <v>-22.8632566397999</v>
      </c>
      <c r="DO11" s="6">
        <f>应产率辅助表!S8+应产率辅助表!T8</f>
        <v>1827</v>
      </c>
      <c r="DP11" s="6">
        <f>应产率辅助表!S37+应产率辅助表!T37</f>
        <v>155.22999999999999</v>
      </c>
      <c r="DQ11" s="7">
        <f t="shared" si="64"/>
        <v>2.4722325742880164E-3</v>
      </c>
      <c r="DR11" s="5">
        <f>+产品销售数量!Y8+产品销售数量!X8+产品销售数量!AB8*3+产品销售数量!CG8*3+产品销售数量!CJ8*2+产品销售数量!BN8*2+产品销售数量!CR8+产品销售数量!CS8+产品销售数量!CT8+产品销售数量!BM8+产品销售数量!AA8+产品销售数量!CF8</f>
        <v>926</v>
      </c>
      <c r="DS11" s="5">
        <f t="shared" si="65"/>
        <v>1.9730021598272138</v>
      </c>
      <c r="DT11" s="5">
        <f t="shared" si="66"/>
        <v>-901</v>
      </c>
      <c r="DU11" s="5">
        <f t="shared" si="67"/>
        <v>-76.552944718117132</v>
      </c>
      <c r="DV11" s="6">
        <f>应产率辅助表!U8</f>
        <v>4847</v>
      </c>
      <c r="DW11" s="6">
        <f>应产率辅助表!U37</f>
        <v>429.68</v>
      </c>
      <c r="DX11" s="7">
        <f t="shared" si="68"/>
        <v>6.8431932778462608E-3</v>
      </c>
      <c r="DY11" s="5">
        <f>+产品销售数量!E8+产品销售数量!F8*2+产品销售数量!G8+产品销售数量!CY8+产品销售数量!DE8+产品销售数量!DH8</f>
        <v>5044</v>
      </c>
      <c r="DZ11" s="5">
        <f t="shared" si="69"/>
        <v>0.96094369547977798</v>
      </c>
      <c r="EA11" s="5">
        <f t="shared" si="70"/>
        <v>197</v>
      </c>
      <c r="EB11" s="5">
        <f t="shared" si="71"/>
        <v>17.463783783783782</v>
      </c>
      <c r="EC11" s="6">
        <f>应产率辅助表!V8</f>
        <v>146</v>
      </c>
      <c r="ED11" s="6">
        <f>应产率辅助表!V37</f>
        <v>8.1199999999999992</v>
      </c>
      <c r="EE11" s="7">
        <f t="shared" si="72"/>
        <v>1.2932119115646908E-4</v>
      </c>
      <c r="EF11" s="5">
        <f>+产品销售数量!AS8</f>
        <v>14</v>
      </c>
      <c r="EG11" s="94">
        <f t="shared" si="73"/>
        <v>10.428571428571429</v>
      </c>
      <c r="EH11" s="5">
        <f t="shared" si="74"/>
        <v>-132</v>
      </c>
      <c r="EI11" s="5">
        <f t="shared" si="75"/>
        <v>-7.3413698630136981</v>
      </c>
      <c r="EJ11" s="6">
        <f>应产率辅助表!W8</f>
        <v>4637</v>
      </c>
      <c r="EK11" s="6">
        <f>应产率辅助表!W37</f>
        <v>130.55000000000001</v>
      </c>
      <c r="EL11" s="7">
        <f t="shared" si="76"/>
        <v>2.0791725991966799E-3</v>
      </c>
      <c r="EM11" s="5">
        <f>+产品销售数量!AD8+产品销售数量!AE8+产品销售数量!AF8+产品销售数量!AG8+产品销售数量!AH8+产品销售数量!AI8+产品销售数量!AJ8+产品销售数量!AK8+产品销售数量!AL8+产品销售数量!AM8+产品销售数量!AN8+产品销售数量!AO8+产品销售数量!AQ8+产品销售数量!AP8+产品销售数量!AR8+产品销售数量!BR8+产品销售数量!AS8+产品销售数量!CA8+产品销售数量!BE8+产品销售数量!BF8</f>
        <v>4413</v>
      </c>
      <c r="EN11" s="5">
        <f t="shared" si="77"/>
        <v>1.0507591207795151</v>
      </c>
      <c r="EO11" s="5">
        <f t="shared" si="78"/>
        <v>-224</v>
      </c>
      <c r="EP11" s="5">
        <f t="shared" si="79"/>
        <v>-6.3064912659046808</v>
      </c>
      <c r="EQ11" s="6">
        <f>应产率辅助表!X8</f>
        <v>0</v>
      </c>
      <c r="ER11" s="6">
        <f>应产率辅助表!X37</f>
        <v>0</v>
      </c>
      <c r="ES11" s="7">
        <f t="shared" si="80"/>
        <v>0</v>
      </c>
      <c r="ET11" s="5">
        <f>+产品销售数量!AQ8+产品销售数量!AP8+产品销售数量!AR8+产品销售数量!BR8+产品销售数量!AS8+产品销售数量!CA8+产品销售数量!BE8+产品销售数量!BF8</f>
        <v>182</v>
      </c>
      <c r="EU11" s="5">
        <f t="shared" si="81"/>
        <v>0</v>
      </c>
      <c r="EV11" s="5">
        <f t="shared" si="82"/>
        <v>182</v>
      </c>
      <c r="EW11" s="5" t="e">
        <f t="shared" si="83"/>
        <v>#DIV/0!</v>
      </c>
      <c r="EX11" s="6">
        <f>应产率辅助表!Y8</f>
        <v>110</v>
      </c>
      <c r="EY11" s="6">
        <f>应产率辅助表!Y37</f>
        <v>6.07</v>
      </c>
      <c r="EZ11" s="7">
        <f t="shared" si="84"/>
        <v>9.6672368265981199E-5</v>
      </c>
      <c r="FA11" s="5">
        <f>产品销售数量!H8</f>
        <v>108</v>
      </c>
      <c r="FB11" s="5">
        <f t="shared" si="85"/>
        <v>1.0185185185185186</v>
      </c>
      <c r="FC11" s="5">
        <f t="shared" si="86"/>
        <v>-2</v>
      </c>
      <c r="FD11" s="5">
        <f t="shared" si="87"/>
        <v>-0.11036363636363637</v>
      </c>
      <c r="FE11" s="6">
        <f>应产率辅助表!Z8</f>
        <v>7647</v>
      </c>
      <c r="FF11" s="6">
        <f>应产率辅助表!Z37</f>
        <v>316.63</v>
      </c>
      <c r="FG11" s="7">
        <f t="shared" si="88"/>
        <v>5.0427301423488675E-3</v>
      </c>
      <c r="FH11" s="5">
        <f>+产品销售数量!J8+产品销售数量!K8+产品销售数量!L8+产品销售数量!M8+产品销售数量!O8+产品销售数量!P8+产品销售数量!S8+产品销售数量!T8+产品销售数量!BQ8+产品销售数量!BS8+产品销售数量!CC8+产品销售数量!CH8+产品销售数量!CI8+产品销售数量!CJ8+产品销售数量!CK8+产品销售数量!CL8+产品销售数量!BL8+产品销售数量!AU8++产品销售数量!AW8+产品销售数量!BQ8+产品销售数量!CN8+产品销售数量!CO8+产品销售数量!CQ8+产品销售数量!CX8+产品销售数量!CY8+产品销售数量!CM8</f>
        <v>8141</v>
      </c>
      <c r="FI11" s="5">
        <f t="shared" si="89"/>
        <v>0.93931949391966585</v>
      </c>
      <c r="FJ11" s="5">
        <f t="shared" si="90"/>
        <v>494</v>
      </c>
      <c r="FK11" s="5">
        <f t="shared" si="91"/>
        <v>20.45445534196417</v>
      </c>
      <c r="FL11" s="6">
        <f>应产率辅助表!AA8</f>
        <v>0</v>
      </c>
      <c r="FM11" s="6">
        <f>应产率辅助表!AA37</f>
        <v>0</v>
      </c>
      <c r="FN11" s="7">
        <f t="shared" si="92"/>
        <v>0</v>
      </c>
      <c r="FO11" s="5">
        <f>+产品销售数量!R8+产品销售数量!CE8</f>
        <v>0</v>
      </c>
      <c r="FP11" s="5" t="e">
        <f t="shared" si="93"/>
        <v>#DIV/0!</v>
      </c>
      <c r="FQ11" s="5">
        <f t="shared" si="94"/>
        <v>0</v>
      </c>
      <c r="FR11" s="5" t="e">
        <f t="shared" si="95"/>
        <v>#DIV/0!</v>
      </c>
      <c r="FS11" s="6">
        <f>应产率辅助表!AB8</f>
        <v>201</v>
      </c>
      <c r="FT11" s="5">
        <f t="shared" si="96"/>
        <v>10050</v>
      </c>
      <c r="FU11" s="6">
        <f>应产率辅助表!AB37</f>
        <v>235.04</v>
      </c>
      <c r="FV11" s="7">
        <f t="shared" si="97"/>
        <v>3.7433069913074498E-3</v>
      </c>
      <c r="FW11" s="5">
        <f t="shared" si="98"/>
        <v>2.1824104234527688</v>
      </c>
      <c r="FX11" s="6">
        <f>应产率辅助表!AC8</f>
        <v>2438</v>
      </c>
      <c r="FY11" s="6">
        <f>应产率辅助表!AC37</f>
        <v>110.59</v>
      </c>
      <c r="FZ11" s="7">
        <f t="shared" si="99"/>
        <v>1.7612845480288073E-3</v>
      </c>
      <c r="GA11" s="94">
        <f t="shared" si="100"/>
        <v>0.52942453854505966</v>
      </c>
      <c r="GB11" s="6">
        <f>应产率辅助表!AD8</f>
        <v>19</v>
      </c>
      <c r="GC11" s="6">
        <f>应产率辅助表!AD37</f>
        <v>2937.78</v>
      </c>
      <c r="GD11" s="7">
        <f t="shared" si="101"/>
        <v>4.678783361522805E-2</v>
      </c>
      <c r="GE11" s="6">
        <f>应产率辅助表!AE8</f>
        <v>6000</v>
      </c>
      <c r="GF11" s="6">
        <f>应产率辅助表!AE37</f>
        <v>37.81</v>
      </c>
      <c r="GG11" s="7">
        <f t="shared" si="102"/>
        <v>6.0217170414114489E-4</v>
      </c>
      <c r="GH11" s="6">
        <f>应产率辅助表!AF8</f>
        <v>125</v>
      </c>
      <c r="GI11" s="6">
        <f>应产率辅助表!AF37</f>
        <v>193.75</v>
      </c>
      <c r="GJ11" s="7">
        <f t="shared" si="103"/>
        <v>3.0857119195278181E-3</v>
      </c>
      <c r="GK11" s="6">
        <f>应产率辅助表!AG8</f>
        <v>623</v>
      </c>
      <c r="GL11" s="6">
        <f>应产率辅助表!AG37</f>
        <v>48.820000000000007</v>
      </c>
      <c r="GM11" s="7">
        <f t="shared" si="104"/>
        <v>7.7751977244566771E-4</v>
      </c>
      <c r="GN11" s="6"/>
      <c r="GO11" s="6">
        <f>应产率辅助表!AH8</f>
        <v>0</v>
      </c>
      <c r="GP11" s="6">
        <f>应产率辅助表!AH37</f>
        <v>0</v>
      </c>
      <c r="GQ11" s="7">
        <f t="shared" si="105"/>
        <v>0</v>
      </c>
      <c r="GR11" s="6">
        <f>应产率辅助表!AI8</f>
        <v>5357</v>
      </c>
      <c r="GS11" s="6">
        <f>应产率辅助表!AI37</f>
        <v>204.1</v>
      </c>
      <c r="GT11" s="7">
        <f t="shared" si="106"/>
        <v>3.2505486594871106E-3</v>
      </c>
      <c r="GU11" s="72">
        <f>应产率辅助表!AJ8</f>
        <v>0</v>
      </c>
      <c r="GV11" s="72">
        <f>应产率辅助表!AJ37</f>
        <v>0.01</v>
      </c>
      <c r="GW11" s="7">
        <f t="shared" si="107"/>
        <v>1.5926255068530675E-7</v>
      </c>
      <c r="GX11" s="72">
        <f>应产率辅助表!AK8</f>
        <v>875</v>
      </c>
      <c r="GY11" s="72">
        <f>应产率辅助表!AK37</f>
        <v>119.12</v>
      </c>
      <c r="GZ11" s="7">
        <f t="shared" si="108"/>
        <v>1.897135503763374E-3</v>
      </c>
      <c r="HA11" s="72">
        <f>应产率辅助表!AL8</f>
        <v>0</v>
      </c>
      <c r="HB11" s="72">
        <f>应产率辅助表!AL37</f>
        <v>0</v>
      </c>
      <c r="HC11" s="7">
        <f t="shared" si="109"/>
        <v>0</v>
      </c>
      <c r="HD11" s="72">
        <f>应产率辅助表!AM8</f>
        <v>309</v>
      </c>
      <c r="HE11" s="72">
        <f>应产率辅助表!AM37</f>
        <v>25.36</v>
      </c>
      <c r="HF11" s="7">
        <f t="shared" si="110"/>
        <v>4.0388982853793791E-4</v>
      </c>
      <c r="HG11" s="72">
        <f>应产率辅助表!AN8</f>
        <v>328</v>
      </c>
      <c r="HH11" s="72">
        <f>应产率辅助表!AN37</f>
        <v>98.2</v>
      </c>
      <c r="HI11" s="7">
        <f t="shared" si="111"/>
        <v>1.5639582477297125E-3</v>
      </c>
      <c r="HJ11" s="72">
        <f>应产率辅助表!AO8</f>
        <v>88</v>
      </c>
      <c r="HK11" s="72">
        <f>应产率辅助表!AO37</f>
        <v>31.72</v>
      </c>
      <c r="HL11" s="7">
        <f t="shared" si="112"/>
        <v>5.0518081077379298E-4</v>
      </c>
      <c r="HM11" s="72">
        <f>应产率辅助表!AP8</f>
        <v>3574</v>
      </c>
      <c r="HN11" s="72">
        <f>应产率辅助表!AP37</f>
        <v>814.7</v>
      </c>
      <c r="HO11" s="7">
        <f t="shared" si="113"/>
        <v>1.2975120004331942E-2</v>
      </c>
      <c r="HP11" s="6">
        <f>产品销售数量!DP8</f>
        <v>20</v>
      </c>
      <c r="HQ11" s="6">
        <v>143</v>
      </c>
      <c r="HR11" s="5">
        <f t="shared" si="115"/>
        <v>2.2774544747998864E-3</v>
      </c>
      <c r="HS11" s="6">
        <v>0</v>
      </c>
      <c r="HT11" s="6">
        <v>0</v>
      </c>
      <c r="HU11" s="5">
        <f t="shared" si="116"/>
        <v>0</v>
      </c>
      <c r="HV11" s="6">
        <v>0</v>
      </c>
      <c r="HW11" s="6">
        <v>0</v>
      </c>
      <c r="HX11" s="5">
        <f t="shared" si="117"/>
        <v>0</v>
      </c>
      <c r="HY11" s="5"/>
      <c r="HZ11" s="5"/>
      <c r="IA11" s="5">
        <f t="shared" si="166"/>
        <v>0</v>
      </c>
      <c r="IB11" s="5">
        <f t="shared" si="118"/>
        <v>20</v>
      </c>
      <c r="IC11" s="5">
        <f t="shared" si="118"/>
        <v>143</v>
      </c>
      <c r="ID11" s="5">
        <f t="shared" si="119"/>
        <v>2.2774544747998864E-3</v>
      </c>
      <c r="IE11" s="7">
        <f t="shared" si="120"/>
        <v>20</v>
      </c>
      <c r="IF11" s="7">
        <f t="shared" si="120"/>
        <v>143</v>
      </c>
      <c r="IG11" s="5">
        <f t="shared" si="121"/>
        <v>2.2774544747998864E-3</v>
      </c>
      <c r="IH11" s="5">
        <f t="shared" si="122"/>
        <v>0.11813299697082627</v>
      </c>
      <c r="II11" s="5">
        <f t="shared" si="123"/>
        <v>1.9836947000608382E-2</v>
      </c>
      <c r="IJ11" s="8">
        <f t="shared" si="124"/>
        <v>9.8993532599195942E-3</v>
      </c>
      <c r="IK11" s="8">
        <f t="shared" si="125"/>
        <v>1.1832978723404256E-2</v>
      </c>
      <c r="IL11" s="8">
        <f t="shared" si="126"/>
        <v>1.5230231456526355E-2</v>
      </c>
      <c r="IM11" s="8">
        <f t="shared" si="127"/>
        <v>7.2009890109890106E-3</v>
      </c>
      <c r="IN11" s="8">
        <f t="shared" si="128"/>
        <v>4.5800662251655631E-3</v>
      </c>
      <c r="IO11" s="8" t="e">
        <f t="shared" si="129"/>
        <v>#DIV/0!</v>
      </c>
      <c r="IP11" s="8">
        <f t="shared" si="130"/>
        <v>1.4190800681431005E-2</v>
      </c>
      <c r="IQ11" s="8">
        <f t="shared" si="131"/>
        <v>1.8348333333333331E-2</v>
      </c>
      <c r="IR11" s="8">
        <f t="shared" si="132"/>
        <v>1.5971153846153847E-2</v>
      </c>
      <c r="IS11" s="8">
        <f t="shared" si="133"/>
        <v>6.1902709359605915E-3</v>
      </c>
      <c r="IT11" s="8">
        <f t="shared" si="134"/>
        <v>9.6844652615144418E-3</v>
      </c>
      <c r="IU11" s="8" t="e">
        <f t="shared" si="135"/>
        <v>#DIV/0!</v>
      </c>
      <c r="IV11" s="8">
        <f t="shared" si="136"/>
        <v>1.0321954509003427E-2</v>
      </c>
      <c r="IW11" s="8">
        <f t="shared" si="137"/>
        <v>1.2134533009838017E-2</v>
      </c>
      <c r="IX11" s="8" t="e">
        <f t="shared" si="138"/>
        <v>#DIV/0!</v>
      </c>
      <c r="IY11" s="8">
        <f t="shared" si="139"/>
        <v>1.9307948860478041E-2</v>
      </c>
      <c r="IZ11" s="8">
        <f t="shared" si="140"/>
        <v>8.4964422550629443E-2</v>
      </c>
      <c r="JA11" s="8">
        <f t="shared" si="141"/>
        <v>8.8648648648648645E-2</v>
      </c>
      <c r="JB11" s="8">
        <f t="shared" si="142"/>
        <v>5.561643835616438E-2</v>
      </c>
      <c r="JC11" s="8">
        <f t="shared" si="143"/>
        <v>2.8153978865645895E-2</v>
      </c>
      <c r="JD11" s="8" t="e">
        <f t="shared" si="144"/>
        <v>#DIV/0!</v>
      </c>
      <c r="JE11" s="8">
        <f t="shared" si="145"/>
        <v>5.5181818181818186E-2</v>
      </c>
      <c r="JF11" s="8">
        <f t="shared" si="146"/>
        <v>4.1405780044461882E-2</v>
      </c>
      <c r="JG11" s="8" t="e">
        <f t="shared" si="147"/>
        <v>#DIV/0!</v>
      </c>
      <c r="JH11" s="8">
        <f t="shared" si="148"/>
        <v>1.1693532338308457</v>
      </c>
      <c r="JI11" s="8">
        <f t="shared" si="149"/>
        <v>4.5360951599671864E-2</v>
      </c>
      <c r="JJ11" s="8">
        <f t="shared" si="150"/>
        <v>154.62</v>
      </c>
      <c r="JK11" s="8">
        <f t="shared" si="151"/>
        <v>6.3016666666666672E-3</v>
      </c>
      <c r="JL11" s="8">
        <f t="shared" si="152"/>
        <v>1.55</v>
      </c>
      <c r="JM11" s="8">
        <f t="shared" si="153"/>
        <v>7.8362760834670961E-2</v>
      </c>
      <c r="JN11" s="8" t="e">
        <f t="shared" si="154"/>
        <v>#DIV/0!</v>
      </c>
      <c r="JO11" s="8">
        <f t="shared" si="155"/>
        <v>3.8099682658204216E-2</v>
      </c>
      <c r="JP11" s="9" t="e">
        <f t="shared" si="156"/>
        <v>#DIV/0!</v>
      </c>
      <c r="JQ11" s="9">
        <f t="shared" si="157"/>
        <v>0.13613714285714287</v>
      </c>
      <c r="JR11" s="9" t="e">
        <f t="shared" si="158"/>
        <v>#DIV/0!</v>
      </c>
      <c r="JS11" s="9">
        <f t="shared" si="159"/>
        <v>8.207119741100323E-2</v>
      </c>
      <c r="JT11" s="9">
        <f t="shared" si="160"/>
        <v>0.29939024390243901</v>
      </c>
      <c r="JU11" s="9">
        <f t="shared" si="161"/>
        <v>0.36045454545454542</v>
      </c>
      <c r="JV11" s="9">
        <f t="shared" si="162"/>
        <v>0.22795187465025182</v>
      </c>
      <c r="JW11" s="9">
        <f t="shared" si="163"/>
        <v>7.15</v>
      </c>
    </row>
    <row r="12" spans="1:283" s="11" customFormat="1" ht="18" customHeight="1" x14ac:dyDescent="0.15">
      <c r="A12" s="10">
        <v>861</v>
      </c>
      <c r="B12" s="5" t="s">
        <v>596</v>
      </c>
      <c r="C12" s="5" t="s">
        <v>592</v>
      </c>
      <c r="D12" s="55">
        <v>51004.06</v>
      </c>
      <c r="E12" s="56">
        <f>产品销售数量!D9</f>
        <v>2814</v>
      </c>
      <c r="F12" s="6">
        <f>应产率辅助表!C9</f>
        <v>183800</v>
      </c>
      <c r="G12" s="6">
        <f>应产率辅助表!C38</f>
        <v>1816.57</v>
      </c>
      <c r="H12" s="7">
        <f t="shared" si="1"/>
        <v>3.5616184280231812E-2</v>
      </c>
      <c r="I12" s="5">
        <f>产品销售数量!E9+产品销售数量!F9*1.36</f>
        <v>1572.88</v>
      </c>
      <c r="J12" s="5">
        <f t="shared" si="164"/>
        <v>8.5575625680087057</v>
      </c>
      <c r="K12" s="5">
        <f t="shared" si="2"/>
        <v>-10468.623999999982</v>
      </c>
      <c r="L12" s="5">
        <f t="shared" si="3"/>
        <v>-103.46565995473321</v>
      </c>
      <c r="M12" s="6">
        <f>应产率辅助表!D9</f>
        <v>11896</v>
      </c>
      <c r="N12" s="6">
        <f>应产率辅助表!D38</f>
        <v>140.78</v>
      </c>
      <c r="O12" s="7">
        <f t="shared" si="4"/>
        <v>2.7601724254892653E-3</v>
      </c>
      <c r="P12" s="5">
        <f>+产品销售数量!H9</f>
        <v>138</v>
      </c>
      <c r="Q12" s="5">
        <f t="shared" si="5"/>
        <v>11.600537995965029</v>
      </c>
      <c r="R12" s="5">
        <f t="shared" si="6"/>
        <v>572.29999999999927</v>
      </c>
      <c r="S12" s="5">
        <f t="shared" si="7"/>
        <v>6.7727298251513028</v>
      </c>
      <c r="T12" s="6">
        <f>应产率辅助表!E9</f>
        <v>84600</v>
      </c>
      <c r="U12" s="6">
        <f>应产率辅助表!E38</f>
        <v>1285.9100000000001</v>
      </c>
      <c r="V12" s="7">
        <f t="shared" si="8"/>
        <v>2.521191450249255E-2</v>
      </c>
      <c r="W12" s="5">
        <f>+产品销售数量!V9+产品销售数量!CP9</f>
        <v>807</v>
      </c>
      <c r="X12" s="5">
        <f t="shared" si="9"/>
        <v>9.5390070921985828</v>
      </c>
      <c r="Y12" s="5">
        <f t="shared" si="10"/>
        <v>-4061.4000000000087</v>
      </c>
      <c r="Z12" s="5">
        <f t="shared" si="11"/>
        <v>-61.732799929078148</v>
      </c>
      <c r="AA12" s="6">
        <f>应产率辅助表!F9</f>
        <v>61800</v>
      </c>
      <c r="AB12" s="6">
        <f>应产率辅助表!F38</f>
        <v>445.05</v>
      </c>
      <c r="AC12" s="7">
        <f t="shared" si="12"/>
        <v>8.7257759480323729E-3</v>
      </c>
      <c r="AD12" s="5">
        <f>产品销售数量!J9*1.5+产品销售数量!K9*1.5+产品销售数量!L9*1.5+产品销售数量!O9*1.5+产品销售数量!P9*1.5+产品销售数量!S9*1.5+产品销售数量!T9*1.5+产品销售数量!CH9*1.35+产品销售数量!M9*1.5+产品销售数量!CK9*0.89*1.5+产品销售数量!BL9*1.35+产品销售数量!AU9*0.9+产品销售数量!AW9*0.9+产品销售数量!BB9*1.5+产品销售数量!CN9*1.35+产品销售数量!CO9*1.35+产品销售数量!CQ9*1.5+产品销售数量!CX9*1.5+产品销售数量!CY9*1.35+产品销售数量!CZ9*1.35</f>
        <v>5993.2500000000009</v>
      </c>
      <c r="AE12" s="5">
        <f t="shared" si="13"/>
        <v>96.978155339805838</v>
      </c>
      <c r="AF12" s="5">
        <f t="shared" si="14"/>
        <v>-1268.1749999999956</v>
      </c>
      <c r="AG12" s="5">
        <f t="shared" si="15"/>
        <v>-9.1327068567960854</v>
      </c>
      <c r="AH12" s="6">
        <f t="shared" si="165"/>
        <v>6.16</v>
      </c>
      <c r="AI12" s="6">
        <f>应产率辅助表!G9</f>
        <v>154000</v>
      </c>
      <c r="AJ12" s="6">
        <f>应产率辅助表!G38</f>
        <v>705.31</v>
      </c>
      <c r="AK12" s="7">
        <f t="shared" si="17"/>
        <v>1.3828506985522328E-2</v>
      </c>
      <c r="AL12" s="5">
        <f>+产品销售数量!J9*1.13+产品销售数量!K9*1.13+产品销售数量!O9*1.13+产品销售数量!U9+产品销售数量!V9*2.6+产品销售数量!W9*2.6+产品销售数量!X9*1.6+产品销售数量!Y9+产品销售数量!AB9*1.74+产品销售数量!BC9*1.19+产品销售数量!BL9*0.98+产品销售数量!BM9*0.74+产品销售数量!BN9*4.495+产品销售数量!BQ9*2.29+产品销售数量!BV9*2.56+产品销售数量!CG9*1.74+产品销售数量!CJ9*0.8+产品销售数量!CK9*1.13+产品销售数量!CM9*1.19+产品销售数量!CO9*0.98+产品销售数量!CP9*2.6+产品销售数量!CQ9*1.13+产品销售数量!CR9*1.4+产品销售数量!CS9*1.4+产品销售数量!CT9*1.4+产品销售数量!CV9*1.13+产品销售数量!CW9*0.98+产品销售数量!CX9*0.378+产品销售数量!CY9*1.19+产品销售数量!DA9*0.87+产品销售数量!DB9*1.5+产品销售数量!DI9*0.595+产品销售数量!DK9*1.74+产品销售数量!DO9*1.11</f>
        <v>6712.1449999999995</v>
      </c>
      <c r="AM12" s="5">
        <f t="shared" si="18"/>
        <v>43.585357142857141</v>
      </c>
      <c r="AN12" s="5">
        <f t="shared" si="19"/>
        <v>47699.957249999978</v>
      </c>
      <c r="AO12" s="5">
        <f t="shared" si="20"/>
        <v>218.46270680517844</v>
      </c>
      <c r="AP12" s="6">
        <f>应产率辅助表!H9</f>
        <v>1130</v>
      </c>
      <c r="AQ12" s="6">
        <f>应产率辅助表!H38</f>
        <v>15.99</v>
      </c>
      <c r="AR12" s="7">
        <f t="shared" si="21"/>
        <v>3.1350445435128108E-4</v>
      </c>
      <c r="AS12" s="5">
        <f>产品销售数量!I9*0.858+产品销售数量!Z9*0.686+产品销售数量!AA9*1.79+产品销售数量!CF9*1.79+产品销售数量!CL9*0.89</f>
        <v>292.596</v>
      </c>
      <c r="AT12" s="5">
        <f t="shared" si="22"/>
        <v>258.93451327433633</v>
      </c>
      <c r="AU12" s="5">
        <f t="shared" si="23"/>
        <v>142.79259999999999</v>
      </c>
      <c r="AV12" s="5">
        <f t="shared" si="24"/>
        <v>2.0205784725663714</v>
      </c>
      <c r="AW12" s="6">
        <f>应产率辅助表!I9</f>
        <v>1690</v>
      </c>
      <c r="AX12" s="6">
        <f>应产率辅助表!I38</f>
        <v>23.95</v>
      </c>
      <c r="AY12" s="7">
        <f t="shared" si="25"/>
        <v>4.6957046164560233E-4</v>
      </c>
      <c r="AZ12" s="5">
        <f>+产品销售数量!I9*0.857+产品销售数量!Z9*0.485+产品销售数量!AA9*1.88+产品销售数量!CF9*1.88+产品销售数量!CL9*0.89</f>
        <v>294.12</v>
      </c>
      <c r="BA12" s="5">
        <f t="shared" si="26"/>
        <v>174.03550295857988</v>
      </c>
      <c r="BB12" s="5">
        <f t="shared" si="27"/>
        <v>251.19200000000001</v>
      </c>
      <c r="BC12" s="5">
        <f t="shared" si="28"/>
        <v>3.5597919526627222</v>
      </c>
      <c r="BD12" s="6">
        <f>应产率辅助表!J9</f>
        <v>9571</v>
      </c>
      <c r="BE12" s="6">
        <f>应产率辅助表!J38</f>
        <v>175.62</v>
      </c>
      <c r="BF12" s="7">
        <f t="shared" si="167"/>
        <v>3.4432553016367721E-3</v>
      </c>
      <c r="BG12" s="5">
        <f>+产品销售数量!J9*2+产品销售数量!L9*0.93+产品销售数量!O9*2+产品销售数量!P9*0.93+产品销售数量!U9*1.93+产品销售数量!W9*2+产品销售数量!V9*3.79+产品销售数量!I9*2.678+产品销售数量!CK9*1.32+产品销售数量!CQ9*2</f>
        <v>6497.66</v>
      </c>
      <c r="BH12" s="5">
        <f t="shared" si="168"/>
        <v>678.8903980775259</v>
      </c>
      <c r="BI12" s="5">
        <f t="shared" si="169"/>
        <v>-474.27600000000166</v>
      </c>
      <c r="BJ12" s="5">
        <f t="shared" si="170"/>
        <v>-8.7025756054749035</v>
      </c>
      <c r="BK12" s="6">
        <f>应产率辅助表!K9</f>
        <v>2900</v>
      </c>
      <c r="BL12" s="6">
        <f>应产率辅助表!K38</f>
        <v>46.35</v>
      </c>
      <c r="BM12" s="7">
        <f t="shared" si="33"/>
        <v>9.0875118568992358E-4</v>
      </c>
      <c r="BN12" s="5">
        <f>产品销售数量!K9*1.125+产品销售数量!Y9*4.12+产品销售数量!X9*5.5+产品销售数量!AA9*13.25+产品销售数量!AB9*13.25+产品销售数量!BN9*6.87+产品销售数量!BV9+产品销售数量!CF9*13.25+产品销售数量!CG9*13.25+产品销售数量!CJ9*6.63+产品销售数量!CL9*6.63+产品销售数量!CR9*2.25+产品销售数量!CS9*2.25+产品销售数量!CT9*2.25+产品销售数量!CV9*0.75+产品销售数量!DA9*6.63+产品销售数量!DJ9*13.25+产品销售数量!DK9*13.25</f>
        <v>4025.105</v>
      </c>
      <c r="BO12" s="5">
        <f t="shared" si="0"/>
        <v>1387.9672413793103</v>
      </c>
      <c r="BP12" s="5">
        <f t="shared" si="34"/>
        <v>320.08400000000029</v>
      </c>
      <c r="BQ12" s="5">
        <f t="shared" si="35"/>
        <v>5.1158253103448326</v>
      </c>
      <c r="BR12" s="6">
        <f>应产率辅助表!L9</f>
        <v>10360</v>
      </c>
      <c r="BS12" s="6">
        <f>应产率辅助表!L38</f>
        <v>64.09</v>
      </c>
      <c r="BT12" s="7">
        <f t="shared" si="171"/>
        <v>1.2565666341071674E-3</v>
      </c>
      <c r="BU12" s="5">
        <f>产品销售数量!O9+产品销售数量!P9+产品销售数量!CI9*1.5+产品销售数量!CK9*0.89+产品销售数量!M9*1.34</f>
        <v>933.52</v>
      </c>
      <c r="BV12" s="5">
        <f t="shared" si="172"/>
        <v>90.108108108108112</v>
      </c>
      <c r="BW12" s="5">
        <f t="shared" si="173"/>
        <v>-931.44800000000032</v>
      </c>
      <c r="BX12" s="5">
        <f t="shared" si="174"/>
        <v>-5.7622106486486508</v>
      </c>
      <c r="BY12" s="6">
        <f>应产率辅助表!M9</f>
        <v>59709</v>
      </c>
      <c r="BZ12" s="6">
        <f>应产率辅助表!M38</f>
        <v>576.39</v>
      </c>
      <c r="CA12" s="7">
        <f t="shared" si="40"/>
        <v>1.1300865068388673E-2</v>
      </c>
      <c r="CB12" s="5">
        <f>+产品销售数量!J9+产品销售数量!K9+产品销售数量!L9+产品销售数量!O9+产品销售数量!P9+产品销售数量!S9+产品销售数量!T9+产品销售数量!AU9*0.9+产品销售数量!AW9*0.9+产品销售数量!BL9*0.9+产品销售数量!CH9*0.9+产品销售数量!CK9*0.9+产品销售数量!CN9*0.9+产品销售数量!CO9*0.9+产品销售数量!CQ9+产品销售数量!CV9+产品销售数量!CW9*0.9+产品销售数量!DB9</f>
        <v>3626.4999999999995</v>
      </c>
      <c r="CC12" s="5">
        <f t="shared" si="41"/>
        <v>60.736237418144654</v>
      </c>
      <c r="CD12" s="5">
        <f t="shared" si="42"/>
        <v>-4767.5250000000087</v>
      </c>
      <c r="CE12" s="5">
        <f t="shared" si="43"/>
        <v>-46.022437735517336</v>
      </c>
      <c r="CF12" s="6">
        <f>应产率辅助表!N9</f>
        <v>1000</v>
      </c>
      <c r="CG12" s="6">
        <f>应产率辅助表!N38</f>
        <v>17.41</v>
      </c>
      <c r="CH12" s="7">
        <f t="shared" si="44"/>
        <v>3.413453752505193E-4</v>
      </c>
      <c r="CI12" s="5">
        <f>产品销售数量!P9+产品销售数量!Z9*1.4+产品销售数量!L9</f>
        <v>178.39999999999998</v>
      </c>
      <c r="CJ12" s="5">
        <f t="shared" si="45"/>
        <v>178.39999999999998</v>
      </c>
      <c r="CK12" s="5">
        <f t="shared" si="46"/>
        <v>53941.474999999991</v>
      </c>
      <c r="CL12" s="5">
        <f t="shared" si="47"/>
        <v>939.12107974999992</v>
      </c>
      <c r="CM12" s="6">
        <f>应产率辅助表!O9</f>
        <v>176175</v>
      </c>
      <c r="CN12" s="6">
        <f>应产率辅助表!O38</f>
        <v>1762.49</v>
      </c>
      <c r="CO12" s="7">
        <f t="shared" si="48"/>
        <v>3.4555876532181951E-2</v>
      </c>
      <c r="CP12" s="5">
        <f>+产品销售数量!AE9*1.04+产品销售数量!AD9*1.279+产品销售数量!BW9*1.04+产品销售数量!BX9*1.279</f>
        <v>2305.9499999999998</v>
      </c>
      <c r="CQ12" s="5">
        <f t="shared" si="49"/>
        <v>13.088974031502765</v>
      </c>
      <c r="CR12" s="5">
        <f t="shared" si="50"/>
        <v>-74252.009999999995</v>
      </c>
      <c r="CS12" s="5">
        <f t="shared" si="51"/>
        <v>-742.8319858373776</v>
      </c>
      <c r="CT12" s="6">
        <f>应产率辅助表!P9</f>
        <v>23434</v>
      </c>
      <c r="CU12" s="6">
        <f>应产率辅助表!P38</f>
        <v>253.17</v>
      </c>
      <c r="CV12" s="7">
        <f t="shared" si="52"/>
        <v>-2.4183694055684914E-2</v>
      </c>
      <c r="CW12" s="5">
        <f>+产品销售数量!AC9*1.08+产品销售数量!AH9*1+产品销售数量!AG9*1.45+产品销售数量!BG9*0.834+产品销售数量!CU9*0.834+产品销售数量!DM9*1.19</f>
        <v>326.51</v>
      </c>
      <c r="CX12" s="5">
        <f t="shared" si="53"/>
        <v>13.93317402065375</v>
      </c>
      <c r="CY12" s="5">
        <f t="shared" si="54"/>
        <v>-9002.2579999999998</v>
      </c>
      <c r="CZ12" s="5">
        <f t="shared" si="55"/>
        <v>-97.25619432704616</v>
      </c>
      <c r="DA12" s="6">
        <f>应产率辅助表!Q9</f>
        <v>0</v>
      </c>
      <c r="DB12" s="6">
        <f>应产率辅助表!Q38</f>
        <v>0</v>
      </c>
      <c r="DC12" s="7">
        <f t="shared" si="56"/>
        <v>0</v>
      </c>
      <c r="DD12" s="5">
        <f>产品销售数量!AJ9*2+产品销售数量!AK9*1.38+产品销售数量!AL9+产品销售数量!BT9*1.38+产品销售数量!BU9*2</f>
        <v>0</v>
      </c>
      <c r="DE12" s="5" t="e">
        <f t="shared" si="57"/>
        <v>#DIV/0!</v>
      </c>
      <c r="DF12" s="5">
        <f t="shared" si="58"/>
        <v>0</v>
      </c>
      <c r="DG12" s="5" t="e">
        <f t="shared" si="59"/>
        <v>#DIV/0!</v>
      </c>
      <c r="DH12" s="6">
        <f>应产率辅助表!R9</f>
        <v>3266</v>
      </c>
      <c r="DI12" s="6">
        <f>应产率辅助表!R38</f>
        <v>63.07</v>
      </c>
      <c r="DJ12" s="7">
        <f t="shared" si="60"/>
        <v>1.2365682261372918E-3</v>
      </c>
      <c r="DK12" s="5">
        <f>+产品销售数量!AM9*1.375+产品销售数量!AN9+产品销售数量!AO9*0.75+产品销售数量!BR9*0.57</f>
        <v>86.014999999999986</v>
      </c>
      <c r="DL12" s="5">
        <f t="shared" si="61"/>
        <v>26.336497244335575</v>
      </c>
      <c r="DM12" s="5">
        <f t="shared" si="62"/>
        <v>535.86299999999983</v>
      </c>
      <c r="DN12" s="5">
        <f t="shared" si="63"/>
        <v>10.348095349050823</v>
      </c>
      <c r="DO12" s="6">
        <f>应产率辅助表!S9+应产率辅助表!T9</f>
        <v>1022</v>
      </c>
      <c r="DP12" s="6">
        <f>应产率辅助表!S38+应产率辅助表!T38</f>
        <v>86.92</v>
      </c>
      <c r="DQ12" s="7">
        <f t="shared" si="64"/>
        <v>1.7041780595505535E-3</v>
      </c>
      <c r="DR12" s="5">
        <f>+产品销售数量!Y9+产品销售数量!X9+产品销售数量!AB9*3+产品销售数量!CG9*3+产品销售数量!CJ9*2+产品销售数量!BN9*2+产品销售数量!CR9+产品销售数量!CS9+产品销售数量!CT9+产品销售数量!BM9+产品销售数量!AA9+产品销售数量!CF9</f>
        <v>618</v>
      </c>
      <c r="DS12" s="5">
        <f t="shared" si="65"/>
        <v>1.6537216828478964</v>
      </c>
      <c r="DT12" s="5">
        <f t="shared" si="66"/>
        <v>-404</v>
      </c>
      <c r="DU12" s="5">
        <f t="shared" si="67"/>
        <v>-34.359765166340509</v>
      </c>
      <c r="DV12" s="6">
        <f>应产率辅助表!U9</f>
        <v>2983</v>
      </c>
      <c r="DW12" s="6">
        <f>应产率辅助表!U38</f>
        <v>263.95999999999998</v>
      </c>
      <c r="DX12" s="7">
        <f t="shared" si="68"/>
        <v>5.175274282086563E-3</v>
      </c>
      <c r="DY12" s="5">
        <f>+产品销售数量!E9+产品销售数量!F9*2+产品销售数量!G9+产品销售数量!CY9+产品销售数量!DE9+产品销售数量!DH9</f>
        <v>2877</v>
      </c>
      <c r="DZ12" s="5">
        <f t="shared" si="69"/>
        <v>1.0368439346541536</v>
      </c>
      <c r="EA12" s="5">
        <f t="shared" si="70"/>
        <v>-106</v>
      </c>
      <c r="EB12" s="5">
        <f t="shared" si="71"/>
        <v>-9.379738518270198</v>
      </c>
      <c r="EC12" s="6">
        <f>应产率辅助表!V9</f>
        <v>32</v>
      </c>
      <c r="ED12" s="6">
        <f>应产率辅助表!V38</f>
        <v>1.77</v>
      </c>
      <c r="EE12" s="7">
        <f t="shared" si="72"/>
        <v>3.470311971243074E-5</v>
      </c>
      <c r="EF12" s="5">
        <f>+产品销售数量!AS9</f>
        <v>6</v>
      </c>
      <c r="EG12" s="5">
        <f t="shared" si="73"/>
        <v>5.333333333333333</v>
      </c>
      <c r="EH12" s="5">
        <f t="shared" si="74"/>
        <v>-26</v>
      </c>
      <c r="EI12" s="5">
        <f t="shared" si="75"/>
        <v>-1.4381250000000001</v>
      </c>
      <c r="EJ12" s="6">
        <f>应产率辅助表!W9</f>
        <v>2367</v>
      </c>
      <c r="EK12" s="6">
        <f>应产率辅助表!W38</f>
        <v>67.010000000000005</v>
      </c>
      <c r="EL12" s="7">
        <f t="shared" si="76"/>
        <v>1.3138169784915163E-3</v>
      </c>
      <c r="EM12" s="5">
        <f>+产品销售数量!AD9+产品销售数量!AE9+产品销售数量!AF9+产品销售数量!AG9+产品销售数量!AH9+产品销售数量!AI9+产品销售数量!AJ9+产品销售数量!AK9+产品销售数量!AL9+产品销售数量!AM9+产品销售数量!AN9+产品销售数量!AO9+产品销售数量!AQ9+产品销售数量!AP9+产品销售数量!AR9+产品销售数量!BR9+产品销售数量!AS9+产品销售数量!CA9+产品销售数量!BE9+产品销售数量!BF9</f>
        <v>2062</v>
      </c>
      <c r="EN12" s="5">
        <f t="shared" si="77"/>
        <v>1.1479146459747818</v>
      </c>
      <c r="EO12" s="5">
        <f t="shared" si="78"/>
        <v>-305</v>
      </c>
      <c r="EP12" s="5">
        <f t="shared" si="79"/>
        <v>-8.6345796366708925</v>
      </c>
      <c r="EQ12" s="6">
        <f>应产率辅助表!X9</f>
        <v>0</v>
      </c>
      <c r="ER12" s="6">
        <f>应产率辅助表!X38</f>
        <v>0</v>
      </c>
      <c r="ES12" s="7">
        <f t="shared" si="80"/>
        <v>0</v>
      </c>
      <c r="ET12" s="5">
        <f>+产品销售数量!AQ9+产品销售数量!AP9+产品销售数量!AR9+产品销售数量!BR9+产品销售数量!AS9+产品销售数量!CA9+产品销售数量!BE9+产品销售数量!BF9</f>
        <v>127</v>
      </c>
      <c r="EU12" s="5">
        <f t="shared" si="81"/>
        <v>0</v>
      </c>
      <c r="EV12" s="5">
        <f t="shared" si="82"/>
        <v>127</v>
      </c>
      <c r="EW12" s="5" t="e">
        <f t="shared" si="83"/>
        <v>#DIV/0!</v>
      </c>
      <c r="EX12" s="6">
        <f>应产率辅助表!Y9</f>
        <v>140</v>
      </c>
      <c r="EY12" s="6">
        <f>应产率辅助表!Y38</f>
        <v>7.73</v>
      </c>
      <c r="EZ12" s="7">
        <f t="shared" si="84"/>
        <v>1.5155656235993763E-4</v>
      </c>
      <c r="FA12" s="5">
        <f>产品销售数量!H9</f>
        <v>138</v>
      </c>
      <c r="FB12" s="5">
        <f t="shared" si="85"/>
        <v>1.0144927536231885</v>
      </c>
      <c r="FC12" s="5">
        <f t="shared" si="86"/>
        <v>-2</v>
      </c>
      <c r="FD12" s="5">
        <f t="shared" si="87"/>
        <v>-0.11042857142857143</v>
      </c>
      <c r="FE12" s="6">
        <f>应产率辅助表!Z9</f>
        <v>3494</v>
      </c>
      <c r="FF12" s="6">
        <f>应产率辅助表!Z38</f>
        <v>144.63999999999999</v>
      </c>
      <c r="FG12" s="7">
        <f t="shared" si="88"/>
        <v>2.8358526752576166E-3</v>
      </c>
      <c r="FH12" s="5">
        <f>+产品销售数量!J9+产品销售数量!K9+产品销售数量!L9+产品销售数量!M9+产品销售数量!O9+产品销售数量!P9+产品销售数量!S9+产品销售数量!T9+产品销售数量!BQ9+产品销售数量!BS9+产品销售数量!CC9+产品销售数量!CH9+产品销售数量!CI9+产品销售数量!CJ9+产品销售数量!CK9+产品销售数量!CL9+产品销售数量!BL9+产品销售数量!AU9++产品销售数量!AW9+产品销售数量!BQ9+产品销售数量!CN9+产品销售数量!CO9+产品销售数量!CQ9+产品销售数量!CX9+产品销售数量!CY9+产品销售数量!CM9</f>
        <v>4419</v>
      </c>
      <c r="FI12" s="5">
        <f t="shared" si="89"/>
        <v>0.79067662367051372</v>
      </c>
      <c r="FJ12" s="5">
        <f t="shared" si="90"/>
        <v>925</v>
      </c>
      <c r="FK12" s="5">
        <f t="shared" si="91"/>
        <v>38.291929021179165</v>
      </c>
      <c r="FL12" s="6">
        <f>应产率辅助表!AA9</f>
        <v>0</v>
      </c>
      <c r="FM12" s="6">
        <f>应产率辅助表!AA38</f>
        <v>0</v>
      </c>
      <c r="FN12" s="7">
        <f t="shared" si="92"/>
        <v>0</v>
      </c>
      <c r="FO12" s="5">
        <f>+产品销售数量!R9+产品销售数量!CE9</f>
        <v>0</v>
      </c>
      <c r="FP12" s="5" t="e">
        <f t="shared" si="93"/>
        <v>#DIV/0!</v>
      </c>
      <c r="FQ12" s="5">
        <f t="shared" si="94"/>
        <v>0</v>
      </c>
      <c r="FR12" s="5" t="e">
        <f t="shared" si="95"/>
        <v>#DIV/0!</v>
      </c>
      <c r="FS12" s="6">
        <f>应产率辅助表!AB9</f>
        <v>142</v>
      </c>
      <c r="FT12" s="5">
        <f t="shared" si="96"/>
        <v>7100</v>
      </c>
      <c r="FU12" s="6">
        <f>应产率辅助表!AB38</f>
        <v>143.35</v>
      </c>
      <c r="FV12" s="7">
        <f t="shared" si="97"/>
        <v>2.8105605710604213E-3</v>
      </c>
      <c r="FW12" s="5">
        <f t="shared" si="98"/>
        <v>2.5230987917555083</v>
      </c>
      <c r="FX12" s="6">
        <f>应产率辅助表!AC9</f>
        <v>384</v>
      </c>
      <c r="FY12" s="6">
        <f>应产率辅助表!AC38</f>
        <v>17.420000000000002</v>
      </c>
      <c r="FZ12" s="7">
        <f t="shared" si="99"/>
        <v>3.4154143807375338E-4</v>
      </c>
      <c r="GA12" s="5">
        <f t="shared" si="100"/>
        <v>0.13646055437100213</v>
      </c>
      <c r="GB12" s="6">
        <f>应产率辅助表!AD9</f>
        <v>15</v>
      </c>
      <c r="GC12" s="6">
        <f>应产率辅助表!AD38</f>
        <v>2351.41</v>
      </c>
      <c r="GD12" s="7">
        <f t="shared" si="101"/>
        <v>4.6102408318082912E-2</v>
      </c>
      <c r="GE12" s="6">
        <f>应产率辅助表!AE9</f>
        <v>3760</v>
      </c>
      <c r="GF12" s="6">
        <f>应产率辅助表!AE38</f>
        <v>23.69</v>
      </c>
      <c r="GG12" s="7">
        <f t="shared" si="102"/>
        <v>4.644728282415165E-4</v>
      </c>
      <c r="GH12" s="6">
        <f>应产率辅助表!AF9</f>
        <v>51</v>
      </c>
      <c r="GI12" s="6">
        <f>应产率辅助表!AF38</f>
        <v>79.05</v>
      </c>
      <c r="GJ12" s="7">
        <f t="shared" si="103"/>
        <v>1.5498766176653387E-3</v>
      </c>
      <c r="GK12" s="6">
        <f>应产率辅助表!AG9</f>
        <v>1138</v>
      </c>
      <c r="GL12" s="6">
        <f>应产率辅助表!AG38</f>
        <v>225.01</v>
      </c>
      <c r="GM12" s="7">
        <f t="shared" si="104"/>
        <v>4.411609585589853E-3</v>
      </c>
      <c r="GN12" s="6"/>
      <c r="GO12" s="6">
        <f>应产率辅助表!AH9</f>
        <v>44</v>
      </c>
      <c r="GP12" s="6">
        <f>应产率辅助表!AH38</f>
        <v>2.5099999999999998</v>
      </c>
      <c r="GQ12" s="7">
        <f t="shared" si="105"/>
        <v>4.9211768631752057E-5</v>
      </c>
      <c r="GR12" s="6">
        <f>应产率辅助表!AI9</f>
        <v>1350</v>
      </c>
      <c r="GS12" s="6">
        <f>应产率辅助表!AI38</f>
        <v>148.44999999999999</v>
      </c>
      <c r="GT12" s="7">
        <f t="shared" si="106"/>
        <v>2.9105526109097983E-3</v>
      </c>
      <c r="GU12" s="72">
        <f>应产率辅助表!AJ9</f>
        <v>1173</v>
      </c>
      <c r="GV12" s="72">
        <f>应产率辅助表!AJ38</f>
        <v>246.09</v>
      </c>
      <c r="GW12" s="7">
        <f t="shared" si="107"/>
        <v>4.8249100169672774E-3</v>
      </c>
      <c r="GX12" s="72">
        <f>应产率辅助表!AK9</f>
        <v>260</v>
      </c>
      <c r="GY12" s="72">
        <f>应产率辅助表!AK38</f>
        <v>35.17</v>
      </c>
      <c r="GZ12" s="7">
        <f t="shared" si="108"/>
        <v>6.8955294931423113E-4</v>
      </c>
      <c r="HA12" s="72">
        <f>应产率辅助表!AL9</f>
        <v>25</v>
      </c>
      <c r="HB12" s="72">
        <f>应产率辅助表!AL38</f>
        <v>9.44</v>
      </c>
      <c r="HC12" s="7">
        <f t="shared" si="109"/>
        <v>1.8508330513296393E-4</v>
      </c>
      <c r="HD12" s="72">
        <f>应产率辅助表!AM9</f>
        <v>38</v>
      </c>
      <c r="HE12" s="72">
        <f>应产率辅助表!AM38</f>
        <v>3.11</v>
      </c>
      <c r="HF12" s="7">
        <f t="shared" si="110"/>
        <v>6.0975538025796378E-5</v>
      </c>
      <c r="HG12" s="72">
        <f>应产率辅助表!AN9</f>
        <v>96</v>
      </c>
      <c r="HH12" s="72">
        <f>应产率辅助表!AN38</f>
        <v>28.75</v>
      </c>
      <c r="HI12" s="7">
        <f t="shared" si="111"/>
        <v>5.6368061679795689E-4</v>
      </c>
      <c r="HJ12" s="72">
        <f>应产率辅助表!AO9</f>
        <v>42</v>
      </c>
      <c r="HK12" s="72">
        <f>应产率辅助表!AO38</f>
        <v>15.14</v>
      </c>
      <c r="HL12" s="7">
        <f t="shared" si="112"/>
        <v>2.9683911437638496E-4</v>
      </c>
      <c r="HM12" s="72">
        <f>应产率辅助表!AP9</f>
        <v>788</v>
      </c>
      <c r="HN12" s="72">
        <f>应产率辅助表!AP38</f>
        <v>179.63</v>
      </c>
      <c r="HO12" s="7">
        <f t="shared" si="113"/>
        <v>3.5218764937536345E-3</v>
      </c>
      <c r="HP12" s="6">
        <f>产品销售数量!DP9</f>
        <v>22</v>
      </c>
      <c r="HQ12" s="6">
        <v>52</v>
      </c>
      <c r="HR12" s="5">
        <f t="shared" si="115"/>
        <v>1.0195266808171741E-3</v>
      </c>
      <c r="HS12" s="6">
        <v>0</v>
      </c>
      <c r="HT12" s="6">
        <v>0</v>
      </c>
      <c r="HU12" s="5">
        <f t="shared" si="116"/>
        <v>0</v>
      </c>
      <c r="HV12" s="6">
        <v>0</v>
      </c>
      <c r="HW12" s="6">
        <v>0</v>
      </c>
      <c r="HX12" s="5">
        <f t="shared" si="117"/>
        <v>0</v>
      </c>
      <c r="HY12" s="5"/>
      <c r="HZ12" s="5"/>
      <c r="IA12" s="5">
        <f t="shared" si="166"/>
        <v>0</v>
      </c>
      <c r="IB12" s="5">
        <f t="shared" si="118"/>
        <v>22</v>
      </c>
      <c r="IC12" s="5">
        <f t="shared" si="118"/>
        <v>52</v>
      </c>
      <c r="ID12" s="5">
        <f t="shared" si="119"/>
        <v>1.0195266808171741E-3</v>
      </c>
      <c r="IE12" s="7">
        <f t="shared" si="120"/>
        <v>22</v>
      </c>
      <c r="IF12" s="7">
        <f t="shared" si="120"/>
        <v>52</v>
      </c>
      <c r="IG12" s="5">
        <f t="shared" si="121"/>
        <v>1.0195266808171741E-3</v>
      </c>
      <c r="IH12" s="5">
        <f t="shared" si="122"/>
        <v>9.4069178022298597E-2</v>
      </c>
      <c r="II12" s="5">
        <f t="shared" si="123"/>
        <v>1.6374578808039986E-2</v>
      </c>
      <c r="IJ12" s="8">
        <f t="shared" si="124"/>
        <v>9.8834058759521212E-3</v>
      </c>
      <c r="IK12" s="8">
        <f t="shared" si="125"/>
        <v>1.1834229993275051E-2</v>
      </c>
      <c r="IL12" s="8">
        <f t="shared" si="126"/>
        <v>1.5199881796690308E-2</v>
      </c>
      <c r="IM12" s="8">
        <f t="shared" si="127"/>
        <v>7.2014563106796116E-3</v>
      </c>
      <c r="IN12" s="8">
        <f t="shared" si="128"/>
        <v>4.5799350649350645E-3</v>
      </c>
      <c r="IO12" s="8">
        <f t="shared" si="129"/>
        <v>1.4150442477876106E-2</v>
      </c>
      <c r="IP12" s="8">
        <f t="shared" si="130"/>
        <v>1.4171597633136095E-2</v>
      </c>
      <c r="IQ12" s="8">
        <f t="shared" si="131"/>
        <v>1.8349179814021524E-2</v>
      </c>
      <c r="IR12" s="8">
        <f t="shared" si="132"/>
        <v>1.5982758620689656E-2</v>
      </c>
      <c r="IS12" s="8">
        <f t="shared" si="133"/>
        <v>6.186293436293437E-3</v>
      </c>
      <c r="IT12" s="8">
        <f t="shared" si="134"/>
        <v>9.6533185951866544E-3</v>
      </c>
      <c r="IU12" s="8">
        <f t="shared" si="135"/>
        <v>1.7410000000000002E-2</v>
      </c>
      <c r="IV12" s="8">
        <f t="shared" si="136"/>
        <v>1.0004200368951327E-2</v>
      </c>
      <c r="IW12" s="8">
        <f t="shared" si="137"/>
        <v>1.0803533327643593E-2</v>
      </c>
      <c r="IX12" s="8" t="e">
        <f t="shared" si="138"/>
        <v>#DIV/0!</v>
      </c>
      <c r="IY12" s="8">
        <f t="shared" si="139"/>
        <v>1.9311083894672381E-2</v>
      </c>
      <c r="IZ12" s="8">
        <f t="shared" si="140"/>
        <v>8.5048923679060667E-2</v>
      </c>
      <c r="JA12" s="8">
        <f t="shared" si="141"/>
        <v>8.8488099228964126E-2</v>
      </c>
      <c r="JB12" s="8">
        <f t="shared" si="142"/>
        <v>5.5312500000000001E-2</v>
      </c>
      <c r="JC12" s="8">
        <f t="shared" si="143"/>
        <v>2.8310097169412761E-2</v>
      </c>
      <c r="JD12" s="8" t="e">
        <f t="shared" si="144"/>
        <v>#DIV/0!</v>
      </c>
      <c r="JE12" s="8">
        <f t="shared" si="145"/>
        <v>5.5214285714285716E-2</v>
      </c>
      <c r="JF12" s="8">
        <f t="shared" si="146"/>
        <v>4.1396680022896391E-2</v>
      </c>
      <c r="JG12" s="8" t="e">
        <f t="shared" si="147"/>
        <v>#DIV/0!</v>
      </c>
      <c r="JH12" s="8">
        <f t="shared" si="148"/>
        <v>1.0095070422535211</v>
      </c>
      <c r="JI12" s="8">
        <f t="shared" si="149"/>
        <v>4.536458333333334E-2</v>
      </c>
      <c r="JJ12" s="8">
        <f t="shared" si="150"/>
        <v>156.76066666666665</v>
      </c>
      <c r="JK12" s="8">
        <f t="shared" si="151"/>
        <v>6.3005319148936173E-3</v>
      </c>
      <c r="JL12" s="8">
        <f t="shared" si="152"/>
        <v>1.55</v>
      </c>
      <c r="JM12" s="8">
        <f t="shared" si="153"/>
        <v>0.19772407732864675</v>
      </c>
      <c r="JN12" s="8">
        <f t="shared" si="154"/>
        <v>5.7045454545454538E-2</v>
      </c>
      <c r="JO12" s="8">
        <f t="shared" si="155"/>
        <v>0.10996296296296296</v>
      </c>
      <c r="JP12" s="9">
        <f t="shared" si="156"/>
        <v>0.20979539641943734</v>
      </c>
      <c r="JQ12" s="9">
        <f t="shared" si="157"/>
        <v>0.13526923076923078</v>
      </c>
      <c r="JR12" s="9">
        <f t="shared" si="158"/>
        <v>0.37759999999999999</v>
      </c>
      <c r="JS12" s="9">
        <f t="shared" si="159"/>
        <v>8.1842105263157897E-2</v>
      </c>
      <c r="JT12" s="9">
        <f t="shared" si="160"/>
        <v>0.29947916666666669</v>
      </c>
      <c r="JU12" s="9">
        <f t="shared" si="161"/>
        <v>0.36047619047619051</v>
      </c>
      <c r="JV12" s="9">
        <f t="shared" si="162"/>
        <v>0.22795685279187816</v>
      </c>
      <c r="JW12" s="9">
        <f t="shared" si="163"/>
        <v>2.3636363636363638</v>
      </c>
    </row>
    <row r="13" spans="1:283" s="11" customFormat="1" ht="18" customHeight="1" x14ac:dyDescent="0.15">
      <c r="A13" s="10">
        <v>862</v>
      </c>
      <c r="B13" s="5" t="s">
        <v>597</v>
      </c>
      <c r="C13" s="5" t="s">
        <v>593</v>
      </c>
      <c r="D13" s="55">
        <v>68633.63</v>
      </c>
      <c r="E13" s="56">
        <f>产品销售数量!D10</f>
        <v>4577</v>
      </c>
      <c r="F13" s="6">
        <f>应产率辅助表!C10</f>
        <v>299192</v>
      </c>
      <c r="G13" s="6">
        <f>应产率辅助表!C39</f>
        <v>2957</v>
      </c>
      <c r="H13" s="7">
        <f t="shared" si="1"/>
        <v>4.3083835140294922E-2</v>
      </c>
      <c r="I13" s="5">
        <f>产品销售数量!E10+产品销售数量!F10*1.36</f>
        <v>2575.84</v>
      </c>
      <c r="J13" s="5">
        <f t="shared" si="164"/>
        <v>8.6093211048423761</v>
      </c>
      <c r="K13" s="5">
        <f t="shared" si="2"/>
        <v>-15334.431999999972</v>
      </c>
      <c r="L13" s="5">
        <f t="shared" si="3"/>
        <v>-151.55457172651649</v>
      </c>
      <c r="M13" s="6">
        <f>应产率辅助表!D10</f>
        <v>19000</v>
      </c>
      <c r="N13" s="6">
        <f>应产率辅助表!D39</f>
        <v>224.85</v>
      </c>
      <c r="O13" s="7">
        <f t="shared" si="4"/>
        <v>3.2760907444353443E-3</v>
      </c>
      <c r="P13" s="5">
        <f>+产品销售数量!H10</f>
        <v>199</v>
      </c>
      <c r="Q13" s="5">
        <f t="shared" si="5"/>
        <v>10.473684210526315</v>
      </c>
      <c r="R13" s="5">
        <f t="shared" si="6"/>
        <v>-1020.3500000000022</v>
      </c>
      <c r="S13" s="5">
        <f t="shared" si="7"/>
        <v>-12.075036710526341</v>
      </c>
      <c r="T13" s="6">
        <f>应产率辅助表!E10</f>
        <v>121833</v>
      </c>
      <c r="U13" s="6">
        <f>应产率辅助表!E39</f>
        <v>1852.08</v>
      </c>
      <c r="V13" s="7">
        <f t="shared" si="8"/>
        <v>2.6985021774310929E-2</v>
      </c>
      <c r="W13" s="5">
        <f>+产品销售数量!V10+产品销售数量!CP10</f>
        <v>1157</v>
      </c>
      <c r="X13" s="5">
        <f t="shared" si="9"/>
        <v>9.4966060098659639</v>
      </c>
      <c r="Y13" s="5">
        <f t="shared" si="10"/>
        <v>-6364.4000000000087</v>
      </c>
      <c r="Z13" s="5">
        <f t="shared" si="11"/>
        <v>-96.750288936495167</v>
      </c>
      <c r="AA13" s="6">
        <f>应产率辅助表!F10</f>
        <v>50500</v>
      </c>
      <c r="AB13" s="6">
        <f>应产率辅助表!F39</f>
        <v>363.62</v>
      </c>
      <c r="AC13" s="7">
        <f t="shared" si="12"/>
        <v>5.2979858416347782E-3</v>
      </c>
      <c r="AD13" s="5">
        <f>产品销售数量!J10*1.5+产品销售数量!K10*1.5+产品销售数量!L10*1.5+产品销售数量!O10*1.5+产品销售数量!P10*1.5+产品销售数量!S10*1.5+产品销售数量!T10*1.5+产品销售数量!CH10*1.35+产品销售数量!M10*1.5+产品销售数量!CK10*0.89*1.5+产品销售数量!BL10*1.35+产品销售数量!AU10*0.9+产品销售数量!AW10*0.9+产品销售数量!BB10*1.5+产品销售数量!CN10*1.35+产品销售数量!CO10*1.35+产品销售数量!CQ10*1.5+产品销售数量!CX10*1.5+产品销售数量!CY10*1.35+产品销售数量!CZ10*1.35</f>
        <v>9760.8000000000011</v>
      </c>
      <c r="AE13" s="5">
        <f t="shared" si="13"/>
        <v>193.28316831683171</v>
      </c>
      <c r="AF13" s="5">
        <f t="shared" si="14"/>
        <v>48084.08</v>
      </c>
      <c r="AG13" s="5">
        <f t="shared" si="15"/>
        <v>346.2244192</v>
      </c>
      <c r="AH13" s="6">
        <f t="shared" si="165"/>
        <v>12.1</v>
      </c>
      <c r="AI13" s="6">
        <f>应产率辅助表!G10</f>
        <v>302500</v>
      </c>
      <c r="AJ13" s="6">
        <f>应产率辅助表!G39</f>
        <v>1385.38</v>
      </c>
      <c r="AK13" s="7">
        <f t="shared" si="17"/>
        <v>2.0185148301204527E-2</v>
      </c>
      <c r="AL13" s="5">
        <f>+产品销售数量!J10*1.13+产品销售数量!K10*1.13+产品销售数量!O10*1.13+产品销售数量!U10+产品销售数量!V10*2.6+产品销售数量!W10*2.6+产品销售数量!X10*1.6+产品销售数量!Y10+产品销售数量!AB10*1.74+产品销售数量!BC10*1.19+产品销售数量!BL10*0.98+产品销售数量!BM10*0.74+产品销售数量!BN10*4.495+产品销售数量!BQ10*2.29+产品销售数量!BV10*2.56+产品销售数量!CG10*1.74+产品销售数量!CJ10*0.8+产品销售数量!CK10*1.13+产品销售数量!CM10*1.19+产品销售数量!CO10*0.98+产品销售数量!CP10*2.6+产品销售数量!CQ10*1.13+产品销售数量!CR10*1.4+产品销售数量!CS10*1.4+产品销售数量!CT10*1.4+产品销售数量!CV10*1.13+产品销售数量!CW10*0.98+产品销售数量!CX10*0.378+产品销售数量!CY10*1.19+产品销售数量!DA10*0.87+产品销售数量!DB10*1.5+产品销售数量!DI10*0.595+产品销售数量!DK10*1.74+产品销售数量!DO10*1.11</f>
        <v>10527.529999999999</v>
      </c>
      <c r="AM13" s="5">
        <f t="shared" si="18"/>
        <v>34.801752066115696</v>
      </c>
      <c r="AN13" s="5">
        <f t="shared" si="19"/>
        <v>13852.276499999978</v>
      </c>
      <c r="AO13" s="5">
        <f t="shared" si="20"/>
        <v>63.440220884528827</v>
      </c>
      <c r="AP13" s="6">
        <f>应产率辅助表!H10</f>
        <v>2166</v>
      </c>
      <c r="AQ13" s="6">
        <f>应产率辅助表!H39</f>
        <v>30.7</v>
      </c>
      <c r="AR13" s="7">
        <f t="shared" si="21"/>
        <v>4.4730258329626449E-4</v>
      </c>
      <c r="AS13" s="5">
        <f>产品销售数量!I10*0.858+产品销售数量!Z10*0.686+产品销售数量!AA10*1.79+产品销售数量!CF10*1.79+产品销售数量!CL10*0.89</f>
        <v>466.452</v>
      </c>
      <c r="AT13" s="5">
        <f t="shared" si="22"/>
        <v>215.35180055401662</v>
      </c>
      <c r="AU13" s="5">
        <f t="shared" si="23"/>
        <v>-136.93380000000025</v>
      </c>
      <c r="AV13" s="5">
        <f t="shared" si="24"/>
        <v>-1.940843795013854</v>
      </c>
      <c r="AW13" s="6">
        <f>应产率辅助表!I10</f>
        <v>3100</v>
      </c>
      <c r="AX13" s="6">
        <f>应产率辅助表!I39</f>
        <v>43.92</v>
      </c>
      <c r="AY13" s="7">
        <f t="shared" si="25"/>
        <v>6.3991952633133352E-4</v>
      </c>
      <c r="AZ13" s="5">
        <f>+产品销售数量!I10*0.857+产品销售数量!Z10*0.485+产品销售数量!AA10*1.88+产品销售数量!CF10*1.88+产品销售数量!CL10*0.89</f>
        <v>458.82</v>
      </c>
      <c r="BA13" s="5">
        <f t="shared" si="26"/>
        <v>148.00645161290322</v>
      </c>
      <c r="BB13" s="5">
        <f t="shared" si="27"/>
        <v>-71.788000000000011</v>
      </c>
      <c r="BC13" s="5">
        <f t="shared" si="28"/>
        <v>-1.0170738580645164</v>
      </c>
      <c r="BD13" s="6">
        <f>应产率辅助表!J10</f>
        <v>12253</v>
      </c>
      <c r="BE13" s="6">
        <f>应产率辅助表!J39</f>
        <v>224.83</v>
      </c>
      <c r="BF13" s="7">
        <f t="shared" si="167"/>
        <v>3.2757993421009498E-3</v>
      </c>
      <c r="BG13" s="5">
        <f>+产品销售数量!J10*2+产品销售数量!L10*0.93+产品销售数量!O10*2+产品销售数量!P10*0.93+产品销售数量!U10*1.93+产品销售数量!W10*2+产品销售数量!V10*3.79+产品销售数量!I10*2.678+产品销售数量!CK10*1.32+产品销售数量!CQ10*2</f>
        <v>11703.1</v>
      </c>
      <c r="BH13" s="5">
        <f t="shared" si="168"/>
        <v>955.12119480943443</v>
      </c>
      <c r="BI13" s="5">
        <f t="shared" si="169"/>
        <v>4131.34</v>
      </c>
      <c r="BJ13" s="5">
        <f t="shared" si="170"/>
        <v>75.805857520607205</v>
      </c>
      <c r="BK13" s="6">
        <f>应产率辅助表!K10</f>
        <v>2900</v>
      </c>
      <c r="BL13" s="6">
        <f>应产率辅助表!K39</f>
        <v>46.34</v>
      </c>
      <c r="BM13" s="7">
        <f t="shared" si="33"/>
        <v>6.7517920879312378E-4</v>
      </c>
      <c r="BN13" s="5">
        <f>产品销售数量!K10*1.125+产品销售数量!Y10*4.12+产品销售数量!X10*5.5+产品销售数量!AA10*13.25+产品销售数量!AB10*13.25+产品销售数量!BN10*6.87+产品销售数量!BV10+产品销售数量!CF10*13.25+产品销售数量!CG10*13.25+产品销售数量!CJ10*6.63+产品销售数量!CL10*6.63+产品销售数量!CR10*2.25+产品销售数量!CS10*2.25+产品销售数量!CT10*2.25+产品销售数量!CV10*0.75+产品销售数量!DA10*6.63+产品销售数量!DJ10*13.25+产品销售数量!DK10*13.25</f>
        <v>5914.1549999999997</v>
      </c>
      <c r="BO13" s="5">
        <f t="shared" si="0"/>
        <v>2039.3637931034482</v>
      </c>
      <c r="BP13" s="5">
        <f t="shared" si="34"/>
        <v>1831.3239999999996</v>
      </c>
      <c r="BQ13" s="5">
        <f t="shared" si="35"/>
        <v>29.263294537931028</v>
      </c>
      <c r="BR13" s="6">
        <f>应产率辅助表!L10</f>
        <v>18346</v>
      </c>
      <c r="BS13" s="6">
        <f>应产率辅助表!L39</f>
        <v>113.55</v>
      </c>
      <c r="BT13" s="7">
        <f t="shared" si="171"/>
        <v>1.6544367535273887E-3</v>
      </c>
      <c r="BU13" s="5">
        <f>产品销售数量!O10+产品销售数量!P10+产品销售数量!CI10*1.5+产品销售数量!CK10*0.89+产品销售数量!M10*1.34</f>
        <v>1638.3400000000001</v>
      </c>
      <c r="BV13" s="5">
        <f t="shared" si="172"/>
        <v>89.302300228932751</v>
      </c>
      <c r="BW13" s="5">
        <f t="shared" si="173"/>
        <v>-1798.7659999999996</v>
      </c>
      <c r="BX13" s="5">
        <f t="shared" si="174"/>
        <v>-11.133210470947343</v>
      </c>
      <c r="BY13" s="6">
        <f>应产率辅助表!M10</f>
        <v>100697</v>
      </c>
      <c r="BZ13" s="6">
        <f>应产率辅助表!M39</f>
        <v>972.15</v>
      </c>
      <c r="CA13" s="7">
        <f t="shared" si="40"/>
        <v>1.4164338969103046E-2</v>
      </c>
      <c r="CB13" s="5">
        <f>+产品销售数量!J10+产品销售数量!K10+产品销售数量!L10+产品销售数量!O10+产品销售数量!P10+产品销售数量!S10+产品销售数量!T10+产品销售数量!AU10*0.9+产品销售数量!AW10*0.9+产品销售数量!BL10*0.9+产品销售数量!CH10*0.9+产品销售数量!CK10*0.9+产品销售数量!CN10*0.9+产品销售数量!CO10*0.9+产品销售数量!CQ10+产品销售数量!CV10+产品销售数量!CW10*0.9+产品销售数量!DB10</f>
        <v>6032.7999999999993</v>
      </c>
      <c r="CC13" s="5">
        <f t="shared" si="41"/>
        <v>59.910424342333926</v>
      </c>
      <c r="CD13" s="5">
        <f t="shared" si="42"/>
        <v>-9300.0800000000017</v>
      </c>
      <c r="CE13" s="5">
        <f t="shared" si="43"/>
        <v>-89.784926780341038</v>
      </c>
      <c r="CF13" s="6">
        <f>应产率辅助表!N10</f>
        <v>1957</v>
      </c>
      <c r="CG13" s="6">
        <f>应产率辅助表!N39</f>
        <v>34.020000000000003</v>
      </c>
      <c r="CH13" s="7">
        <f t="shared" si="44"/>
        <v>4.9567537080582799E-4</v>
      </c>
      <c r="CI13" s="5">
        <f>产品销售数量!P10+产品销售数量!Z10*1.4+产品销售数量!L10</f>
        <v>327.79999999999995</v>
      </c>
      <c r="CJ13" s="5">
        <f t="shared" si="45"/>
        <v>167.50127746550839</v>
      </c>
      <c r="CK13" s="5">
        <f t="shared" si="46"/>
        <v>89439.92</v>
      </c>
      <c r="CL13" s="5">
        <f t="shared" si="47"/>
        <v>1554.8012664282064</v>
      </c>
      <c r="CM13" s="6">
        <f>应产率辅助表!O10</f>
        <v>304100</v>
      </c>
      <c r="CN13" s="6">
        <f>应产率辅助表!O39</f>
        <v>3099.24</v>
      </c>
      <c r="CO13" s="7">
        <f t="shared" si="48"/>
        <v>4.5156288542511878E-2</v>
      </c>
      <c r="CP13" s="5">
        <f>+产品销售数量!AE10*1.04+产品销售数量!AD10*1.279+产品销售数量!BW10*1.04+产品销售数量!BX10*1.279</f>
        <v>4182.5159999999996</v>
      </c>
      <c r="CQ13" s="5">
        <f t="shared" si="49"/>
        <v>13.753752055244982</v>
      </c>
      <c r="CR13" s="5">
        <f t="shared" si="50"/>
        <v>-119232.7928</v>
      </c>
      <c r="CS13" s="5">
        <f t="shared" si="51"/>
        <v>-1215.1629094293719</v>
      </c>
      <c r="CT13" s="6">
        <f>应产率辅助表!P10</f>
        <v>23993</v>
      </c>
      <c r="CU13" s="6">
        <f>应产率辅助表!P39</f>
        <v>259.20999999999998</v>
      </c>
      <c r="CV13" s="7">
        <f t="shared" si="52"/>
        <v>-1.6903788806784656E-2</v>
      </c>
      <c r="CW13" s="5">
        <f>+产品销售数量!AC10*1.08+产品销售数量!AH10*1+产品销售数量!AG10*1.45+产品销售数量!BG10*0.834+产品销售数量!CU10*0.834+产品销售数量!DM10*1.19</f>
        <v>331.96999999999997</v>
      </c>
      <c r="CX13" s="5">
        <f t="shared" si="53"/>
        <v>13.836118868003167</v>
      </c>
      <c r="CY13" s="5">
        <f t="shared" si="54"/>
        <v>-9319.9259999999995</v>
      </c>
      <c r="CZ13" s="5">
        <f t="shared" si="55"/>
        <v>-100.68845156754051</v>
      </c>
      <c r="DA13" s="6">
        <f>应产率辅助表!Q10</f>
        <v>0</v>
      </c>
      <c r="DB13" s="6">
        <f>应产率辅助表!Q39</f>
        <v>0</v>
      </c>
      <c r="DC13" s="7">
        <f t="shared" si="56"/>
        <v>0</v>
      </c>
      <c r="DD13" s="5">
        <f>产品销售数量!AJ10*2+产品销售数量!AK10*1.38+产品销售数量!AL10+产品销售数量!BT10*1.38+产品销售数量!BU10*2</f>
        <v>0</v>
      </c>
      <c r="DE13" s="5" t="e">
        <f t="shared" si="57"/>
        <v>#DIV/0!</v>
      </c>
      <c r="DF13" s="5">
        <f t="shared" si="58"/>
        <v>0</v>
      </c>
      <c r="DG13" s="5" t="e">
        <f t="shared" si="59"/>
        <v>#DIV/0!</v>
      </c>
      <c r="DH13" s="6">
        <f>应产率辅助表!R10</f>
        <v>6773</v>
      </c>
      <c r="DI13" s="6">
        <f>应产率辅助表!R39</f>
        <v>130.78</v>
      </c>
      <c r="DJ13" s="7">
        <f t="shared" si="60"/>
        <v>1.9054798646086473E-3</v>
      </c>
      <c r="DK13" s="5">
        <f>+产品销售数量!AM10*1.375+产品销售数量!AN10+产品销售数量!AO10*0.75+产品销售数量!BR10*0.57</f>
        <v>146.67500000000001</v>
      </c>
      <c r="DL13" s="5">
        <f t="shared" si="61"/>
        <v>21.655839362173339</v>
      </c>
      <c r="DM13" s="5">
        <f t="shared" si="62"/>
        <v>-289.96499999999924</v>
      </c>
      <c r="DN13" s="5">
        <f t="shared" si="63"/>
        <v>-5.5989403071017128</v>
      </c>
      <c r="DO13" s="6">
        <f>应产率辅助表!S10+应产率辅助表!T10</f>
        <v>1008</v>
      </c>
      <c r="DP13" s="6">
        <f>应产率辅助表!S39+应产率辅助表!T39</f>
        <v>84.82</v>
      </c>
      <c r="DQ13" s="7">
        <f t="shared" si="64"/>
        <v>1.2358373001690277E-3</v>
      </c>
      <c r="DR13" s="5">
        <f>+产品销售数量!Y10+产品销售数量!X10+产品销售数量!AB10*3+产品销售数量!CG10*3+产品销售数量!CJ10*2+产品销售数量!BN10*2+产品销售数量!CR10+产品销售数量!CS10+产品销售数量!CT10+产品销售数量!BM10+产品销售数量!AA10+产品销售数量!CF10</f>
        <v>963</v>
      </c>
      <c r="DS13" s="5">
        <f t="shared" si="65"/>
        <v>1.0467289719626167</v>
      </c>
      <c r="DT13" s="5">
        <f t="shared" si="66"/>
        <v>-45</v>
      </c>
      <c r="DU13" s="5">
        <f t="shared" si="67"/>
        <v>-3.7866071428571422</v>
      </c>
      <c r="DV13" s="6">
        <f>应产率辅助表!U10</f>
        <v>4918</v>
      </c>
      <c r="DW13" s="6">
        <f>应产率辅助表!U39</f>
        <v>435.22</v>
      </c>
      <c r="DX13" s="7">
        <f t="shared" si="68"/>
        <v>6.3412061987687379E-3</v>
      </c>
      <c r="DY13" s="5">
        <f>+产品销售数量!E10+产品销售数量!F10*2+产品销售数量!G10+产品销售数量!CY10+产品销售数量!DE10+产品销售数量!DH10</f>
        <v>5180</v>
      </c>
      <c r="DZ13" s="5">
        <f t="shared" si="69"/>
        <v>0.94942084942084937</v>
      </c>
      <c r="EA13" s="5">
        <f t="shared" si="70"/>
        <v>262</v>
      </c>
      <c r="EB13" s="5">
        <f t="shared" si="71"/>
        <v>23.185774705164704</v>
      </c>
      <c r="EC13" s="6">
        <f>应产率辅助表!V10</f>
        <v>139</v>
      </c>
      <c r="ED13" s="6">
        <f>应产率辅助表!V39</f>
        <v>7.72</v>
      </c>
      <c r="EE13" s="7">
        <f t="shared" si="72"/>
        <v>1.1248130107645478E-4</v>
      </c>
      <c r="EF13" s="5">
        <f>+产品销售数量!AS10</f>
        <v>31</v>
      </c>
      <c r="EG13" s="5">
        <f t="shared" si="73"/>
        <v>4.4838709677419351</v>
      </c>
      <c r="EH13" s="5">
        <f t="shared" si="74"/>
        <v>-108</v>
      </c>
      <c r="EI13" s="5">
        <f t="shared" si="75"/>
        <v>-5.9982733812949638</v>
      </c>
      <c r="EJ13" s="6">
        <f>应产率辅助表!W10</f>
        <v>4300</v>
      </c>
      <c r="EK13" s="6">
        <f>应产率辅助表!W39</f>
        <v>124.82</v>
      </c>
      <c r="EL13" s="7">
        <f t="shared" si="76"/>
        <v>1.8186419689589488E-3</v>
      </c>
      <c r="EM13" s="5">
        <f>+产品销售数量!AD10+产品销售数量!AE10+产品销售数量!AF10+产品销售数量!AG10+产品销售数量!AH10+产品销售数量!AI10+产品销售数量!AJ10+产品销售数量!AK10+产品销售数量!AL10+产品销售数量!AM10+产品销售数量!AN10+产品销售数量!AO10+产品销售数量!AQ10+产品销售数量!AP10+产品销售数量!AR10+产品销售数量!BR10+产品销售数量!AS10+产品销售数量!CA10+产品销售数量!BE10+产品销售数量!BF10</f>
        <v>4104</v>
      </c>
      <c r="EN13" s="5">
        <f t="shared" si="77"/>
        <v>1.0477582846003899</v>
      </c>
      <c r="EO13" s="5">
        <f t="shared" si="78"/>
        <v>-196</v>
      </c>
      <c r="EP13" s="5">
        <f t="shared" si="79"/>
        <v>-5.6894697674418602</v>
      </c>
      <c r="EQ13" s="6">
        <f>应产率辅助表!X10</f>
        <v>0</v>
      </c>
      <c r="ER13" s="6">
        <f>应产率辅助表!X39</f>
        <v>0</v>
      </c>
      <c r="ES13" s="7">
        <f t="shared" si="80"/>
        <v>0</v>
      </c>
      <c r="ET13" s="5">
        <f>+产品销售数量!AQ10+产品销售数量!AP10+产品销售数量!AR10+产品销售数量!BR10+产品销售数量!AS10+产品销售数量!CA10+产品销售数量!BE10+产品销售数量!BF10</f>
        <v>324</v>
      </c>
      <c r="EU13" s="5">
        <f t="shared" si="81"/>
        <v>0</v>
      </c>
      <c r="EV13" s="5">
        <f t="shared" si="82"/>
        <v>324</v>
      </c>
      <c r="EW13" s="5" t="e">
        <f t="shared" si="83"/>
        <v>#DIV/0!</v>
      </c>
      <c r="EX13" s="6">
        <f>应产率辅助表!Y10</f>
        <v>160</v>
      </c>
      <c r="EY13" s="6">
        <f>应产率辅助表!Y39</f>
        <v>8.8000000000000007</v>
      </c>
      <c r="EZ13" s="7">
        <f t="shared" si="84"/>
        <v>1.2821702713378266E-4</v>
      </c>
      <c r="FA13" s="5">
        <f>产品销售数量!H10</f>
        <v>199</v>
      </c>
      <c r="FB13" s="5">
        <f t="shared" si="85"/>
        <v>0.8040201005025126</v>
      </c>
      <c r="FC13" s="5">
        <f t="shared" si="86"/>
        <v>39</v>
      </c>
      <c r="FD13" s="5">
        <f t="shared" si="87"/>
        <v>2.1450000000000005</v>
      </c>
      <c r="FE13" s="6">
        <f>应产率辅助表!Z10</f>
        <v>9800</v>
      </c>
      <c r="FF13" s="6">
        <f>应产率辅助表!Z39</f>
        <v>405.68</v>
      </c>
      <c r="FG13" s="7">
        <f t="shared" si="88"/>
        <v>5.9108049508673809E-3</v>
      </c>
      <c r="FH13" s="5">
        <f>+产品销售数量!J10+产品销售数量!K10+产品销售数量!L10+产品销售数量!M10+产品销售数量!O10+产品销售数量!P10+产品销售数量!S10+产品销售数量!T10+产品销售数量!BQ10+产品销售数量!BS10+产品销售数量!CC10+产品销售数量!CH10+产品销售数量!CI10+产品销售数量!CJ10+产品销售数量!CK10+产品销售数量!CL10+产品销售数量!BL10+产品销售数量!AU10++产品销售数量!AW10+产品销售数量!BQ10+产品销售数量!CN10+产品销售数量!CO10+产品销售数量!CQ10+产品销售数量!CX10+产品销售数量!CY10+产品销售数量!CM10</f>
        <v>7072</v>
      </c>
      <c r="FI13" s="5">
        <f t="shared" si="89"/>
        <v>1.3857466063348416</v>
      </c>
      <c r="FJ13" s="5">
        <f t="shared" si="90"/>
        <v>-2728</v>
      </c>
      <c r="FK13" s="5">
        <f t="shared" si="91"/>
        <v>-112.92806530612246</v>
      </c>
      <c r="FL13" s="6">
        <f>应产率辅助表!AA10</f>
        <v>0</v>
      </c>
      <c r="FM13" s="6">
        <f>应产率辅助表!AA39</f>
        <v>0</v>
      </c>
      <c r="FN13" s="7">
        <f t="shared" si="92"/>
        <v>0</v>
      </c>
      <c r="FO13" s="5">
        <f>+产品销售数量!R10+产品销售数量!CE10</f>
        <v>0</v>
      </c>
      <c r="FP13" s="5" t="e">
        <f t="shared" si="93"/>
        <v>#DIV/0!</v>
      </c>
      <c r="FQ13" s="5">
        <f t="shared" si="94"/>
        <v>0</v>
      </c>
      <c r="FR13" s="5" t="e">
        <f t="shared" si="95"/>
        <v>#DIV/0!</v>
      </c>
      <c r="FS13" s="6">
        <f>应产率辅助表!AB10</f>
        <v>30</v>
      </c>
      <c r="FT13" s="5">
        <f t="shared" si="96"/>
        <v>1500</v>
      </c>
      <c r="FU13" s="6">
        <f>应产率辅助表!AB39</f>
        <v>39.880000000000003</v>
      </c>
      <c r="FV13" s="7">
        <f t="shared" si="97"/>
        <v>5.810562547835514E-4</v>
      </c>
      <c r="FW13" s="5">
        <f t="shared" si="98"/>
        <v>0.32772558444395894</v>
      </c>
      <c r="FX13" s="6">
        <f>应产率辅助表!AC10</f>
        <v>1800</v>
      </c>
      <c r="FY13" s="6">
        <f>应产率辅助表!AC39</f>
        <v>81.650000000000006</v>
      </c>
      <c r="FZ13" s="7">
        <f t="shared" si="99"/>
        <v>1.1896500301674267E-3</v>
      </c>
      <c r="GA13" s="5">
        <f t="shared" si="100"/>
        <v>0.39327070133275072</v>
      </c>
      <c r="GB13" s="6">
        <f>应产率辅助表!AD10</f>
        <v>19</v>
      </c>
      <c r="GC13" s="6">
        <f>应产率辅助表!AD39</f>
        <v>2957.88</v>
      </c>
      <c r="GD13" s="7">
        <f t="shared" si="101"/>
        <v>4.3096656843008299E-2</v>
      </c>
      <c r="GE13" s="6">
        <f>应产率辅助表!AE10</f>
        <v>6660</v>
      </c>
      <c r="GF13" s="6">
        <f>应产率辅助表!AE39</f>
        <v>41.97</v>
      </c>
      <c r="GG13" s="7">
        <f t="shared" si="102"/>
        <v>6.1150779872782472E-4</v>
      </c>
      <c r="GH13" s="6">
        <f>应产率辅助表!AF10</f>
        <v>49</v>
      </c>
      <c r="GI13" s="6">
        <f>应产率辅助表!AF39</f>
        <v>75.95</v>
      </c>
      <c r="GJ13" s="7">
        <f t="shared" si="103"/>
        <v>1.1066003648648628E-3</v>
      </c>
      <c r="GK13" s="6">
        <f>应产率辅助表!AG10</f>
        <v>435</v>
      </c>
      <c r="GL13" s="6">
        <f>应产率辅助表!AG39</f>
        <v>91.4</v>
      </c>
      <c r="GM13" s="7">
        <f t="shared" si="104"/>
        <v>1.3317086681849701E-3</v>
      </c>
      <c r="GN13" s="6"/>
      <c r="GO13" s="6">
        <f>应产率辅助表!AH10</f>
        <v>300</v>
      </c>
      <c r="GP13" s="6">
        <f>应产率辅助表!AH39</f>
        <v>17.149999999999999</v>
      </c>
      <c r="GQ13" s="7">
        <f t="shared" si="105"/>
        <v>2.4987750174367869E-4</v>
      </c>
      <c r="GR13" s="6">
        <f>应产率辅助表!AI10</f>
        <v>3559</v>
      </c>
      <c r="GS13" s="6">
        <f>应产率辅助表!AI39</f>
        <v>415.71999999999997</v>
      </c>
      <c r="GT13" s="7">
        <f t="shared" si="106"/>
        <v>6.0570889227336503E-3</v>
      </c>
      <c r="GU13" s="72">
        <f>应产率辅助表!AJ10</f>
        <v>3600</v>
      </c>
      <c r="GV13" s="72">
        <f>应产率辅助表!AJ39</f>
        <v>751.66</v>
      </c>
      <c r="GW13" s="7">
        <f t="shared" si="107"/>
        <v>1.0951773933565803E-2</v>
      </c>
      <c r="GX13" s="72">
        <f>应产率辅助表!AK10</f>
        <v>683</v>
      </c>
      <c r="GY13" s="72">
        <f>应产率辅助表!AK39</f>
        <v>93.12</v>
      </c>
      <c r="GZ13" s="7">
        <f t="shared" si="108"/>
        <v>1.3567692689429366E-3</v>
      </c>
      <c r="HA13" s="72">
        <f>应产率辅助表!AL10</f>
        <v>135</v>
      </c>
      <c r="HB13" s="72">
        <f>应产率辅助表!AL39</f>
        <v>50.96</v>
      </c>
      <c r="HC13" s="7">
        <f t="shared" si="109"/>
        <v>7.4249314803835956E-4</v>
      </c>
      <c r="HD13" s="72">
        <f>应产率辅助表!AM10</f>
        <v>260</v>
      </c>
      <c r="HE13" s="72">
        <f>应产率辅助表!AM39</f>
        <v>21.36</v>
      </c>
      <c r="HF13" s="7">
        <f t="shared" si="110"/>
        <v>3.1121769313381789E-4</v>
      </c>
      <c r="HG13" s="72">
        <f>应产率辅助表!AN10</f>
        <v>220</v>
      </c>
      <c r="HH13" s="72">
        <f>应产率辅助表!AN39</f>
        <v>65.849999999999994</v>
      </c>
      <c r="HI13" s="7">
        <f t="shared" si="111"/>
        <v>9.5944218599540768E-4</v>
      </c>
      <c r="HJ13" s="72">
        <f>应产率辅助表!AO10</f>
        <v>20</v>
      </c>
      <c r="HK13" s="72">
        <f>应产率辅助表!AO39</f>
        <v>7.21</v>
      </c>
      <c r="HL13" s="7">
        <f t="shared" si="112"/>
        <v>1.0505054154938329E-4</v>
      </c>
      <c r="HM13" s="72">
        <f>应产率辅助表!AP10</f>
        <v>1829</v>
      </c>
      <c r="HN13" s="72">
        <f>应产率辅助表!AP39</f>
        <v>419.6</v>
      </c>
      <c r="HO13" s="7">
        <f t="shared" si="113"/>
        <v>6.113620975606273E-3</v>
      </c>
      <c r="HP13" s="6">
        <f>产品销售数量!DP10</f>
        <v>26</v>
      </c>
      <c r="HQ13" s="6">
        <v>299</v>
      </c>
      <c r="HR13" s="5">
        <f t="shared" si="115"/>
        <v>4.3564648992046604E-3</v>
      </c>
      <c r="HS13" s="6">
        <v>0</v>
      </c>
      <c r="HT13" s="6">
        <v>0</v>
      </c>
      <c r="HU13" s="5">
        <f t="shared" si="116"/>
        <v>0</v>
      </c>
      <c r="HV13" s="6">
        <v>0</v>
      </c>
      <c r="HW13" s="6">
        <v>0</v>
      </c>
      <c r="HX13" s="5">
        <f t="shared" si="117"/>
        <v>0</v>
      </c>
      <c r="HY13" s="5"/>
      <c r="HZ13" s="5"/>
      <c r="IA13" s="5">
        <f t="shared" si="166"/>
        <v>0</v>
      </c>
      <c r="IB13" s="5">
        <f t="shared" si="118"/>
        <v>26</v>
      </c>
      <c r="IC13" s="5">
        <f t="shared" si="118"/>
        <v>299</v>
      </c>
      <c r="ID13" s="5">
        <f t="shared" si="119"/>
        <v>4.3564648992046604E-3</v>
      </c>
      <c r="IE13" s="7">
        <f t="shared" si="120"/>
        <v>26</v>
      </c>
      <c r="IF13" s="7">
        <f t="shared" si="120"/>
        <v>299</v>
      </c>
      <c r="IG13" s="5">
        <f t="shared" si="121"/>
        <v>4.3564648992046604E-3</v>
      </c>
      <c r="IH13" s="5">
        <f t="shared" si="122"/>
        <v>9.823347533854758E-2</v>
      </c>
      <c r="II13" s="5">
        <f t="shared" si="123"/>
        <v>1.837364568943825E-2</v>
      </c>
      <c r="IJ13" s="8">
        <f t="shared" si="124"/>
        <v>9.8832856493489135E-3</v>
      </c>
      <c r="IK13" s="8">
        <f t="shared" si="125"/>
        <v>1.1834210526315789E-2</v>
      </c>
      <c r="IL13" s="8">
        <f t="shared" si="126"/>
        <v>1.520179261776366E-2</v>
      </c>
      <c r="IM13" s="8">
        <f t="shared" si="127"/>
        <v>7.2003960396039603E-3</v>
      </c>
      <c r="IN13" s="8">
        <f t="shared" si="128"/>
        <v>4.5797685950413223E-3</v>
      </c>
      <c r="IO13" s="8">
        <f t="shared" si="129"/>
        <v>1.41735918744229E-2</v>
      </c>
      <c r="IP13" s="8">
        <f t="shared" si="130"/>
        <v>1.4167741935483872E-2</v>
      </c>
      <c r="IQ13" s="8">
        <f t="shared" si="131"/>
        <v>1.8348975761038114E-2</v>
      </c>
      <c r="IR13" s="8">
        <f t="shared" si="132"/>
        <v>1.5979310344827587E-2</v>
      </c>
      <c r="IS13" s="8">
        <f t="shared" si="133"/>
        <v>6.1893600784912245E-3</v>
      </c>
      <c r="IT13" s="8">
        <f t="shared" si="134"/>
        <v>9.6542101552181299E-3</v>
      </c>
      <c r="IU13" s="8">
        <f t="shared" si="135"/>
        <v>1.7383750638732754E-2</v>
      </c>
      <c r="IV13" s="8">
        <f t="shared" si="136"/>
        <v>1.0191515948701085E-2</v>
      </c>
      <c r="IW13" s="8">
        <f t="shared" si="137"/>
        <v>1.0803567707247946E-2</v>
      </c>
      <c r="IX13" s="8" t="e">
        <f t="shared" si="138"/>
        <v>#DIV/0!</v>
      </c>
      <c r="IY13" s="8">
        <f t="shared" si="139"/>
        <v>1.9309021113243761E-2</v>
      </c>
      <c r="IZ13" s="8">
        <f t="shared" si="140"/>
        <v>8.4146825396825387E-2</v>
      </c>
      <c r="JA13" s="8">
        <f t="shared" si="141"/>
        <v>8.8495323302155357E-2</v>
      </c>
      <c r="JB13" s="8">
        <f t="shared" si="142"/>
        <v>5.5539568345323739E-2</v>
      </c>
      <c r="JC13" s="8">
        <f t="shared" si="143"/>
        <v>2.9027906976744185E-2</v>
      </c>
      <c r="JD13" s="8" t="e">
        <f t="shared" si="144"/>
        <v>#DIV/0!</v>
      </c>
      <c r="JE13" s="8">
        <f t="shared" si="145"/>
        <v>5.5000000000000007E-2</v>
      </c>
      <c r="JF13" s="8">
        <f t="shared" si="146"/>
        <v>4.1395918367346941E-2</v>
      </c>
      <c r="JG13" s="8" t="e">
        <f t="shared" si="147"/>
        <v>#DIV/0!</v>
      </c>
      <c r="JH13" s="8">
        <f t="shared" si="148"/>
        <v>1.3293333333333335</v>
      </c>
      <c r="JI13" s="8">
        <f t="shared" si="149"/>
        <v>4.5361111111111116E-2</v>
      </c>
      <c r="JJ13" s="8">
        <f t="shared" si="150"/>
        <v>155.67789473684212</v>
      </c>
      <c r="JK13" s="8">
        <f t="shared" si="151"/>
        <v>6.3018018018018013E-3</v>
      </c>
      <c r="JL13" s="8">
        <f t="shared" si="152"/>
        <v>1.55</v>
      </c>
      <c r="JM13" s="8">
        <f t="shared" si="153"/>
        <v>0.21011494252873564</v>
      </c>
      <c r="JN13" s="8">
        <f t="shared" si="154"/>
        <v>5.7166666666666664E-2</v>
      </c>
      <c r="JO13" s="8">
        <f t="shared" si="155"/>
        <v>0.1168080921607193</v>
      </c>
      <c r="JP13" s="9">
        <f t="shared" si="156"/>
        <v>0.20879444444444445</v>
      </c>
      <c r="JQ13" s="9">
        <f t="shared" si="157"/>
        <v>0.13633967789165446</v>
      </c>
      <c r="JR13" s="9">
        <f t="shared" si="158"/>
        <v>0.37748148148148147</v>
      </c>
      <c r="JS13" s="9">
        <f t="shared" si="159"/>
        <v>8.2153846153846147E-2</v>
      </c>
      <c r="JT13" s="9">
        <f t="shared" si="160"/>
        <v>0.29931818181818182</v>
      </c>
      <c r="JU13" s="9">
        <f t="shared" si="161"/>
        <v>0.36049999999999999</v>
      </c>
      <c r="JV13" s="9">
        <f t="shared" si="162"/>
        <v>0.22941498086386006</v>
      </c>
      <c r="JW13" s="9">
        <f t="shared" si="163"/>
        <v>11.5</v>
      </c>
    </row>
    <row r="14" spans="1:283" s="11" customFormat="1" ht="18" customHeight="1" x14ac:dyDescent="0.15">
      <c r="A14" s="10">
        <v>863</v>
      </c>
      <c r="B14" s="5" t="s">
        <v>598</v>
      </c>
      <c r="C14" s="5" t="s">
        <v>594</v>
      </c>
      <c r="D14" s="55">
        <v>59553.39</v>
      </c>
      <c r="E14" s="56">
        <f>产品销售数量!D11</f>
        <v>2978</v>
      </c>
      <c r="F14" s="6">
        <f>应产率辅助表!C11</f>
        <v>213000</v>
      </c>
      <c r="G14" s="6">
        <f>应产率辅助表!C40</f>
        <v>2105.1799999999998</v>
      </c>
      <c r="H14" s="7">
        <f t="shared" si="1"/>
        <v>3.5349457016636665E-2</v>
      </c>
      <c r="I14" s="5">
        <f>产品销售数量!E11+产品销售数量!F11*1.36</f>
        <v>1836.4</v>
      </c>
      <c r="J14" s="5">
        <f t="shared" si="164"/>
        <v>8.6215962441314566</v>
      </c>
      <c r="K14" s="5">
        <f t="shared" si="2"/>
        <v>-10628.719999999972</v>
      </c>
      <c r="L14" s="5">
        <f t="shared" si="3"/>
        <v>-105.04867966948328</v>
      </c>
      <c r="M14" s="6">
        <f>应产率辅助表!D11</f>
        <v>21000</v>
      </c>
      <c r="N14" s="6">
        <f>应产率辅助表!D40</f>
        <v>248.5</v>
      </c>
      <c r="O14" s="7">
        <f t="shared" si="4"/>
        <v>4.172726355292285E-3</v>
      </c>
      <c r="P14" s="5">
        <f>+产品销售数量!H11</f>
        <v>234</v>
      </c>
      <c r="Q14" s="5">
        <f t="shared" si="5"/>
        <v>11.142857142857142</v>
      </c>
      <c r="R14" s="5">
        <f t="shared" si="6"/>
        <v>141.89999999999782</v>
      </c>
      <c r="S14" s="5">
        <f t="shared" si="7"/>
        <v>1.6791499999999742</v>
      </c>
      <c r="T14" s="6">
        <f>应产率辅助表!E11</f>
        <v>84000</v>
      </c>
      <c r="U14" s="6">
        <f>应产率辅助表!E40</f>
        <v>1276.8</v>
      </c>
      <c r="V14" s="7">
        <f t="shared" si="8"/>
        <v>2.1439585555079233E-2</v>
      </c>
      <c r="W14" s="5">
        <f>+产品销售数量!V11+产品销售数量!CP11</f>
        <v>813</v>
      </c>
      <c r="X14" s="5">
        <f t="shared" si="9"/>
        <v>9.6785714285714288</v>
      </c>
      <c r="Y14" s="5">
        <f t="shared" si="10"/>
        <v>-2862.6000000000058</v>
      </c>
      <c r="Z14" s="5">
        <f t="shared" si="11"/>
        <v>-43.51152000000009</v>
      </c>
      <c r="AA14" s="6">
        <f>应产率辅助表!F11</f>
        <v>75000</v>
      </c>
      <c r="AB14" s="6">
        <f>应产率辅助表!F40</f>
        <v>540.02</v>
      </c>
      <c r="AC14" s="7">
        <f t="shared" si="12"/>
        <v>9.0678297238830571E-3</v>
      </c>
      <c r="AD14" s="5">
        <f>产品销售数量!J11*1.5+产品销售数量!K11*1.5+产品销售数量!L11*1.5+产品销售数量!O11*1.5+产品销售数量!P11*1.5+产品销售数量!S11*1.5+产品销售数量!T11*1.5+产品销售数量!CH11*1.35+产品销售数量!M11*1.5+产品销售数量!CK11*0.89*1.5+产品销售数量!BL11*1.35+产品销售数量!AU11*0.9+产品销售数量!AW11*0.9+产品销售数量!BB11*1.5+产品销售数量!CN11*1.35+产品销售数量!CO11*1.35+产品销售数量!CQ11*1.5+产品销售数量!CX11*1.5+产品销售数量!CY11*1.35+产品销售数量!CZ11*1.35</f>
        <v>8244.5700000000015</v>
      </c>
      <c r="AE14" s="5">
        <f t="shared" si="13"/>
        <v>109.92760000000003</v>
      </c>
      <c r="AF14" s="5">
        <f t="shared" si="14"/>
        <v>8270.1570000000065</v>
      </c>
      <c r="AG14" s="5">
        <f t="shared" si="15"/>
        <v>59.547335775200047</v>
      </c>
      <c r="AH14" s="6">
        <f t="shared" si="165"/>
        <v>10.4</v>
      </c>
      <c r="AI14" s="6">
        <f>应产率辅助表!G11</f>
        <v>260000</v>
      </c>
      <c r="AJ14" s="6">
        <f>应产率辅助表!G40</f>
        <v>1190.76</v>
      </c>
      <c r="AK14" s="7">
        <f t="shared" si="17"/>
        <v>1.9994831528482259E-2</v>
      </c>
      <c r="AL14" s="5">
        <f>+产品销售数量!J11*1.13+产品销售数量!K11*1.13+产品销售数量!O11*1.13+产品销售数量!U11+产品销售数量!V11*2.6+产品销售数量!W11*2.6+产品销售数量!X11*1.6+产品销售数量!Y11+产品销售数量!AB11*1.74+产品销售数量!BC11*1.19+产品销售数量!BL11*0.98+产品销售数量!BM11*0.74+产品销售数量!BN11*4.495+产品销售数量!BQ11*2.29+产品销售数量!BV11*2.56+产品销售数量!CG11*1.74+产品销售数量!CJ11*0.8+产品销售数量!CK11*1.13+产品销售数量!CM11*1.19+产品销售数量!CO11*0.98+产品销售数量!CP11*2.6+产品销售数量!CQ11*1.13+产品销售数量!CR11*1.4+产品销售数量!CS11*1.4+产品销售数量!CT11*1.4+产品销售数量!CV11*1.13+产品销售数量!CW11*0.98+产品销售数量!CX11*0.378+产品销售数量!CY11*1.19+产品销售数量!DA11*0.87+产品销售数量!DB11*1.5+产品销售数量!DI11*0.595+产品销售数量!DK11*1.74+产品销售数量!DO11*1.11</f>
        <v>8796.06</v>
      </c>
      <c r="AM14" s="5">
        <f t="shared" si="18"/>
        <v>33.830999999999996</v>
      </c>
      <c r="AN14" s="5">
        <f t="shared" si="19"/>
        <v>4321.6030000000028</v>
      </c>
      <c r="AO14" s="5">
        <f t="shared" si="20"/>
        <v>19.792276878000013</v>
      </c>
      <c r="AP14" s="6">
        <f>应产率辅助表!H11</f>
        <v>2000</v>
      </c>
      <c r="AQ14" s="6">
        <f>应产率辅助表!H40</f>
        <v>28.35</v>
      </c>
      <c r="AR14" s="7">
        <f t="shared" si="21"/>
        <v>4.7604342926573954E-4</v>
      </c>
      <c r="AS14" s="5">
        <f>产品销售数量!I11*0.858+产品销售数量!Z11*0.686+产品销售数量!AA11*1.79+产品销售数量!CF11*1.79+产品销售数量!CL11*0.89</f>
        <v>308.15999999999997</v>
      </c>
      <c r="AT14" s="5">
        <f t="shared" si="22"/>
        <v>154.07999999999998</v>
      </c>
      <c r="AU14" s="5">
        <f t="shared" si="23"/>
        <v>-659.50400000000036</v>
      </c>
      <c r="AV14" s="5">
        <f t="shared" si="24"/>
        <v>-9.3484692000000056</v>
      </c>
      <c r="AW14" s="6">
        <f>应产率辅助表!I11</f>
        <v>1000</v>
      </c>
      <c r="AX14" s="6">
        <f>应产率辅助表!I40</f>
        <v>14.2</v>
      </c>
      <c r="AY14" s="7">
        <f t="shared" si="25"/>
        <v>2.3844150601670197E-4</v>
      </c>
      <c r="AZ14" s="5">
        <f>+产品销售数量!I11*0.857+产品销售数量!Z11*0.485+产品销售数量!AA11*1.88+产品销售数量!CF11*1.88+产品销售数量!CL11*0.89</f>
        <v>297.75</v>
      </c>
      <c r="BA14" s="5">
        <f t="shared" si="26"/>
        <v>297.75</v>
      </c>
      <c r="BB14" s="5">
        <f t="shared" si="27"/>
        <v>965.14999999999986</v>
      </c>
      <c r="BC14" s="5">
        <f t="shared" si="28"/>
        <v>13.705129999999997</v>
      </c>
      <c r="BD14" s="6">
        <f>应产率辅助表!J11</f>
        <v>6000</v>
      </c>
      <c r="BE14" s="6">
        <f>应产率辅助表!J40</f>
        <v>110.13</v>
      </c>
      <c r="BF14" s="7">
        <f t="shared" si="167"/>
        <v>1.8492650040577035E-3</v>
      </c>
      <c r="BG14" s="5">
        <f>+产品销售数量!J11*2+产品销售数量!L11*0.93+产品销售数量!O11*2+产品销售数量!P11*0.93+产品销售数量!U11*1.93+产品销售数量!W11*2+产品销售数量!V11*3.79+产品销售数量!I11*2.678+产品销售数量!CK11*1.32+产品销售数量!CQ11*2</f>
        <v>4788.9399999999996</v>
      </c>
      <c r="BH14" s="5">
        <f t="shared" si="168"/>
        <v>798.15666666666664</v>
      </c>
      <c r="BI14" s="5">
        <f t="shared" si="169"/>
        <v>704.51599999999871</v>
      </c>
      <c r="BJ14" s="5">
        <f t="shared" si="170"/>
        <v>12.931391179999975</v>
      </c>
      <c r="BK14" s="6">
        <f>应产率辅助表!K11</f>
        <v>4000</v>
      </c>
      <c r="BL14" s="6">
        <f>应产率辅助表!K40</f>
        <v>65.8</v>
      </c>
      <c r="BM14" s="7">
        <f t="shared" si="33"/>
        <v>1.1048909222464078E-3</v>
      </c>
      <c r="BN14" s="5">
        <f>产品销售数量!K11*1.125+产品销售数量!Y11*4.12+产品销售数量!X11*5.5+产品销售数量!AA11*13.25+产品销售数量!AB11*13.25+产品销售数量!BN11*6.87+产品销售数量!BV11+产品销售数量!CF11*13.25+产品销售数量!CG11*13.25+产品销售数量!CJ11*6.63+产品销售数量!CL11*6.63+产品销售数量!CR11*2.25+产品销售数量!CS11*2.25+产品销售数量!CT11*2.25+产品销售数量!CV11*0.75+产品销售数量!DA11*6.63+产品销售数量!DJ11*13.25+产品销售数量!DK11*13.25</f>
        <v>6065.38</v>
      </c>
      <c r="BO14" s="5">
        <f t="shared" si="0"/>
        <v>1516.345</v>
      </c>
      <c r="BP14" s="5">
        <f t="shared" si="34"/>
        <v>852.30400000000009</v>
      </c>
      <c r="BQ14" s="5">
        <f t="shared" si="35"/>
        <v>14.020400800000001</v>
      </c>
      <c r="BR14" s="6">
        <f>应产率辅助表!L11</f>
        <v>12250</v>
      </c>
      <c r="BS14" s="6">
        <f>应产率辅助表!L40</f>
        <v>75.81</v>
      </c>
      <c r="BT14" s="7">
        <f t="shared" si="171"/>
        <v>1.2729753923328294E-3</v>
      </c>
      <c r="BU14" s="5">
        <f>产品销售数量!O11+产品销售数量!P11+产品销售数量!CI11*1.5+产品销售数量!CK11*0.89+产品销售数量!M11*1.34</f>
        <v>992.33999999999992</v>
      </c>
      <c r="BV14" s="5">
        <f t="shared" si="172"/>
        <v>81.007346938775498</v>
      </c>
      <c r="BW14" s="5">
        <f t="shared" si="173"/>
        <v>-2227.3660000000018</v>
      </c>
      <c r="BX14" s="5">
        <f t="shared" si="174"/>
        <v>-13.78421358857144</v>
      </c>
      <c r="BY14" s="6">
        <f>应产率辅助表!M11</f>
        <v>85300</v>
      </c>
      <c r="BZ14" s="6">
        <f>应产率辅助表!M40</f>
        <v>823.38</v>
      </c>
      <c r="CA14" s="7">
        <f t="shared" si="40"/>
        <v>1.3825913184790992E-2</v>
      </c>
      <c r="CB14" s="5">
        <f>+产品销售数量!J11+产品销售数量!K11+产品销售数量!L11+产品销售数量!O11+产品销售数量!P11+产品销售数量!S11+产品销售数量!T11+产品销售数量!AU11*0.9+产品销售数量!AW11*0.9+产品销售数量!BL11*0.9+产品销售数量!CH11*0.9+产品销售数量!CK11*0.9+产品销售数量!CN11*0.9+产品销售数量!CO11*0.9+产品销售数量!CQ11+产品销售数量!CV11+产品销售数量!CW11*0.9+产品销售数量!DB11</f>
        <v>5152</v>
      </c>
      <c r="CC14" s="5">
        <f t="shared" si="41"/>
        <v>60.398593200468937</v>
      </c>
      <c r="CD14" s="5">
        <f t="shared" si="42"/>
        <v>-7247.1999999999971</v>
      </c>
      <c r="CE14" s="5">
        <f t="shared" si="43"/>
        <v>-69.955445908558005</v>
      </c>
      <c r="CF14" s="6">
        <f>应产率辅助表!N11</f>
        <v>0</v>
      </c>
      <c r="CG14" s="6">
        <f>应产率辅助表!N40</f>
        <v>0</v>
      </c>
      <c r="CH14" s="7">
        <f t="shared" si="44"/>
        <v>0</v>
      </c>
      <c r="CI14" s="5">
        <f>产品销售数量!P11+产品销售数量!Z11*1.4+产品销售数量!L11</f>
        <v>286</v>
      </c>
      <c r="CJ14" s="5" t="e">
        <f t="shared" si="45"/>
        <v>#DIV/0!</v>
      </c>
      <c r="CK14" s="5">
        <f t="shared" si="46"/>
        <v>78052.800000000003</v>
      </c>
      <c r="CL14" s="5" t="e">
        <f t="shared" si="47"/>
        <v>#DIV/0!</v>
      </c>
      <c r="CM14" s="6">
        <f>应产率辅助表!O11</f>
        <v>201575</v>
      </c>
      <c r="CN14" s="6">
        <f>应产率辅助表!O40</f>
        <v>2016.54</v>
      </c>
      <c r="CO14" s="7">
        <f t="shared" si="48"/>
        <v>3.3861044686121146E-2</v>
      </c>
      <c r="CP14" s="5">
        <f>+产品销售数量!AE11*1.04+产品销售数量!AD11*1.279+产品销售数量!BW11*1.04+产品销售数量!BX11*1.279</f>
        <v>2632.1170000000002</v>
      </c>
      <c r="CQ14" s="5">
        <f t="shared" si="49"/>
        <v>13.05775517797346</v>
      </c>
      <c r="CR14" s="5">
        <f t="shared" si="50"/>
        <v>-85235.428599999985</v>
      </c>
      <c r="CS14" s="5">
        <f t="shared" si="51"/>
        <v>-852.68833530469533</v>
      </c>
      <c r="CT14" s="6">
        <f>应产率辅助表!P11</f>
        <v>26434</v>
      </c>
      <c r="CU14" s="6">
        <f>应产率辅助表!P40</f>
        <v>287.82</v>
      </c>
      <c r="CV14" s="7">
        <f t="shared" si="52"/>
        <v>-2.7079460179588958E-2</v>
      </c>
      <c r="CW14" s="5">
        <f>+产品销售数量!AC11*1.08+产品销售数量!AH11*1+产品销售数量!AG11*1.45+产品销售数量!BG11*0.834+产品销售数量!CU11*0.834+产品销售数量!DM11*1.19</f>
        <v>425.43</v>
      </c>
      <c r="CX14" s="5">
        <f t="shared" si="53"/>
        <v>16.094045547401073</v>
      </c>
      <c r="CY14" s="5">
        <f t="shared" si="54"/>
        <v>-7629.9939999999988</v>
      </c>
      <c r="CZ14" s="5">
        <f t="shared" si="55"/>
        <v>-83.077282026178395</v>
      </c>
      <c r="DA14" s="6">
        <f>应产率辅助表!Q11</f>
        <v>0</v>
      </c>
      <c r="DB14" s="6">
        <f>应产率辅助表!Q40</f>
        <v>0</v>
      </c>
      <c r="DC14" s="7">
        <f t="shared" si="56"/>
        <v>0</v>
      </c>
      <c r="DD14" s="5">
        <f>产品销售数量!AJ11*2+产品销售数量!AK11*1.38+产品销售数量!AL11+产品销售数量!BT11*1.38+产品销售数量!BU11*2</f>
        <v>0</v>
      </c>
      <c r="DE14" s="5" t="e">
        <f t="shared" si="57"/>
        <v>#DIV/0!</v>
      </c>
      <c r="DF14" s="5">
        <f t="shared" si="58"/>
        <v>0</v>
      </c>
      <c r="DG14" s="5" t="e">
        <f t="shared" si="59"/>
        <v>#DIV/0!</v>
      </c>
      <c r="DH14" s="6">
        <f>应产率辅助表!R11</f>
        <v>12680</v>
      </c>
      <c r="DI14" s="6">
        <f>应产率辅助表!R40</f>
        <v>244.82</v>
      </c>
      <c r="DJ14" s="7">
        <f t="shared" si="60"/>
        <v>4.1109330635921816E-3</v>
      </c>
      <c r="DK14" s="5">
        <f>+产品销售数量!AM11*1.375+产品销售数量!AN11+产品销售数量!AO11*0.75+产品销售数量!BR11*0.57</f>
        <v>288.17999999999995</v>
      </c>
      <c r="DL14" s="5">
        <f t="shared" si="61"/>
        <v>22.727129337539427</v>
      </c>
      <c r="DM14" s="5">
        <f t="shared" si="62"/>
        <v>57.555999999998676</v>
      </c>
      <c r="DN14" s="5">
        <f t="shared" si="63"/>
        <v>1.1112665552050216</v>
      </c>
      <c r="DO14" s="6">
        <f>应产率辅助表!S11+应产率辅助表!T11</f>
        <v>1150</v>
      </c>
      <c r="DP14" s="6">
        <f>应产率辅助表!S40+应产率辅助表!T40</f>
        <v>99.52000000000001</v>
      </c>
      <c r="DQ14" s="7">
        <f t="shared" si="64"/>
        <v>1.6711055407593088E-3</v>
      </c>
      <c r="DR14" s="5">
        <f>+产品销售数量!Y11+产品销售数量!X11+产品销售数量!AB11*3+产品销售数量!CG11*3+产品销售数量!CJ11*2+产品销售数量!BN11*2+产品销售数量!CR11+产品销售数量!CS11+产品销售数量!CT11+产品销售数量!BM11+产品销售数量!AA11+产品销售数量!CF11</f>
        <v>998</v>
      </c>
      <c r="DS14" s="96">
        <f t="shared" si="65"/>
        <v>1.1523046092184368</v>
      </c>
      <c r="DT14" s="5">
        <f t="shared" si="66"/>
        <v>-152</v>
      </c>
      <c r="DU14" s="5">
        <f t="shared" si="67"/>
        <v>-13.153947826086958</v>
      </c>
      <c r="DV14" s="6">
        <f>应产率辅助表!U11</f>
        <v>3300</v>
      </c>
      <c r="DW14" s="6">
        <f>应产率辅助表!U40</f>
        <v>288.87</v>
      </c>
      <c r="DX14" s="7">
        <f t="shared" si="68"/>
        <v>4.8506054819045571E-3</v>
      </c>
      <c r="DY14" s="5">
        <f>+产品销售数量!E11+产品销售数量!F11*2+产品销售数量!G11+产品销售数量!CY11+产品销售数量!DE11+产品销售数量!DH11</f>
        <v>3143</v>
      </c>
      <c r="DZ14" s="5">
        <f t="shared" si="69"/>
        <v>1.0499522748965957</v>
      </c>
      <c r="EA14" s="5">
        <f t="shared" si="70"/>
        <v>-157</v>
      </c>
      <c r="EB14" s="5">
        <f t="shared" si="71"/>
        <v>-13.74320909090909</v>
      </c>
      <c r="EC14" s="6">
        <f>应产率辅助表!V11</f>
        <v>12</v>
      </c>
      <c r="ED14" s="6">
        <f>应产率辅助表!V40</f>
        <v>0.67</v>
      </c>
      <c r="EE14" s="7">
        <f t="shared" si="72"/>
        <v>1.1250409086703546E-5</v>
      </c>
      <c r="EF14" s="5">
        <f>+产品销售数量!AS11</f>
        <v>10</v>
      </c>
      <c r="EG14" s="5">
        <f t="shared" si="73"/>
        <v>1.2</v>
      </c>
      <c r="EH14" s="5">
        <f t="shared" si="74"/>
        <v>-2</v>
      </c>
      <c r="EI14" s="5">
        <f t="shared" si="75"/>
        <v>-0.11166666666666668</v>
      </c>
      <c r="EJ14" s="6">
        <f>应产率辅助表!W11</f>
        <v>2794</v>
      </c>
      <c r="EK14" s="6">
        <f>应产率辅助表!W40</f>
        <v>87.83</v>
      </c>
      <c r="EL14" s="7">
        <f t="shared" si="76"/>
        <v>1.4748110896793617E-3</v>
      </c>
      <c r="EM14" s="5">
        <f>+产品销售数量!AD11+产品销售数量!AE11+产品销售数量!AF11+产品销售数量!AG11+产品销售数量!AH11+产品销售数量!AI11+产品销售数量!AJ11+产品销售数量!AK11+产品销售数量!AL11+产品销售数量!AM11+产品销售数量!AN11+产品销售数量!AO11+产品销售数量!AQ11+产品销售数量!AP11+产品销售数量!AR11+产品销售数量!BR11+产品销售数量!AS11+产品销售数量!CA11+产品销售数量!BE11+产品销售数量!BF11</f>
        <v>2565</v>
      </c>
      <c r="EN14" s="5">
        <f t="shared" si="77"/>
        <v>1.0892787524366472</v>
      </c>
      <c r="EO14" s="5">
        <f t="shared" si="78"/>
        <v>-229</v>
      </c>
      <c r="EP14" s="5">
        <f t="shared" si="79"/>
        <v>-7.1986649964209022</v>
      </c>
      <c r="EQ14" s="6">
        <f>应产率辅助表!X11</f>
        <v>0</v>
      </c>
      <c r="ER14" s="6">
        <f>应产率辅助表!X40</f>
        <v>0</v>
      </c>
      <c r="ES14" s="7">
        <f t="shared" si="80"/>
        <v>0</v>
      </c>
      <c r="ET14" s="5">
        <f>+产品销售数量!AQ11+产品销售数量!AP11+产品销售数量!AR11+产品销售数量!BR11+产品销售数量!AS11+产品销售数量!CA11+产品销售数量!BE11+产品销售数量!BF11</f>
        <v>735</v>
      </c>
      <c r="EU14" s="5">
        <f t="shared" si="81"/>
        <v>0</v>
      </c>
      <c r="EV14" s="5">
        <f t="shared" si="82"/>
        <v>735</v>
      </c>
      <c r="EW14" s="5" t="e">
        <f t="shared" si="83"/>
        <v>#DIV/0!</v>
      </c>
      <c r="EX14" s="6">
        <f>应产率辅助表!Y11</f>
        <v>238</v>
      </c>
      <c r="EY14" s="6">
        <f>应产率辅助表!Y40</f>
        <v>13.11</v>
      </c>
      <c r="EZ14" s="7">
        <f t="shared" si="84"/>
        <v>2.2013860168161711E-4</v>
      </c>
      <c r="FA14" s="5">
        <f>产品销售数量!H11</f>
        <v>234</v>
      </c>
      <c r="FB14" s="5">
        <f t="shared" si="85"/>
        <v>1.017094017094017</v>
      </c>
      <c r="FC14" s="5">
        <f t="shared" si="86"/>
        <v>-4</v>
      </c>
      <c r="FD14" s="5">
        <f t="shared" si="87"/>
        <v>-0.2203361344537815</v>
      </c>
      <c r="FE14" s="6">
        <f>应产率辅助表!Z11</f>
        <v>6295</v>
      </c>
      <c r="FF14" s="6">
        <f>应产率辅助表!Z40</f>
        <v>260.58999999999997</v>
      </c>
      <c r="FG14" s="7">
        <f t="shared" si="88"/>
        <v>4.3757374685135467E-3</v>
      </c>
      <c r="FH14" s="5">
        <f>+产品销售数量!J11+产品销售数量!K11+产品销售数量!L11+产品销售数量!M11+产品销售数量!O11+产品销售数量!P11+产品销售数量!S11+产品销售数量!T11+产品销售数量!BQ11+产品销售数量!BS11+产品销售数量!CC11+产品销售数量!CH11+产品销售数量!CI11+产品销售数量!CJ11+产品销售数量!CK11+产品销售数量!CL11+产品销售数量!BL11+产品销售数量!AU11++产品销售数量!AW11+产品销售数量!BQ11+产品销售数量!CN11+产品销售数量!CO11+产品销售数量!CQ11+产品销售数量!CX11+产品销售数量!CY11+产品销售数量!CM11</f>
        <v>6258</v>
      </c>
      <c r="FI14" s="5">
        <f t="shared" si="89"/>
        <v>1.0059124320869288</v>
      </c>
      <c r="FJ14" s="5">
        <f t="shared" si="90"/>
        <v>-37</v>
      </c>
      <c r="FK14" s="5">
        <f t="shared" si="91"/>
        <v>-1.5316648133439237</v>
      </c>
      <c r="FL14" s="6">
        <f>应产率辅助表!AA11</f>
        <v>0</v>
      </c>
      <c r="FM14" s="6">
        <f>应产率辅助表!AA40</f>
        <v>0</v>
      </c>
      <c r="FN14" s="7">
        <f t="shared" si="92"/>
        <v>0</v>
      </c>
      <c r="FO14" s="5">
        <f>+产品销售数量!R11+产品销售数量!CE11</f>
        <v>0</v>
      </c>
      <c r="FP14" s="5" t="e">
        <f t="shared" si="93"/>
        <v>#DIV/0!</v>
      </c>
      <c r="FQ14" s="5">
        <f t="shared" si="94"/>
        <v>0</v>
      </c>
      <c r="FR14" s="5" t="e">
        <f t="shared" si="95"/>
        <v>#DIV/0!</v>
      </c>
      <c r="FS14" s="6">
        <f>应产率辅助表!AB11</f>
        <v>143</v>
      </c>
      <c r="FT14" s="5">
        <f t="shared" si="96"/>
        <v>7150</v>
      </c>
      <c r="FU14" s="6">
        <f>应产率辅助表!AB40</f>
        <v>163.69999999999999</v>
      </c>
      <c r="FV14" s="7">
        <f t="shared" si="97"/>
        <v>2.7487939813333881E-3</v>
      </c>
      <c r="FW14" s="5">
        <f t="shared" si="98"/>
        <v>2.4009402283411685</v>
      </c>
      <c r="FX14" s="6">
        <f>应产率辅助表!AC11</f>
        <v>500</v>
      </c>
      <c r="FY14" s="6">
        <f>应产率辅助表!AC40</f>
        <v>22.68</v>
      </c>
      <c r="FZ14" s="7">
        <f t="shared" si="99"/>
        <v>3.8083474341259161E-4</v>
      </c>
      <c r="GA14" s="5">
        <f t="shared" si="100"/>
        <v>0.16789791806581597</v>
      </c>
      <c r="GB14" s="6">
        <f>应产率辅助表!AD11</f>
        <v>15</v>
      </c>
      <c r="GC14" s="6">
        <f>应产率辅助表!AD40</f>
        <v>2337.4699999999998</v>
      </c>
      <c r="GD14" s="7">
        <f t="shared" si="101"/>
        <v>3.9249990638652137E-2</v>
      </c>
      <c r="GE14" s="6">
        <f>应产率辅助表!AE11</f>
        <v>5500</v>
      </c>
      <c r="GF14" s="6">
        <f>应产率辅助表!AE40</f>
        <v>34.65</v>
      </c>
      <c r="GG14" s="7">
        <f t="shared" si="102"/>
        <v>5.8183085799145943E-4</v>
      </c>
      <c r="GH14" s="6">
        <f>应产率辅助表!AF11</f>
        <v>70</v>
      </c>
      <c r="GI14" s="6">
        <f>应产率辅助表!AF40</f>
        <v>108.5</v>
      </c>
      <c r="GJ14" s="7">
        <f t="shared" si="103"/>
        <v>1.8218946058318427E-3</v>
      </c>
      <c r="GK14" s="6">
        <f>应产率辅助表!AG11</f>
        <v>2364</v>
      </c>
      <c r="GL14" s="6">
        <f>应产率辅助表!AG40</f>
        <v>152.19</v>
      </c>
      <c r="GM14" s="7">
        <f t="shared" si="104"/>
        <v>2.5555220282170335E-3</v>
      </c>
      <c r="GN14" s="6"/>
      <c r="GO14" s="6">
        <f>应产率辅助表!AH11</f>
        <v>605</v>
      </c>
      <c r="GP14" s="6">
        <f>应产率辅助表!AH40</f>
        <v>34.57</v>
      </c>
      <c r="GQ14" s="7">
        <f t="shared" si="105"/>
        <v>5.8048752556319634E-4</v>
      </c>
      <c r="GR14" s="6">
        <f>应产率辅助表!AI11</f>
        <v>1201</v>
      </c>
      <c r="GS14" s="6">
        <f>应产率辅助表!AI40</f>
        <v>45.76</v>
      </c>
      <c r="GT14" s="7">
        <f t="shared" si="106"/>
        <v>7.6838614896649878E-4</v>
      </c>
      <c r="GU14" s="72">
        <f>应产率辅助表!AJ11</f>
        <v>588</v>
      </c>
      <c r="GV14" s="72">
        <f>应产率辅助表!AJ40</f>
        <v>123.1</v>
      </c>
      <c r="GW14" s="7">
        <f t="shared" si="107"/>
        <v>2.0670527739898603E-3</v>
      </c>
      <c r="GX14" s="72">
        <f>应产率辅助表!AK11</f>
        <v>194</v>
      </c>
      <c r="GY14" s="72">
        <f>应产率辅助表!AK40</f>
        <v>26.45</v>
      </c>
      <c r="GZ14" s="7">
        <f t="shared" si="108"/>
        <v>4.4413928409449069E-4</v>
      </c>
      <c r="HA14" s="72">
        <f>应产率辅助表!AL11</f>
        <v>380</v>
      </c>
      <c r="HB14" s="72">
        <f>应产率辅助表!AL40</f>
        <v>144.12</v>
      </c>
      <c r="HC14" s="7">
        <f t="shared" si="109"/>
        <v>2.4200133695159924E-3</v>
      </c>
      <c r="HD14" s="72">
        <f>应产率辅助表!AM11</f>
        <v>88</v>
      </c>
      <c r="HE14" s="72">
        <f>应产率辅助表!AM40</f>
        <v>7.23</v>
      </c>
      <c r="HF14" s="7">
        <f t="shared" si="110"/>
        <v>1.2140366820427856E-4</v>
      </c>
      <c r="HG14" s="72">
        <f>应产率辅助表!AN11</f>
        <v>90</v>
      </c>
      <c r="HH14" s="72">
        <f>应产率辅助表!AN40</f>
        <v>26.94</v>
      </c>
      <c r="HI14" s="7">
        <f t="shared" si="111"/>
        <v>4.5236719521760224E-4</v>
      </c>
      <c r="HJ14" s="72">
        <f>应产率辅助表!AO11</f>
        <v>41</v>
      </c>
      <c r="HK14" s="72">
        <f>应产率辅助表!AO40</f>
        <v>14.78</v>
      </c>
      <c r="HL14" s="7">
        <f t="shared" si="112"/>
        <v>2.481806661216095E-4</v>
      </c>
      <c r="HM14" s="72">
        <f>应产率辅助表!AP11</f>
        <v>527</v>
      </c>
      <c r="HN14" s="72">
        <f>应产率辅助表!AP40</f>
        <v>120.77</v>
      </c>
      <c r="HO14" s="7">
        <f t="shared" si="113"/>
        <v>2.0279282170166972E-3</v>
      </c>
      <c r="HP14" s="6">
        <f>产品销售数量!DP11</f>
        <v>38</v>
      </c>
      <c r="HQ14" s="6">
        <v>65</v>
      </c>
      <c r="HR14" s="5">
        <f t="shared" si="115"/>
        <v>1.0914575979637767E-3</v>
      </c>
      <c r="HS14" s="6">
        <v>0</v>
      </c>
      <c r="HT14" s="6">
        <v>0</v>
      </c>
      <c r="HU14" s="5">
        <f t="shared" si="116"/>
        <v>0</v>
      </c>
      <c r="HV14" s="6">
        <v>0</v>
      </c>
      <c r="HW14" s="6">
        <v>0</v>
      </c>
      <c r="HX14" s="5">
        <f t="shared" si="117"/>
        <v>0</v>
      </c>
      <c r="HY14" s="5"/>
      <c r="HZ14" s="5"/>
      <c r="IA14" s="5">
        <f t="shared" si="166"/>
        <v>0</v>
      </c>
      <c r="IB14" s="5">
        <f t="shared" si="118"/>
        <v>38</v>
      </c>
      <c r="IC14" s="5">
        <f t="shared" si="118"/>
        <v>65</v>
      </c>
      <c r="ID14" s="5">
        <f t="shared" si="119"/>
        <v>1.0914575979637767E-3</v>
      </c>
      <c r="IE14" s="7">
        <f t="shared" si="120"/>
        <v>38</v>
      </c>
      <c r="IF14" s="7">
        <f t="shared" si="120"/>
        <v>65</v>
      </c>
      <c r="IG14" s="5">
        <f t="shared" si="121"/>
        <v>1.0914575979637767E-3</v>
      </c>
      <c r="IH14" s="5">
        <f t="shared" si="122"/>
        <v>9.4194973619469866E-2</v>
      </c>
      <c r="II14" s="5">
        <f t="shared" si="123"/>
        <v>1.4926606193199077E-2</v>
      </c>
      <c r="IJ14" s="8">
        <f t="shared" si="124"/>
        <v>9.883474178403755E-3</v>
      </c>
      <c r="IK14" s="8">
        <f t="shared" si="125"/>
        <v>1.1833333333333333E-2</v>
      </c>
      <c r="IL14" s="81">
        <f t="shared" si="126"/>
        <v>1.52E-2</v>
      </c>
      <c r="IM14" s="8">
        <f t="shared" si="127"/>
        <v>7.2002666666666666E-3</v>
      </c>
      <c r="IN14" s="8">
        <f t="shared" si="128"/>
        <v>4.579846153846154E-3</v>
      </c>
      <c r="IO14" s="8">
        <f t="shared" si="129"/>
        <v>1.4175E-2</v>
      </c>
      <c r="IP14" s="8">
        <f t="shared" si="130"/>
        <v>1.4199999999999999E-2</v>
      </c>
      <c r="IQ14" s="8">
        <f t="shared" si="131"/>
        <v>1.8355E-2</v>
      </c>
      <c r="IR14" s="81">
        <f t="shared" si="132"/>
        <v>1.6449999999999999E-2</v>
      </c>
      <c r="IS14" s="8">
        <f t="shared" si="133"/>
        <v>6.1885714285714287E-3</v>
      </c>
      <c r="IT14" s="8">
        <f t="shared" si="134"/>
        <v>9.6527549824150065E-3</v>
      </c>
      <c r="IU14" s="8" t="e">
        <f t="shared" si="135"/>
        <v>#DIV/0!</v>
      </c>
      <c r="IV14" s="8">
        <f t="shared" si="136"/>
        <v>1.0003919136797717E-2</v>
      </c>
      <c r="IW14" s="8">
        <f t="shared" si="137"/>
        <v>1.0888249981084966E-2</v>
      </c>
      <c r="IX14" s="8" t="e">
        <f t="shared" si="138"/>
        <v>#DIV/0!</v>
      </c>
      <c r="IY14" s="8">
        <f t="shared" si="139"/>
        <v>1.9307570977917979E-2</v>
      </c>
      <c r="IZ14" s="8">
        <f t="shared" si="140"/>
        <v>8.6539130434782618E-2</v>
      </c>
      <c r="JA14" s="8">
        <f t="shared" si="141"/>
        <v>8.7536363636363634E-2</v>
      </c>
      <c r="JB14" s="8">
        <f t="shared" si="142"/>
        <v>5.5833333333333339E-2</v>
      </c>
      <c r="JC14" s="8">
        <f t="shared" si="143"/>
        <v>3.1435218324982105E-2</v>
      </c>
      <c r="JD14" s="8" t="e">
        <f t="shared" si="144"/>
        <v>#DIV/0!</v>
      </c>
      <c r="JE14" s="8">
        <f t="shared" si="145"/>
        <v>5.5084033613445375E-2</v>
      </c>
      <c r="JF14" s="8">
        <f t="shared" si="146"/>
        <v>4.139634630659253E-2</v>
      </c>
      <c r="JG14" s="8" t="e">
        <f t="shared" si="147"/>
        <v>#DIV/0!</v>
      </c>
      <c r="JH14" s="8">
        <f t="shared" si="148"/>
        <v>1.1447552447552447</v>
      </c>
      <c r="JI14" s="8">
        <f t="shared" si="149"/>
        <v>4.5359999999999998E-2</v>
      </c>
      <c r="JJ14" s="8">
        <f t="shared" si="150"/>
        <v>155.83133333333333</v>
      </c>
      <c r="JK14" s="8">
        <f t="shared" si="151"/>
        <v>6.3E-3</v>
      </c>
      <c r="JL14" s="8">
        <f t="shared" si="152"/>
        <v>1.55</v>
      </c>
      <c r="JM14" s="8">
        <f t="shared" si="153"/>
        <v>6.437817258883248E-2</v>
      </c>
      <c r="JN14" s="8">
        <f t="shared" si="154"/>
        <v>5.7140495867768593E-2</v>
      </c>
      <c r="JO14" s="8">
        <f t="shared" si="155"/>
        <v>3.8101582014987506E-2</v>
      </c>
      <c r="JP14" s="9">
        <f t="shared" si="156"/>
        <v>0.20935374149659863</v>
      </c>
      <c r="JQ14" s="9">
        <f t="shared" si="157"/>
        <v>0.136340206185567</v>
      </c>
      <c r="JR14" s="9">
        <f t="shared" si="158"/>
        <v>0.37926315789473686</v>
      </c>
      <c r="JS14" s="9">
        <f t="shared" si="159"/>
        <v>8.2159090909090918E-2</v>
      </c>
      <c r="JT14" s="9">
        <f t="shared" si="160"/>
        <v>0.29933333333333334</v>
      </c>
      <c r="JU14" s="9">
        <f t="shared" si="161"/>
        <v>0.36048780487804877</v>
      </c>
      <c r="JV14" s="9">
        <f t="shared" si="162"/>
        <v>0.2291650853889943</v>
      </c>
      <c r="JW14" s="9">
        <f t="shared" si="163"/>
        <v>1.7105263157894737</v>
      </c>
    </row>
    <row r="15" spans="1:283" s="11" customFormat="1" ht="18" customHeight="1" x14ac:dyDescent="0.15">
      <c r="A15" s="10">
        <v>900</v>
      </c>
      <c r="B15" s="5" t="s">
        <v>636</v>
      </c>
      <c r="C15" s="5" t="s">
        <v>637</v>
      </c>
      <c r="D15" s="55">
        <v>19387.580000000002</v>
      </c>
      <c r="E15" s="56">
        <f>产品销售数量!D12</f>
        <v>1800</v>
      </c>
      <c r="F15" s="6">
        <f>应产率辅助表!C12</f>
        <v>121000</v>
      </c>
      <c r="G15" s="6">
        <f>应产率辅助表!C41</f>
        <v>1195.8699999999999</v>
      </c>
      <c r="H15" s="7">
        <f t="shared" si="1"/>
        <v>6.1682272877790822E-2</v>
      </c>
      <c r="I15" s="5">
        <f>产品销售数量!E12+产品销售数量!F12*1.36</f>
        <v>839.44</v>
      </c>
      <c r="J15" s="5">
        <f t="shared" si="164"/>
        <v>6.9375206611570253</v>
      </c>
      <c r="K15" s="5">
        <f t="shared" si="2"/>
        <v>-28493.711999999985</v>
      </c>
      <c r="L15" s="5">
        <f t="shared" si="3"/>
        <v>-281.6097137970246</v>
      </c>
      <c r="M15" s="6">
        <f>应产率辅助表!D12</f>
        <v>6200</v>
      </c>
      <c r="N15" s="6">
        <f>应产率辅助表!D41</f>
        <v>73.36</v>
      </c>
      <c r="O15" s="7">
        <f t="shared" si="4"/>
        <v>3.7838657532296444E-3</v>
      </c>
      <c r="P15" s="5">
        <f>+产品销售数量!H12</f>
        <v>64</v>
      </c>
      <c r="Q15" s="5">
        <f t="shared" si="5"/>
        <v>10.32258064516129</v>
      </c>
      <c r="R15" s="5">
        <f t="shared" si="6"/>
        <v>-417.60000000000036</v>
      </c>
      <c r="S15" s="5">
        <f t="shared" si="7"/>
        <v>-4.9411509677419394</v>
      </c>
      <c r="T15" s="6">
        <f>应产率辅助表!E12</f>
        <v>40000</v>
      </c>
      <c r="U15" s="6">
        <f>应产率辅助表!E41</f>
        <v>612</v>
      </c>
      <c r="V15" s="7">
        <f t="shared" si="8"/>
        <v>3.1566600885721684E-2</v>
      </c>
      <c r="W15" s="5">
        <f>+产品销售数量!V12+产品销售数量!CP12</f>
        <v>377</v>
      </c>
      <c r="X15" s="5">
        <f t="shared" si="9"/>
        <v>9.4250000000000007</v>
      </c>
      <c r="Y15" s="5">
        <f t="shared" si="10"/>
        <v>-2375.4000000000015</v>
      </c>
      <c r="Z15" s="5">
        <f t="shared" si="11"/>
        <v>-36.343620000000023</v>
      </c>
      <c r="AA15" s="6">
        <f>应产率辅助表!F12</f>
        <v>44800</v>
      </c>
      <c r="AB15" s="6">
        <f>应产率辅助表!F41</f>
        <v>322.52999999999997</v>
      </c>
      <c r="AC15" s="7">
        <f t="shared" si="12"/>
        <v>1.6635908143254597E-2</v>
      </c>
      <c r="AD15" s="5">
        <f>产品销售数量!J12*1.5+产品销售数量!K12*1.5+产品销售数量!L12*1.5+产品销售数量!O12*1.5+产品销售数量!P12*1.5+产品销售数量!S12*1.5+产品销售数量!T12*1.5+产品销售数量!CH12*1.35+产品销售数量!M12*1.5+产品销售数量!CK12*0.89*1.5+产品销售数量!BL12*1.35+产品销售数量!AU12*0.9+产品销售数量!AW12*0.9+产品销售数量!BB12*1.5+产品销售数量!CN12*1.35+产品销售数量!CO12*1.35+产品销售数量!CQ12*1.5+产品销售数量!CX12*1.5+产品销售数量!CY12*1.35+产品销售数量!CZ12*1.35</f>
        <v>4006.9500000000003</v>
      </c>
      <c r="AE15" s="5">
        <f t="shared" si="13"/>
        <v>89.440848214285722</v>
      </c>
      <c r="AF15" s="5">
        <f t="shared" si="14"/>
        <v>-4329.8050000000003</v>
      </c>
      <c r="AG15" s="5">
        <f t="shared" si="15"/>
        <v>-31.171696577008927</v>
      </c>
      <c r="AH15" s="6">
        <f t="shared" si="165"/>
        <v>4.2</v>
      </c>
      <c r="AI15" s="6">
        <f>应产率辅助表!G12</f>
        <v>105000</v>
      </c>
      <c r="AJ15" s="6">
        <f>应产率辅助表!G41</f>
        <v>480.94</v>
      </c>
      <c r="AK15" s="7">
        <f t="shared" si="17"/>
        <v>2.4806602990161741E-2</v>
      </c>
      <c r="AL15" s="5">
        <f>+产品销售数量!J12*1.13+产品销售数量!K12*1.13+产品销售数量!O12*1.13+产品销售数量!U12+产品销售数量!V12*2.6+产品销售数量!W12*2.6+产品销售数量!X12*1.6+产品销售数量!Y12+产品销售数量!AB12*1.74+产品销售数量!BC12*1.19+产品销售数量!BL12*0.98+产品销售数量!BM12*0.74+产品销售数量!BN12*4.495+产品销售数量!BQ12*2.29+产品销售数量!BV12*2.56+产品销售数量!CG12*1.74+产品销售数量!CJ12*0.8+产品销售数量!CK12*1.13+产品销售数量!CM12*1.19+产品销售数量!CO12*0.98+产品销售数量!CP12*2.6+产品销售数量!CQ12*1.13+产品销售数量!CR12*1.4+产品销售数量!CS12*1.4+产品销售数量!CT12*1.4+产品销售数量!CV12*1.13+产品销售数量!CW12*0.98+产品销售数量!CX12*0.378+产品销售数量!CY12*1.19+产品销售数量!DA12*0.87+产品销售数量!DB12*1.5+产品销售数量!DI12*0.595+产品销售数量!DK12*1.74+产品销售数量!DO12*1.11</f>
        <v>4163.2649999999994</v>
      </c>
      <c r="AM15" s="5">
        <f t="shared" si="18"/>
        <v>39.650142857142853</v>
      </c>
      <c r="AN15" s="5">
        <f t="shared" si="19"/>
        <v>20106.11324999998</v>
      </c>
      <c r="AO15" s="5">
        <f t="shared" si="20"/>
        <v>92.093658156714184</v>
      </c>
      <c r="AP15" s="6">
        <f>应产率辅助表!H12</f>
        <v>800</v>
      </c>
      <c r="AQ15" s="6">
        <f>应产率辅助表!H41</f>
        <v>11.33</v>
      </c>
      <c r="AR15" s="7">
        <f t="shared" si="21"/>
        <v>5.8439475169154681E-4</v>
      </c>
      <c r="AS15" s="5">
        <f>产品销售数量!I12*0.858+产品销售数量!Z12*0.686+产品销售数量!AA12*1.79+产品销售数量!CF12*1.79+产品销售数量!CL12*0.89</f>
        <v>165.00200000000001</v>
      </c>
      <c r="AT15" s="5">
        <f t="shared" si="22"/>
        <v>206.2525</v>
      </c>
      <c r="AU15" s="5">
        <f t="shared" si="23"/>
        <v>-82.241300000000024</v>
      </c>
      <c r="AV15" s="5">
        <f t="shared" si="24"/>
        <v>-1.1647424112500002</v>
      </c>
      <c r="AW15" s="6">
        <f>应产率辅助表!I12</f>
        <v>1000</v>
      </c>
      <c r="AX15" s="6">
        <f>应产率辅助表!I41</f>
        <v>14.18</v>
      </c>
      <c r="AY15" s="7">
        <f t="shared" si="25"/>
        <v>7.3139607934564284E-4</v>
      </c>
      <c r="AZ15" s="5">
        <f>+产品销售数量!I12*0.857+产品销售数量!Z12*0.485+产品销售数量!AA12*1.88+产品销售数量!CF12*1.88+产品销售数量!CL12*0.89</f>
        <v>164.58499999999998</v>
      </c>
      <c r="BA15" s="5">
        <f t="shared" si="26"/>
        <v>164.58499999999998</v>
      </c>
      <c r="BB15" s="5">
        <f t="shared" si="27"/>
        <v>86.26099999999974</v>
      </c>
      <c r="BC15" s="5">
        <f t="shared" si="28"/>
        <v>1.2231809799999962</v>
      </c>
      <c r="BD15" s="6">
        <f>应产率辅助表!J12</f>
        <v>6440</v>
      </c>
      <c r="BE15" s="6">
        <f>应产率辅助表!J41</f>
        <v>118.14</v>
      </c>
      <c r="BF15" s="7">
        <f t="shared" si="167"/>
        <v>6.0935918768613715E-3</v>
      </c>
      <c r="BG15" s="5">
        <f>+产品销售数量!J12*2+产品销售数量!L12*0.93+产品销售数量!O12*2+产品销售数量!P12*0.93+产品销售数量!U12*1.93+产品销售数量!W12*2+产品销售数量!V12*3.79+产品销售数量!I12*2.678+产品销售数量!CK12*1.32+产品销售数量!CQ12*2</f>
        <v>4514.68</v>
      </c>
      <c r="BH15" s="5">
        <f t="shared" si="168"/>
        <v>701.03726708074532</v>
      </c>
      <c r="BI15" s="5">
        <f t="shared" si="169"/>
        <v>-119.44800000000032</v>
      </c>
      <c r="BJ15" s="5">
        <f t="shared" si="170"/>
        <v>-2.1912401739130494</v>
      </c>
      <c r="BK15" s="6">
        <f>应产率辅助表!K12</f>
        <v>1540</v>
      </c>
      <c r="BL15" s="6">
        <f>应产率辅助表!K41</f>
        <v>25.07</v>
      </c>
      <c r="BM15" s="7">
        <f t="shared" si="33"/>
        <v>1.2930958892239258E-3</v>
      </c>
      <c r="BN15" s="5">
        <f>产品销售数量!K12*1.125+产品销售数量!Y12*4.12+产品销售数量!X12*5.5+产品销售数量!AA12*13.25+产品销售数量!AB12*13.25+产品销售数量!BN12*6.87+产品销售数量!BV12+产品销售数量!CF12*13.25+产品销售数量!CG12*13.25+产品销售数量!CJ12*6.63+产品销售数量!CL12*6.63+产品销售数量!CR12*2.25+产品销售数量!CS12*2.25+产品销售数量!CT12*2.25+产品销售数量!CV12*0.75+产品销售数量!DA12*6.63+产品销售数量!DJ12*13.25+产品销售数量!DK12*13.25</f>
        <v>2019.6999999999998</v>
      </c>
      <c r="BO15" s="5">
        <f t="shared" si="0"/>
        <v>1311.4935064935064</v>
      </c>
      <c r="BP15" s="5">
        <f t="shared" si="34"/>
        <v>75.759999999999991</v>
      </c>
      <c r="BQ15" s="5">
        <f t="shared" si="35"/>
        <v>1.2333137662337661</v>
      </c>
      <c r="BR15" s="6">
        <f>应产率辅助表!L12</f>
        <v>7800</v>
      </c>
      <c r="BS15" s="6">
        <f>应产率辅助表!L41</f>
        <v>48.3</v>
      </c>
      <c r="BT15" s="7">
        <f t="shared" si="171"/>
        <v>2.4912856581378383E-3</v>
      </c>
      <c r="BU15" s="5">
        <f>产品销售数量!O12+产品销售数量!P12+产品销售数量!CI12*1.5+产品销售数量!CK12*0.89+产品销售数量!M12*1.34</f>
        <v>694.38</v>
      </c>
      <c r="BV15" s="5">
        <f t="shared" si="172"/>
        <v>89.023076923076928</v>
      </c>
      <c r="BW15" s="5">
        <f t="shared" si="173"/>
        <v>-786.76200000000063</v>
      </c>
      <c r="BX15" s="5">
        <f t="shared" si="174"/>
        <v>-4.8718723846153882</v>
      </c>
      <c r="BY15" s="6">
        <f>应产率辅助表!M12</f>
        <v>38200</v>
      </c>
      <c r="BZ15" s="6">
        <f>应产率辅助表!M41</f>
        <v>368.7</v>
      </c>
      <c r="CA15" s="7">
        <f t="shared" si="40"/>
        <v>1.9017329651250952E-2</v>
      </c>
      <c r="CB15" s="5">
        <f>+产品销售数量!J12+产品销售数量!K12+产品销售数量!L12+产品销售数量!O12+产品销售数量!P12+产品销售数量!S12+产品销售数量!T12+产品销售数量!AU12*0.9+产品销售数量!AW12*0.9+产品销售数量!BL12*0.9+产品销售数量!CH12*0.9+产品销售数量!CK12*0.9+产品销售数量!CN12*0.9+产品销售数量!CO12*0.9+产品销售数量!CQ12+产品销售数量!CV12+产品销售数量!CW12*0.9+产品销售数量!DB12</f>
        <v>2465</v>
      </c>
      <c r="CC15" s="5">
        <f t="shared" si="41"/>
        <v>64.528795811518322</v>
      </c>
      <c r="CD15" s="5">
        <f t="shared" si="42"/>
        <v>-855.25</v>
      </c>
      <c r="CE15" s="5">
        <f t="shared" si="43"/>
        <v>-8.2547297120418843</v>
      </c>
      <c r="CF15" s="6">
        <f>应产率辅助表!N12</f>
        <v>0</v>
      </c>
      <c r="CG15" s="6">
        <f>应产率辅助表!N41</f>
        <v>0</v>
      </c>
      <c r="CH15" s="7">
        <f t="shared" si="44"/>
        <v>0</v>
      </c>
      <c r="CI15" s="5">
        <f>产品销售数量!P12+产品销售数量!Z12*1.4+产品销售数量!L12</f>
        <v>79.8</v>
      </c>
      <c r="CJ15" s="5" t="e">
        <f t="shared" si="45"/>
        <v>#DIV/0!</v>
      </c>
      <c r="CK15" s="5">
        <f t="shared" si="46"/>
        <v>37344.75</v>
      </c>
      <c r="CL15" s="5" t="e">
        <f t="shared" si="47"/>
        <v>#DIV/0!</v>
      </c>
      <c r="CM15" s="6">
        <f>应产率辅助表!O12</f>
        <v>112875</v>
      </c>
      <c r="CN15" s="6">
        <f>应产率辅助表!O41</f>
        <v>1130.77</v>
      </c>
      <c r="CO15" s="7">
        <f t="shared" si="48"/>
        <v>5.8324453077692004E-2</v>
      </c>
      <c r="CP15" s="5">
        <f>+产品销售数量!AE12*1.04+产品销售数量!AD12*1.279+产品销售数量!BW12*1.04+产品销售数量!BX12*1.279</f>
        <v>1462.201</v>
      </c>
      <c r="CQ15" s="5">
        <f t="shared" si="49"/>
        <v>12.954161683277963</v>
      </c>
      <c r="CR15" s="5">
        <f t="shared" si="50"/>
        <v>-48245.715799999998</v>
      </c>
      <c r="CS15" s="5">
        <f t="shared" si="51"/>
        <v>-483.32055862827019</v>
      </c>
      <c r="CT15" s="6">
        <f>应产率辅助表!P12</f>
        <v>9834</v>
      </c>
      <c r="CU15" s="6">
        <f>应产率辅助表!P41</f>
        <v>106.24</v>
      </c>
      <c r="CV15" s="7">
        <f t="shared" si="52"/>
        <v>-3.7285419323393192E-3</v>
      </c>
      <c r="CW15" s="5">
        <f>+产品销售数量!AC12*1.08+产品销售数量!AH12*1+产品销售数量!AG12*1.45+产品销售数量!BG12*0.834+产品销售数量!CU12*0.834+产品销售数量!DM12*1.19</f>
        <v>132.13999999999999</v>
      </c>
      <c r="CX15" s="5">
        <f t="shared" si="53"/>
        <v>13.437055114907462</v>
      </c>
      <c r="CY15" s="5">
        <f t="shared" si="54"/>
        <v>-3993.4120000000003</v>
      </c>
      <c r="CZ15" s="5">
        <f t="shared" si="55"/>
        <v>-43.142169094976609</v>
      </c>
      <c r="DA15" s="6">
        <f>应产率辅助表!Q12</f>
        <v>0</v>
      </c>
      <c r="DB15" s="6">
        <f>应产率辅助表!Q41</f>
        <v>0</v>
      </c>
      <c r="DC15" s="7">
        <f t="shared" si="56"/>
        <v>0</v>
      </c>
      <c r="DD15" s="5">
        <f>产品销售数量!AJ12*2+产品销售数量!AK12*1.38+产品销售数量!AL12+产品销售数量!BT12*1.38+产品销售数量!BU12*2</f>
        <v>0</v>
      </c>
      <c r="DE15" s="5" t="e">
        <f t="shared" si="57"/>
        <v>#DIV/0!</v>
      </c>
      <c r="DF15" s="5">
        <f t="shared" si="58"/>
        <v>0</v>
      </c>
      <c r="DG15" s="5" t="e">
        <f t="shared" si="59"/>
        <v>#DIV/0!</v>
      </c>
      <c r="DH15" s="6">
        <f>应产率辅助表!R12</f>
        <v>3000</v>
      </c>
      <c r="DI15" s="6">
        <f>应产率辅助表!R41</f>
        <v>57.92</v>
      </c>
      <c r="DJ15" s="7">
        <f t="shared" si="60"/>
        <v>2.9874796132369277E-3</v>
      </c>
      <c r="DK15" s="5">
        <f>+产品销售数量!AM12*1.375+产品销售数量!AN12+产品销售数量!AO12*0.75+产品销售数量!BR12*0.57</f>
        <v>56.98</v>
      </c>
      <c r="DL15" s="5">
        <f t="shared" si="61"/>
        <v>18.993333333333332</v>
      </c>
      <c r="DM15" s="5">
        <f t="shared" si="62"/>
        <v>-481.48399999999992</v>
      </c>
      <c r="DN15" s="5">
        <f t="shared" si="63"/>
        <v>-9.2958510933333311</v>
      </c>
      <c r="DO15" s="6">
        <f>应产率辅助表!S12+应产率辅助表!T12</f>
        <v>540</v>
      </c>
      <c r="DP15" s="6">
        <f>应产率辅助表!S41+应产率辅助表!T41</f>
        <v>45.32</v>
      </c>
      <c r="DQ15" s="7">
        <f t="shared" si="64"/>
        <v>2.3375790067661872E-3</v>
      </c>
      <c r="DR15" s="5">
        <f>+产品销售数量!Y12+产品销售数量!X12+产品销售数量!AB12*3+产品销售数量!CG12*3+产品销售数量!CJ12*2+产品销售数量!BN12*2+产品销售数量!CR12+产品销售数量!CS12+产品销售数量!CT12+产品销售数量!BM12+产品销售数量!AA12+产品销售数量!CF12</f>
        <v>328</v>
      </c>
      <c r="DS15" s="5">
        <f t="shared" si="65"/>
        <v>1.6463414634146341</v>
      </c>
      <c r="DT15" s="5">
        <f t="shared" si="66"/>
        <v>-212</v>
      </c>
      <c r="DU15" s="5">
        <f t="shared" si="67"/>
        <v>-17.792296296296296</v>
      </c>
      <c r="DV15" s="6">
        <f>应产率辅助表!U12</f>
        <v>1800</v>
      </c>
      <c r="DW15" s="6">
        <f>应产率辅助表!U41</f>
        <v>159.31</v>
      </c>
      <c r="DX15" s="7">
        <f t="shared" si="68"/>
        <v>8.2171163187979099E-3</v>
      </c>
      <c r="DY15" s="5">
        <f>+产品销售数量!E12+产品销售数量!F12*2+产品销售数量!G12+产品销售数量!CY12+产品销售数量!DE12+产品销售数量!DH12</f>
        <v>1679</v>
      </c>
      <c r="DZ15" s="5">
        <f t="shared" si="69"/>
        <v>1.0720667063728411</v>
      </c>
      <c r="EA15" s="5">
        <f t="shared" si="70"/>
        <v>-121</v>
      </c>
      <c r="EB15" s="5">
        <f t="shared" si="71"/>
        <v>-10.709172222222223</v>
      </c>
      <c r="EC15" s="6">
        <f>应产率辅助表!V12</f>
        <v>2</v>
      </c>
      <c r="ED15" s="6">
        <f>应产率辅助表!V41</f>
        <v>0.12</v>
      </c>
      <c r="EE15" s="7">
        <f t="shared" si="72"/>
        <v>6.1895295854356238E-6</v>
      </c>
      <c r="EF15" s="5">
        <f>+产品销售数量!AS12</f>
        <v>9</v>
      </c>
      <c r="EG15" s="5">
        <f t="shared" si="73"/>
        <v>0.22222222222222221</v>
      </c>
      <c r="EH15" s="5">
        <f t="shared" si="74"/>
        <v>7</v>
      </c>
      <c r="EI15" s="5">
        <f t="shared" si="75"/>
        <v>0.42</v>
      </c>
      <c r="EJ15" s="6">
        <f>应产率辅助表!W12</f>
        <v>1500</v>
      </c>
      <c r="EK15" s="6">
        <f>应产率辅助表!W41</f>
        <v>42.03</v>
      </c>
      <c r="EL15" s="7">
        <f t="shared" si="76"/>
        <v>2.1678827372988273E-3</v>
      </c>
      <c r="EM15" s="5">
        <f>+产品销售数量!AD12+产品销售数量!AE12+产品销售数量!AF12+产品销售数量!AG12+产品销售数量!AH12+产品销售数量!AI12+产品销售数量!AJ12+产品销售数量!AK12+产品销售数量!AL12+产品销售数量!AM12+产品销售数量!AN12+产品销售数量!AO12+产品销售数量!AQ12+产品销售数量!AP12+产品销售数量!AR12+产品销售数量!BR12+产品销售数量!AS12+产品销售数量!CA12+产品销售数量!BE12+产品销售数量!BF12</f>
        <v>1439</v>
      </c>
      <c r="EN15" s="5">
        <f t="shared" si="77"/>
        <v>1.0423905489923557</v>
      </c>
      <c r="EO15" s="5">
        <f t="shared" si="78"/>
        <v>-61</v>
      </c>
      <c r="EP15" s="5">
        <f t="shared" si="79"/>
        <v>-1.70922</v>
      </c>
      <c r="EQ15" s="6">
        <f>应产率辅助表!X12</f>
        <v>0</v>
      </c>
      <c r="ER15" s="6">
        <f>应产率辅助表!X41</f>
        <v>0</v>
      </c>
      <c r="ES15" s="7">
        <f t="shared" si="80"/>
        <v>0</v>
      </c>
      <c r="ET15" s="5">
        <f>+产品销售数量!AQ12+产品销售数量!AP12+产品销售数量!AR12+产品销售数量!BR12+产品销售数量!AS12+产品销售数量!CA12+产品销售数量!BE12+产品销售数量!BF12</f>
        <v>64</v>
      </c>
      <c r="EU15" s="5">
        <f t="shared" si="81"/>
        <v>0</v>
      </c>
      <c r="EV15" s="5">
        <f t="shared" si="82"/>
        <v>64</v>
      </c>
      <c r="EW15" s="5" t="e">
        <f t="shared" si="83"/>
        <v>#DIV/0!</v>
      </c>
      <c r="EX15" s="6">
        <f>应产率辅助表!Y12</f>
        <v>70</v>
      </c>
      <c r="EY15" s="6">
        <f>应产率辅助表!Y41</f>
        <v>3.83</v>
      </c>
      <c r="EZ15" s="7">
        <f t="shared" si="84"/>
        <v>1.9754915260182033E-4</v>
      </c>
      <c r="FA15" s="5">
        <f>产品销售数量!H12</f>
        <v>64</v>
      </c>
      <c r="FB15" s="5">
        <f t="shared" si="85"/>
        <v>1.09375</v>
      </c>
      <c r="FC15" s="5">
        <f t="shared" si="86"/>
        <v>-6</v>
      </c>
      <c r="FD15" s="5">
        <f t="shared" si="87"/>
        <v>-0.32828571428571429</v>
      </c>
      <c r="FE15" s="6">
        <f>应产率辅助表!Z12</f>
        <v>3100</v>
      </c>
      <c r="FF15" s="6">
        <f>应产率辅助表!Z41</f>
        <v>128.29</v>
      </c>
      <c r="FG15" s="7">
        <f t="shared" si="88"/>
        <v>6.6171229209628013E-3</v>
      </c>
      <c r="FH15" s="5">
        <f>+产品销售数量!J12+产品销售数量!K12+产品销售数量!L12+产品销售数量!M12+产品销售数量!O12+产品销售数量!P12+产品销售数量!S12+产品销售数量!T12+产品销售数量!BQ12+产品销售数量!BS12+产品销售数量!CC12+产品销售数量!CH12+产品销售数量!CI12+产品销售数量!CJ12+产品销售数量!CK12+产品销售数量!CL12+产品销售数量!BL12+产品销售数量!AU12++产品销售数量!AW12+产品销售数量!BQ12+产品销售数量!CN12+产品销售数量!CO12+产品销售数量!CQ12+产品销售数量!CX12+产品销售数量!CY12+产品销售数量!CM12</f>
        <v>2910</v>
      </c>
      <c r="FI15" s="5">
        <f t="shared" si="89"/>
        <v>1.0652920962199313</v>
      </c>
      <c r="FJ15" s="5">
        <f t="shared" si="90"/>
        <v>-190</v>
      </c>
      <c r="FK15" s="5">
        <f t="shared" si="91"/>
        <v>-7.8629354838709666</v>
      </c>
      <c r="FL15" s="6">
        <f>应产率辅助表!AA12</f>
        <v>0</v>
      </c>
      <c r="FM15" s="6">
        <f>应产率辅助表!AA41</f>
        <v>0</v>
      </c>
      <c r="FN15" s="7">
        <f t="shared" si="92"/>
        <v>0</v>
      </c>
      <c r="FO15" s="5">
        <f>+产品销售数量!R12+产品销售数量!CE12</f>
        <v>0</v>
      </c>
      <c r="FP15" s="5" t="e">
        <f t="shared" si="93"/>
        <v>#DIV/0!</v>
      </c>
      <c r="FQ15" s="5">
        <f t="shared" si="94"/>
        <v>0</v>
      </c>
      <c r="FR15" s="5" t="e">
        <f t="shared" si="95"/>
        <v>#DIV/0!</v>
      </c>
      <c r="FS15" s="6">
        <f>应产率辅助表!AB12</f>
        <v>7</v>
      </c>
      <c r="FT15" s="5">
        <f t="shared" si="96"/>
        <v>350</v>
      </c>
      <c r="FU15" s="6">
        <f>应产率辅助表!AB41</f>
        <v>7.48</v>
      </c>
      <c r="FV15" s="7">
        <f t="shared" si="97"/>
        <v>3.8581401082548721E-4</v>
      </c>
      <c r="FW15" s="5">
        <f t="shared" si="98"/>
        <v>0.19444444444444445</v>
      </c>
      <c r="FX15" s="6">
        <f>应产率辅助表!AC12</f>
        <v>0</v>
      </c>
      <c r="FY15" s="6">
        <f>应产率辅助表!AC41</f>
        <v>0</v>
      </c>
      <c r="FZ15" s="7">
        <f t="shared" si="99"/>
        <v>0</v>
      </c>
      <c r="GA15" s="5">
        <f t="shared" si="100"/>
        <v>0</v>
      </c>
      <c r="GB15" s="6">
        <f>应产率辅助表!AD12</f>
        <v>8</v>
      </c>
      <c r="GC15" s="6">
        <f>应产率辅助表!AD41</f>
        <v>1202.3900000000001</v>
      </c>
      <c r="GD15" s="7">
        <f t="shared" si="101"/>
        <v>6.2018570651932836E-2</v>
      </c>
      <c r="GE15" s="6">
        <f>应产率辅助表!AE12</f>
        <v>2800</v>
      </c>
      <c r="GF15" s="6">
        <f>应产率辅助表!AE41</f>
        <v>17.64</v>
      </c>
      <c r="GG15" s="7">
        <f t="shared" si="102"/>
        <v>9.0986084905903669E-4</v>
      </c>
      <c r="GH15" s="6">
        <f>应产率辅助表!AF12</f>
        <v>20</v>
      </c>
      <c r="GI15" s="6">
        <f>应产率辅助表!AF41</f>
        <v>31</v>
      </c>
      <c r="GJ15" s="7">
        <f t="shared" si="103"/>
        <v>1.5989618095708694E-3</v>
      </c>
      <c r="GK15" s="6">
        <f>应产率辅助表!AG12</f>
        <v>0</v>
      </c>
      <c r="GL15" s="6">
        <f>应产率辅助表!AG41</f>
        <v>0</v>
      </c>
      <c r="GM15" s="7">
        <f t="shared" si="104"/>
        <v>0</v>
      </c>
      <c r="GN15" s="6"/>
      <c r="GO15" s="6">
        <f>应产率辅助表!AH12</f>
        <v>0</v>
      </c>
      <c r="GP15" s="6">
        <f>应产率辅助表!AH41</f>
        <v>0</v>
      </c>
      <c r="GQ15" s="7">
        <f t="shared" si="105"/>
        <v>0</v>
      </c>
      <c r="GR15" s="6">
        <f>应产率辅助表!AI12</f>
        <v>2400</v>
      </c>
      <c r="GS15" s="6">
        <f>应产率辅助表!AI41</f>
        <v>120.44</v>
      </c>
      <c r="GT15" s="7">
        <f t="shared" si="106"/>
        <v>6.2122245272488875E-3</v>
      </c>
      <c r="GU15" s="72">
        <f>应产率辅助表!AJ12</f>
        <v>1000</v>
      </c>
      <c r="GV15" s="72">
        <f>应产率辅助表!AJ41</f>
        <v>209.44</v>
      </c>
      <c r="GW15" s="7">
        <f t="shared" si="107"/>
        <v>1.0802792303113642E-2</v>
      </c>
      <c r="GX15" s="72">
        <f>应产率辅助表!AK12</f>
        <v>150</v>
      </c>
      <c r="GY15" s="72">
        <f>应产率辅助表!AK41</f>
        <v>20.440000000000001</v>
      </c>
      <c r="GZ15" s="7">
        <f t="shared" si="108"/>
        <v>1.0542832060525347E-3</v>
      </c>
      <c r="HA15" s="72">
        <f>应产率辅助表!AL12</f>
        <v>58</v>
      </c>
      <c r="HB15" s="72">
        <f>应产率辅助表!AL41</f>
        <v>21.9</v>
      </c>
      <c r="HC15" s="7">
        <f t="shared" si="109"/>
        <v>1.1295891493420013E-3</v>
      </c>
      <c r="HD15" s="72">
        <f>应产率辅助表!AM12</f>
        <v>177</v>
      </c>
      <c r="HE15" s="72">
        <f>应产率辅助表!AM41</f>
        <v>14.53</v>
      </c>
      <c r="HF15" s="7">
        <f t="shared" si="110"/>
        <v>7.494488739698301E-4</v>
      </c>
      <c r="HG15" s="72">
        <f>应产率辅助表!AN12</f>
        <v>80</v>
      </c>
      <c r="HH15" s="72">
        <f>应产率辅助表!AN41</f>
        <v>23.97</v>
      </c>
      <c r="HI15" s="7">
        <f t="shared" si="111"/>
        <v>1.2363585346907657E-3</v>
      </c>
      <c r="HJ15" s="72">
        <f>应产率辅助表!AO12</f>
        <v>0</v>
      </c>
      <c r="HK15" s="72">
        <f>应产率辅助表!AO41</f>
        <v>0</v>
      </c>
      <c r="HL15" s="7">
        <f t="shared" si="112"/>
        <v>0</v>
      </c>
      <c r="HM15" s="72">
        <f>应产率辅助表!AP12</f>
        <v>0</v>
      </c>
      <c r="HN15" s="72">
        <f>应产率辅助表!AP41</f>
        <v>0</v>
      </c>
      <c r="HO15" s="7">
        <f t="shared" si="113"/>
        <v>0</v>
      </c>
      <c r="HP15" s="6">
        <f>产品销售数量!DP12</f>
        <v>8</v>
      </c>
      <c r="HQ15" s="6">
        <v>169</v>
      </c>
      <c r="HR15" s="5">
        <f t="shared" si="115"/>
        <v>8.7169208328218371E-3</v>
      </c>
      <c r="HS15" s="6">
        <v>0</v>
      </c>
      <c r="HT15" s="6">
        <v>0</v>
      </c>
      <c r="HU15" s="5">
        <f t="shared" si="116"/>
        <v>0</v>
      </c>
      <c r="HV15" s="6">
        <v>0</v>
      </c>
      <c r="HW15" s="6">
        <v>0</v>
      </c>
      <c r="HX15" s="5">
        <f t="shared" si="117"/>
        <v>0</v>
      </c>
      <c r="HY15" s="5"/>
      <c r="HZ15" s="5"/>
      <c r="IA15" s="5">
        <f t="shared" si="166"/>
        <v>0</v>
      </c>
      <c r="IB15" s="5">
        <f t="shared" si="118"/>
        <v>8</v>
      </c>
      <c r="IC15" s="5">
        <f t="shared" si="118"/>
        <v>169</v>
      </c>
      <c r="ID15" s="5">
        <f t="shared" si="119"/>
        <v>8.7169208328218371E-3</v>
      </c>
      <c r="IE15" s="7">
        <f t="shared" si="120"/>
        <v>8</v>
      </c>
      <c r="IF15" s="7">
        <f t="shared" si="120"/>
        <v>169</v>
      </c>
      <c r="IG15" s="5">
        <f t="shared" si="121"/>
        <v>8.7169208328218371E-3</v>
      </c>
      <c r="IH15" s="5">
        <f t="shared" si="122"/>
        <v>0.14514292139606902</v>
      </c>
      <c r="II15" s="5">
        <f t="shared" si="123"/>
        <v>1.7179555158508695E-2</v>
      </c>
      <c r="IJ15" s="8">
        <f t="shared" si="124"/>
        <v>9.8832231404958667E-3</v>
      </c>
      <c r="IK15" s="8">
        <f t="shared" si="125"/>
        <v>1.1832258064516129E-2</v>
      </c>
      <c r="IL15" s="8">
        <f t="shared" si="126"/>
        <v>1.5299999999999999E-2</v>
      </c>
      <c r="IM15" s="8">
        <f t="shared" si="127"/>
        <v>7.1993303571428564E-3</v>
      </c>
      <c r="IN15" s="8">
        <f t="shared" si="128"/>
        <v>4.5803809523809521E-3</v>
      </c>
      <c r="IO15" s="8">
        <f t="shared" si="129"/>
        <v>1.41625E-2</v>
      </c>
      <c r="IP15" s="8">
        <f t="shared" si="130"/>
        <v>1.418E-2</v>
      </c>
      <c r="IQ15" s="8">
        <f t="shared" si="131"/>
        <v>1.8344720496894409E-2</v>
      </c>
      <c r="IR15" s="8">
        <f t="shared" si="132"/>
        <v>1.6279220779220779E-2</v>
      </c>
      <c r="IS15" s="8">
        <f t="shared" si="133"/>
        <v>6.1923076923076923E-3</v>
      </c>
      <c r="IT15" s="8">
        <f t="shared" si="134"/>
        <v>9.6518324607329838E-3</v>
      </c>
      <c r="IU15" s="8" t="e">
        <f t="shared" si="135"/>
        <v>#DIV/0!</v>
      </c>
      <c r="IV15" s="8">
        <f t="shared" si="136"/>
        <v>1.0017895902547065E-2</v>
      </c>
      <c r="IW15" s="8">
        <f t="shared" si="137"/>
        <v>1.0803335367093755E-2</v>
      </c>
      <c r="IX15" s="8" t="e">
        <f t="shared" si="138"/>
        <v>#DIV/0!</v>
      </c>
      <c r="IY15" s="8">
        <f t="shared" si="139"/>
        <v>1.9306666666666666E-2</v>
      </c>
      <c r="IZ15" s="8">
        <f t="shared" si="140"/>
        <v>8.3925925925925932E-2</v>
      </c>
      <c r="JA15" s="8">
        <f t="shared" si="141"/>
        <v>8.850555555555556E-2</v>
      </c>
      <c r="JB15" s="8">
        <f t="shared" si="142"/>
        <v>0.06</v>
      </c>
      <c r="JC15" s="8">
        <f t="shared" si="143"/>
        <v>2.802E-2</v>
      </c>
      <c r="JD15" s="8" t="e">
        <f t="shared" si="144"/>
        <v>#DIV/0!</v>
      </c>
      <c r="JE15" s="8">
        <f t="shared" si="145"/>
        <v>5.4714285714285715E-2</v>
      </c>
      <c r="JF15" s="8">
        <f t="shared" si="146"/>
        <v>4.1383870967741931E-2</v>
      </c>
      <c r="JG15" s="8" t="e">
        <f t="shared" si="147"/>
        <v>#DIV/0!</v>
      </c>
      <c r="JH15" s="8">
        <f t="shared" si="148"/>
        <v>1.0685714285714287</v>
      </c>
      <c r="JI15" s="8" t="e">
        <f t="shared" si="149"/>
        <v>#DIV/0!</v>
      </c>
      <c r="JJ15" s="8">
        <f t="shared" si="150"/>
        <v>150.29875000000001</v>
      </c>
      <c r="JK15" s="8">
        <f t="shared" si="151"/>
        <v>6.3E-3</v>
      </c>
      <c r="JL15" s="8">
        <f t="shared" si="152"/>
        <v>1.55</v>
      </c>
      <c r="JM15" s="8" t="e">
        <f t="shared" si="153"/>
        <v>#DIV/0!</v>
      </c>
      <c r="JN15" s="8" t="e">
        <f t="shared" si="154"/>
        <v>#DIV/0!</v>
      </c>
      <c r="JO15" s="8">
        <f t="shared" si="155"/>
        <v>5.018333333333333E-2</v>
      </c>
      <c r="JP15" s="9">
        <f t="shared" si="156"/>
        <v>0.20943999999999999</v>
      </c>
      <c r="JQ15" s="9">
        <f t="shared" si="157"/>
        <v>0.13626666666666667</v>
      </c>
      <c r="JR15" s="9">
        <f t="shared" si="158"/>
        <v>0.3775862068965517</v>
      </c>
      <c r="JS15" s="9">
        <f t="shared" si="159"/>
        <v>8.2090395480225981E-2</v>
      </c>
      <c r="JT15" s="9">
        <f t="shared" si="160"/>
        <v>0.29962499999999997</v>
      </c>
      <c r="JU15" s="9" t="e">
        <f t="shared" si="161"/>
        <v>#DIV/0!</v>
      </c>
      <c r="JV15" s="9" t="e">
        <f t="shared" si="162"/>
        <v>#DIV/0!</v>
      </c>
      <c r="JW15" s="9">
        <f t="shared" si="163"/>
        <v>21.125</v>
      </c>
    </row>
    <row r="16" spans="1:283" s="11" customFormat="1" ht="18" customHeight="1" x14ac:dyDescent="0.15">
      <c r="A16" s="10">
        <v>901</v>
      </c>
      <c r="B16" s="5" t="s">
        <v>638</v>
      </c>
      <c r="C16" s="5" t="s">
        <v>639</v>
      </c>
      <c r="D16" s="55">
        <v>49238.04</v>
      </c>
      <c r="E16" s="56">
        <f>产品销售数量!D13</f>
        <v>4094</v>
      </c>
      <c r="F16" s="6">
        <f>应产率辅助表!C13</f>
        <v>190000</v>
      </c>
      <c r="G16" s="6">
        <f>应产率辅助表!C42</f>
        <v>1878.74</v>
      </c>
      <c r="H16" s="7">
        <f t="shared" si="1"/>
        <v>3.8156271045719933E-2</v>
      </c>
      <c r="I16" s="5">
        <f>产品销售数量!E13+产品销售数量!F13*1.36</f>
        <v>1632.3600000000001</v>
      </c>
      <c r="J16" s="5">
        <f t="shared" si="164"/>
        <v>8.591368421052632</v>
      </c>
      <c r="K16" s="5">
        <f t="shared" si="2"/>
        <v>-10113.927999999985</v>
      </c>
      <c r="L16" s="5">
        <f t="shared" si="3"/>
        <v>-100.00758468799985</v>
      </c>
      <c r="M16" s="6">
        <f>应产率辅助表!D13</f>
        <v>38500</v>
      </c>
      <c r="N16" s="6">
        <f>应产率辅助表!D42</f>
        <v>455.59</v>
      </c>
      <c r="O16" s="7">
        <f t="shared" si="4"/>
        <v>9.2528053513096786E-3</v>
      </c>
      <c r="P16" s="5">
        <f>+产品销售数量!H13</f>
        <v>412</v>
      </c>
      <c r="Q16" s="5">
        <f t="shared" si="5"/>
        <v>10.7012987012987</v>
      </c>
      <c r="R16" s="5">
        <f t="shared" si="6"/>
        <v>-1275.8000000000029</v>
      </c>
      <c r="S16" s="5">
        <f t="shared" si="7"/>
        <v>-15.097187584415618</v>
      </c>
      <c r="T16" s="6">
        <f>应产率辅助表!E13</f>
        <v>72000</v>
      </c>
      <c r="U16" s="6">
        <f>应产率辅助表!E42</f>
        <v>1096.8</v>
      </c>
      <c r="V16" s="7">
        <f t="shared" si="8"/>
        <v>2.2275460192972749E-2</v>
      </c>
      <c r="W16" s="5">
        <f>+产品销售数量!V13+产品销售数量!CP13</f>
        <v>686</v>
      </c>
      <c r="X16" s="5">
        <f t="shared" si="9"/>
        <v>9.5277777777777786</v>
      </c>
      <c r="Y16" s="5">
        <f t="shared" si="10"/>
        <v>-3537.1999999999971</v>
      </c>
      <c r="Z16" s="5">
        <f t="shared" si="11"/>
        <v>-53.883346666666618</v>
      </c>
      <c r="AA16" s="6">
        <f>应产率辅助表!F13</f>
        <v>100000</v>
      </c>
      <c r="AB16" s="6">
        <f>应产率辅助表!F42</f>
        <v>720</v>
      </c>
      <c r="AC16" s="7">
        <f t="shared" si="12"/>
        <v>1.4622840389260011E-2</v>
      </c>
      <c r="AD16" s="5">
        <f>产品销售数量!J13*1.5+产品销售数量!K13*1.5+产品销售数量!L13*1.5+产品销售数量!O13*1.5+产品销售数量!P13*1.5+产品销售数量!S13*1.5+产品销售数量!T13*1.5+产品销售数量!CH13*1.35+产品销售数量!M13*1.5+产品销售数量!CK13*0.89*1.5+产品销售数量!BL13*1.35+产品销售数量!AU13*0.9+产品销售数量!AW13*0.9+产品销售数量!BB13*1.5+产品销售数量!CN13*1.35+产品销售数量!CO13*1.35+产品销售数量!CQ13*1.5+产品销售数量!CX13*1.5+产品销售数量!CY13*1.35+产品销售数量!CZ13*1.35</f>
        <v>10403.4</v>
      </c>
      <c r="AE16" s="5">
        <f t="shared" si="13"/>
        <v>104.03399999999999</v>
      </c>
      <c r="AF16" s="5">
        <f t="shared" si="14"/>
        <v>5074.3399999999965</v>
      </c>
      <c r="AG16" s="5">
        <f t="shared" si="15"/>
        <v>36.535247999999974</v>
      </c>
      <c r="AH16" s="6">
        <f t="shared" si="165"/>
        <v>9.6</v>
      </c>
      <c r="AI16" s="6">
        <f>应产率辅助表!G13</f>
        <v>240000</v>
      </c>
      <c r="AJ16" s="6">
        <f>应产率辅助表!G42</f>
        <v>1099.17</v>
      </c>
      <c r="AK16" s="7">
        <f t="shared" si="17"/>
        <v>2.2323593709254064E-2</v>
      </c>
      <c r="AL16" s="5">
        <f>+产品销售数量!J13*1.13+产品销售数量!K13*1.13+产品销售数量!O13*1.13+产品销售数量!U13+产品销售数量!V13*2.6+产品销售数量!W13*2.6+产品销售数量!X13*1.6+产品销售数量!Y13+产品销售数量!AB13*1.74+产品销售数量!BC13*1.19+产品销售数量!BL13*0.98+产品销售数量!BM13*0.74+产品销售数量!BN13*4.495+产品销售数量!BQ13*2.29+产品销售数量!BV13*2.56+产品销售数量!CG13*1.74+产品销售数量!CJ13*0.8+产品销售数量!CK13*1.13+产品销售数量!CM13*1.19+产品销售数量!CO13*0.98+产品销售数量!CP13*2.6+产品销售数量!CQ13*1.13+产品销售数量!CR13*1.4+产品销售数量!CS13*1.4+产品销售数量!CT13*1.4+产品销售数量!CV13*1.13+产品销售数量!CW13*0.98+产品销售数量!CX13*0.378+产品销售数量!CY13*1.19+产品销售数量!DA13*0.87+产品销售数量!DB13*1.5+产品销售数量!DI13*0.595+产品销售数量!DK13*1.74+产品销售数量!DO13*1.11</f>
        <v>9072.4950000000008</v>
      </c>
      <c r="AM16" s="5">
        <f t="shared" si="18"/>
        <v>37.802062500000005</v>
      </c>
      <c r="AN16" s="5">
        <f t="shared" si="19"/>
        <v>32628.474750000052</v>
      </c>
      <c r="AO16" s="5">
        <f t="shared" si="20"/>
        <v>149.43433579565652</v>
      </c>
      <c r="AP16" s="6">
        <f>应产率辅助表!H13</f>
        <v>1000</v>
      </c>
      <c r="AQ16" s="6">
        <f>应产率辅助表!H42</f>
        <v>14.67</v>
      </c>
      <c r="AR16" s="7">
        <f t="shared" si="21"/>
        <v>2.9794037293117272E-4</v>
      </c>
      <c r="AS16" s="5">
        <f>产品销售数量!I13*0.858+产品销售数量!Z13*0.686+产品销售数量!AA13*1.79+产品销售数量!CF13*1.79+产品销售数量!CL13*0.89</f>
        <v>235.23000000000002</v>
      </c>
      <c r="AT16" s="5">
        <f t="shared" si="22"/>
        <v>235.23000000000002</v>
      </c>
      <c r="AU16" s="5">
        <f t="shared" si="23"/>
        <v>23.250499999999988</v>
      </c>
      <c r="AV16" s="5">
        <f t="shared" si="24"/>
        <v>0.34108483499999986</v>
      </c>
      <c r="AW16" s="6">
        <f>应产率辅助表!I13</f>
        <v>1500</v>
      </c>
      <c r="AX16" s="6">
        <f>应产率辅助表!I42</f>
        <v>22</v>
      </c>
      <c r="AY16" s="7">
        <f t="shared" si="25"/>
        <v>4.4680901189405589E-4</v>
      </c>
      <c r="AZ16" s="5">
        <f>+产品销售数量!I13*0.857+产品销售数量!Z13*0.485+产品销售数量!AA13*1.88+产品销售数量!CF13*1.88+产品销售数量!CL13*0.89</f>
        <v>238.815</v>
      </c>
      <c r="BA16" s="5">
        <f t="shared" si="26"/>
        <v>159.21</v>
      </c>
      <c r="BB16" s="5">
        <f t="shared" si="27"/>
        <v>76.17899999999986</v>
      </c>
      <c r="BC16" s="5">
        <f t="shared" si="28"/>
        <v>1.117291999999998</v>
      </c>
      <c r="BD16" s="6">
        <f>应产率辅助表!J13</f>
        <v>11000</v>
      </c>
      <c r="BE16" s="6">
        <f>应产率辅助表!J42</f>
        <v>201.87</v>
      </c>
      <c r="BF16" s="7">
        <f t="shared" si="167"/>
        <v>4.0998788741387756E-3</v>
      </c>
      <c r="BG16" s="5">
        <f>+产品销售数量!J13*2+产品销售数量!L13*0.93+产品销售数量!O13*2+产品销售数量!P13*0.93+产品销售数量!U13*1.93+产品销售数量!W13*2+产品销售数量!V13*3.79+产品销售数量!I13*2.678+产品销售数量!CK13*1.32+产品销售数量!CQ13*2</f>
        <v>7655.85</v>
      </c>
      <c r="BH16" s="5">
        <f t="shared" si="168"/>
        <v>695.98636363636365</v>
      </c>
      <c r="BI16" s="5">
        <f t="shared" si="169"/>
        <v>-281.80999999999949</v>
      </c>
      <c r="BJ16" s="5">
        <f t="shared" si="170"/>
        <v>-5.1717258818181726</v>
      </c>
      <c r="BK16" s="6">
        <f>应产率辅助表!K13</f>
        <v>4000</v>
      </c>
      <c r="BL16" s="6">
        <f>应产率辅助表!K42</f>
        <v>65.75</v>
      </c>
      <c r="BM16" s="7">
        <f t="shared" si="33"/>
        <v>1.3353496605470079E-3</v>
      </c>
      <c r="BN16" s="5">
        <f>产品销售数量!K13*1.125+产品销售数量!Y13*4.12+产品销售数量!X13*5.5+产品销售数量!AA13*13.25+产品销售数量!AB13*13.25+产品销售数量!BN13*6.87+产品销售数量!BV13+产品销售数量!CF13*13.25+产品销售数量!CG13*13.25+产品销售数量!CJ13*6.63+产品销售数量!CL13*6.63+产品销售数量!CR13*2.25+产品销售数量!CS13*2.25+产品销售数量!CT13*2.25+产品销售数量!CV13*0.75+产品销售数量!DA13*6.63+产品销售数量!DJ13*13.25+产品销售数量!DK13*13.25</f>
        <v>5671.75</v>
      </c>
      <c r="BO16" s="5">
        <f t="shared" si="0"/>
        <v>1417.9375</v>
      </c>
      <c r="BP16" s="5">
        <f t="shared" si="34"/>
        <v>537.40000000000055</v>
      </c>
      <c r="BQ16" s="5">
        <f t="shared" si="35"/>
        <v>8.8335125000000101</v>
      </c>
      <c r="BR16" s="6">
        <f>应产率辅助表!L13</f>
        <v>8250</v>
      </c>
      <c r="BS16" s="6">
        <f>应产率辅助表!L42</f>
        <v>51.03</v>
      </c>
      <c r="BT16" s="7">
        <f t="shared" si="171"/>
        <v>1.0363938125888034E-3</v>
      </c>
      <c r="BU16" s="5">
        <f>产品销售数量!O13+产品销售数量!P13+产品销售数量!CI13*1.5+产品销售数量!CK13*0.89+产品销售数量!M13*1.34</f>
        <v>970.7</v>
      </c>
      <c r="BV16" s="5">
        <f t="shared" si="172"/>
        <v>117.66060606060607</v>
      </c>
      <c r="BW16" s="5">
        <f t="shared" si="173"/>
        <v>1554.0699999999997</v>
      </c>
      <c r="BX16" s="5">
        <f t="shared" si="174"/>
        <v>9.6126293454545433</v>
      </c>
      <c r="BY16" s="6">
        <f>应产率辅助表!M13</f>
        <v>84000</v>
      </c>
      <c r="BZ16" s="6">
        <f>应产率辅助表!M42</f>
        <v>810.92</v>
      </c>
      <c r="CA16" s="7">
        <f t="shared" si="40"/>
        <v>1.64693801784149E-2</v>
      </c>
      <c r="CB16" s="5">
        <f>+产品销售数量!J13+产品销售数量!K13+产品销售数量!L13+产品销售数量!O13+产品销售数量!P13+产品销售数量!S13+产品销售数量!T13+产品销售数量!AU13*0.9+产品销售数量!AW13*0.9+产品销售数量!BL13*0.9+产品销售数量!CH13*0.9+产品销售数量!CK13*0.9+产品销售数量!CN13*0.9+产品销售数量!CO13*0.9+产品销售数量!CQ13+产品销售数量!CV13+产品销售数量!CW13*0.9+产品销售数量!DB13</f>
        <v>6877.6</v>
      </c>
      <c r="CC16" s="5">
        <f t="shared" si="41"/>
        <v>81.876190476190487</v>
      </c>
      <c r="CD16" s="5">
        <f t="shared" si="42"/>
        <v>20195.640000000014</v>
      </c>
      <c r="CE16" s="5">
        <f t="shared" si="43"/>
        <v>194.96486177142867</v>
      </c>
      <c r="CF16" s="6">
        <f>应产率辅助表!N13</f>
        <v>0</v>
      </c>
      <c r="CG16" s="6">
        <f>应产率辅助表!N42</f>
        <v>0</v>
      </c>
      <c r="CH16" s="7">
        <f t="shared" si="44"/>
        <v>0</v>
      </c>
      <c r="CI16" s="5">
        <f>产品销售数量!P13+产品销售数量!Z13*1.4+产品销售数量!L13</f>
        <v>61</v>
      </c>
      <c r="CJ16" s="5" t="e">
        <f t="shared" si="45"/>
        <v>#DIV/0!</v>
      </c>
      <c r="CK16" s="5">
        <f t="shared" si="46"/>
        <v>104195.64000000001</v>
      </c>
      <c r="CL16" s="5" t="e">
        <f t="shared" si="47"/>
        <v>#DIV/0!</v>
      </c>
      <c r="CM16" s="6">
        <f>应产率辅助表!O13</f>
        <v>209000</v>
      </c>
      <c r="CN16" s="6">
        <f>应产率辅助表!O42</f>
        <v>2092.7199999999998</v>
      </c>
      <c r="CO16" s="7">
        <f t="shared" si="48"/>
        <v>4.250209797140584E-2</v>
      </c>
      <c r="CP16" s="5">
        <f>+产品销售数量!AE13*1.04+产品销售数量!AD13*1.279+产品销售数量!BW13*1.04+产品销售数量!BX13*1.279</f>
        <v>2923.7819999999997</v>
      </c>
      <c r="CQ16" s="5">
        <f t="shared" si="49"/>
        <v>13.989387559808611</v>
      </c>
      <c r="CR16" s="5">
        <f t="shared" si="50"/>
        <v>-79768.835600000006</v>
      </c>
      <c r="CS16" s="5">
        <f t="shared" si="51"/>
        <v>-798.72649587000956</v>
      </c>
      <c r="CT16" s="6">
        <f>应产率辅助表!P13</f>
        <v>15734</v>
      </c>
      <c r="CU16" s="6">
        <f>应产率辅助表!P42</f>
        <v>170</v>
      </c>
      <c r="CV16" s="7">
        <f t="shared" si="52"/>
        <v>-1.6808504074776905E-2</v>
      </c>
      <c r="CW16" s="5">
        <f>+产品销售数量!AC13*1.08+产品销售数量!AH13*1+产品销售数量!AG13*1.45+产品销售数量!BG13*0.834+产品销售数量!CU13*0.834+产品销售数量!DM13*1.19</f>
        <v>212.19</v>
      </c>
      <c r="CX16" s="5">
        <f t="shared" si="53"/>
        <v>13.486081098258548</v>
      </c>
      <c r="CY16" s="5">
        <f t="shared" si="54"/>
        <v>-6355.2019999999993</v>
      </c>
      <c r="CZ16" s="5">
        <f t="shared" si="55"/>
        <v>-68.665586627685258</v>
      </c>
      <c r="DA16" s="6">
        <f>应产率辅助表!Q13</f>
        <v>0</v>
      </c>
      <c r="DB16" s="6">
        <f>应产率辅助表!Q42</f>
        <v>0</v>
      </c>
      <c r="DC16" s="7">
        <f t="shared" si="56"/>
        <v>0</v>
      </c>
      <c r="DD16" s="5">
        <f>产品销售数量!AJ13*2+产品销售数量!AK13*1.38+产品销售数量!AL13+产品销售数量!BT13*1.38+产品销售数量!BU13*2</f>
        <v>0</v>
      </c>
      <c r="DE16" s="5" t="e">
        <f t="shared" si="57"/>
        <v>#DIV/0!</v>
      </c>
      <c r="DF16" s="5">
        <f t="shared" si="58"/>
        <v>0</v>
      </c>
      <c r="DG16" s="5" t="e">
        <f t="shared" si="59"/>
        <v>#DIV/0!</v>
      </c>
      <c r="DH16" s="6">
        <f>应产率辅助表!R13</f>
        <v>6840</v>
      </c>
      <c r="DI16" s="6">
        <f>应产率辅助表!R42</f>
        <v>132.05000000000001</v>
      </c>
      <c r="DJ16" s="7">
        <f t="shared" si="60"/>
        <v>2.6818695463913674E-3</v>
      </c>
      <c r="DK16" s="5">
        <f>+产品销售数量!AM13*1.375+产品销售数量!AN13+产品销售数量!AO13*0.75+产品销售数量!BR13*0.57</f>
        <v>204.97</v>
      </c>
      <c r="DL16" s="5">
        <f t="shared" si="61"/>
        <v>29.966374269005847</v>
      </c>
      <c r="DM16" s="5">
        <f t="shared" si="62"/>
        <v>2219.6740000000009</v>
      </c>
      <c r="DN16" s="5">
        <f t="shared" si="63"/>
        <v>42.852039722222244</v>
      </c>
      <c r="DO16" s="6">
        <f>应产率辅助表!S13+应产率辅助表!T13</f>
        <v>1067</v>
      </c>
      <c r="DP16" s="6">
        <f>应产率辅助表!S42+应产率辅助表!T42</f>
        <v>89.100000000000009</v>
      </c>
      <c r="DQ16" s="7">
        <f t="shared" si="64"/>
        <v>1.8095764981709266E-3</v>
      </c>
      <c r="DR16" s="5">
        <f>+产品销售数量!Y13+产品销售数量!X13+产品销售数量!AB13*3+产品销售数量!CG13*3+产品销售数量!CJ13*2+产品销售数量!BN13*2+产品销售数量!CR13+产品销售数量!CS13+产品销售数量!CT13+产品销售数量!BM13+产品销售数量!AA13+产品销售数量!CF13</f>
        <v>874</v>
      </c>
      <c r="DS16" s="5">
        <f t="shared" si="65"/>
        <v>1.2208237986270023</v>
      </c>
      <c r="DT16" s="5">
        <f t="shared" si="66"/>
        <v>-193</v>
      </c>
      <c r="DU16" s="5">
        <f t="shared" si="67"/>
        <v>-16.116494845360826</v>
      </c>
      <c r="DV16" s="6">
        <f>应产率辅助表!U13</f>
        <v>2815</v>
      </c>
      <c r="DW16" s="6">
        <f>应产率辅助表!U42</f>
        <v>249.13</v>
      </c>
      <c r="DX16" s="7">
        <f t="shared" si="68"/>
        <v>5.0597058696893703E-3</v>
      </c>
      <c r="DY16" s="5">
        <f>+产品销售数量!E13+产品销售数量!F13*2+产品销售数量!G13+产品销售数量!CY13+产品销售数量!DE13+产品销售数量!DH13</f>
        <v>3212</v>
      </c>
      <c r="DZ16" s="5">
        <f t="shared" si="69"/>
        <v>0.87640099626400991</v>
      </c>
      <c r="EA16" s="5">
        <f t="shared" si="70"/>
        <v>397</v>
      </c>
      <c r="EB16" s="5">
        <f t="shared" si="71"/>
        <v>35.134852575488459</v>
      </c>
      <c r="EC16" s="6">
        <f>应产率辅助表!V13</f>
        <v>0</v>
      </c>
      <c r="ED16" s="6">
        <f>应产率辅助表!V42</f>
        <v>0</v>
      </c>
      <c r="EE16" s="7">
        <f t="shared" si="72"/>
        <v>0</v>
      </c>
      <c r="EF16" s="5">
        <f>+产品销售数量!AS13</f>
        <v>4</v>
      </c>
      <c r="EG16" s="5">
        <f t="shared" si="73"/>
        <v>0</v>
      </c>
      <c r="EH16" s="5">
        <f t="shared" si="74"/>
        <v>4</v>
      </c>
      <c r="EI16" s="5" t="e">
        <f t="shared" si="75"/>
        <v>#DIV/0!</v>
      </c>
      <c r="EJ16" s="6">
        <f>应产率辅助表!W13</f>
        <v>3090</v>
      </c>
      <c r="EK16" s="6">
        <f>应产率辅助表!W42</f>
        <v>88.78</v>
      </c>
      <c r="EL16" s="7">
        <f t="shared" si="76"/>
        <v>1.8030774579979219E-3</v>
      </c>
      <c r="EM16" s="5">
        <f>+产品销售数量!AD13+产品销售数量!AE13+产品销售数量!AF13+产品销售数量!AG13+产品销售数量!AH13+产品销售数量!AI13+产品销售数量!AJ13+产品销售数量!AK13+产品销售数量!AL13+产品销售数量!AM13+产品销售数量!AN13+产品销售数量!AO13+产品销售数量!AQ13+产品销售数量!AP13+产品销售数量!AR13+产品销售数量!BR13+产品销售数量!AS13+产品销售数量!CA13+产品销售数量!BE13+产品销售数量!BF13</f>
        <v>2777</v>
      </c>
      <c r="EN16" s="5">
        <f t="shared" si="77"/>
        <v>1.1127115592365862</v>
      </c>
      <c r="EO16" s="5">
        <f t="shared" si="78"/>
        <v>-313</v>
      </c>
      <c r="EP16" s="5">
        <f t="shared" si="79"/>
        <v>-8.9929255663430414</v>
      </c>
      <c r="EQ16" s="6">
        <f>应产率辅助表!X13</f>
        <v>0</v>
      </c>
      <c r="ER16" s="6">
        <f>应产率辅助表!X42</f>
        <v>0</v>
      </c>
      <c r="ES16" s="7">
        <f t="shared" si="80"/>
        <v>0</v>
      </c>
      <c r="ET16" s="5">
        <f>+产品销售数量!AQ13+产品销售数量!AP13+产品销售数量!AR13+产品销售数量!BR13+产品销售数量!AS13+产品销售数量!CA13+产品销售数量!BE13+产品销售数量!BF13</f>
        <v>178</v>
      </c>
      <c r="EU16" s="5">
        <f t="shared" si="81"/>
        <v>0</v>
      </c>
      <c r="EV16" s="5">
        <f t="shared" si="82"/>
        <v>178</v>
      </c>
      <c r="EW16" s="5" t="e">
        <f t="shared" si="83"/>
        <v>#DIV/0!</v>
      </c>
      <c r="EX16" s="6">
        <f>应产率辅助表!Y13</f>
        <v>441</v>
      </c>
      <c r="EY16" s="6">
        <f>应产率辅助表!Y42</f>
        <v>24.21</v>
      </c>
      <c r="EZ16" s="7">
        <f t="shared" si="84"/>
        <v>4.9169300808886787E-4</v>
      </c>
      <c r="FA16" s="5">
        <f>产品销售数量!H13</f>
        <v>412</v>
      </c>
      <c r="FB16" s="5">
        <f t="shared" si="85"/>
        <v>1.0703883495145632</v>
      </c>
      <c r="FC16" s="5">
        <f t="shared" si="86"/>
        <v>-29</v>
      </c>
      <c r="FD16" s="5">
        <f t="shared" si="87"/>
        <v>-1.5920408163265305</v>
      </c>
      <c r="FE16" s="6">
        <f>应产率辅助表!Z13</f>
        <v>7480</v>
      </c>
      <c r="FF16" s="6">
        <f>应产率辅助表!Z42</f>
        <v>309.62</v>
      </c>
      <c r="FG16" s="7">
        <f t="shared" si="88"/>
        <v>6.2882275573926177E-3</v>
      </c>
      <c r="FH16" s="5">
        <f>+产品销售数量!J13+产品销售数量!K13+产品销售数量!L13+产品销售数量!M13+产品销售数量!O13+产品销售数量!P13+产品销售数量!S13+产品销售数量!T13+产品销售数量!BQ13+产品销售数量!BS13+产品销售数量!CC13+产品销售数量!CH13+产品销售数量!CI13+产品销售数量!CJ13+产品销售数量!CK13+产品销售数量!CL13+产品销售数量!BL13+产品销售数量!AU13++产品销售数量!AW13+产品销售数量!BQ13+产品销售数量!CN13+产品销售数量!CO13+产品销售数量!CQ13+产品销售数量!CX13+产品销售数量!CY13+产品销售数量!CM13</f>
        <v>7605</v>
      </c>
      <c r="FI16" s="5">
        <f t="shared" si="89"/>
        <v>0.98356344510190663</v>
      </c>
      <c r="FJ16" s="5">
        <f t="shared" si="90"/>
        <v>125</v>
      </c>
      <c r="FK16" s="5">
        <f t="shared" si="91"/>
        <v>5.1741310160427814</v>
      </c>
      <c r="FL16" s="6">
        <f>应产率辅助表!AA13</f>
        <v>0</v>
      </c>
      <c r="FM16" s="6">
        <f>应产率辅助表!AA42</f>
        <v>0</v>
      </c>
      <c r="FN16" s="7">
        <f t="shared" si="92"/>
        <v>0</v>
      </c>
      <c r="FO16" s="5">
        <f>+产品销售数量!R13+产品销售数量!CE13</f>
        <v>0</v>
      </c>
      <c r="FP16" s="5" t="e">
        <f t="shared" si="93"/>
        <v>#DIV/0!</v>
      </c>
      <c r="FQ16" s="5">
        <f t="shared" si="94"/>
        <v>0</v>
      </c>
      <c r="FR16" s="5" t="e">
        <f t="shared" si="95"/>
        <v>#DIV/0!</v>
      </c>
      <c r="FS16" s="6">
        <f>应产率辅助表!AB13</f>
        <v>84</v>
      </c>
      <c r="FT16" s="5">
        <f t="shared" si="96"/>
        <v>4200</v>
      </c>
      <c r="FU16" s="6">
        <f>应产率辅助表!AB42</f>
        <v>86.33</v>
      </c>
      <c r="FV16" s="7">
        <f t="shared" si="97"/>
        <v>1.7533191816733566E-3</v>
      </c>
      <c r="FW16" s="5">
        <f t="shared" si="98"/>
        <v>1.0258915486077187</v>
      </c>
      <c r="FX16" s="6">
        <f>应产率辅助表!AC13</f>
        <v>700</v>
      </c>
      <c r="FY16" s="6">
        <f>应产率辅助表!AC42</f>
        <v>31.75</v>
      </c>
      <c r="FZ16" s="7">
        <f t="shared" si="99"/>
        <v>6.4482664216528518E-4</v>
      </c>
      <c r="GA16" s="5">
        <f t="shared" si="100"/>
        <v>0.1709819247679531</v>
      </c>
      <c r="GB16" s="6">
        <f>应产率辅助表!AD13</f>
        <v>18</v>
      </c>
      <c r="GC16" s="6">
        <f>应产率辅助表!AD42</f>
        <v>2792.74</v>
      </c>
      <c r="GD16" s="7">
        <f t="shared" si="101"/>
        <v>5.671915453986389E-2</v>
      </c>
      <c r="GE16" s="6">
        <f>应产率辅助表!AE13</f>
        <v>6000</v>
      </c>
      <c r="GF16" s="6">
        <f>应产率辅助表!AE42</f>
        <v>37.79</v>
      </c>
      <c r="GG16" s="7">
        <f t="shared" si="102"/>
        <v>7.6749602543074421E-4</v>
      </c>
      <c r="GH16" s="6">
        <f>应产率辅助表!AF13</f>
        <v>73</v>
      </c>
      <c r="GI16" s="6">
        <f>应产率辅助表!AF42</f>
        <v>113.15</v>
      </c>
      <c r="GJ16" s="7">
        <f t="shared" si="103"/>
        <v>2.298019986173292E-3</v>
      </c>
      <c r="GK16" s="6">
        <f>应产率辅助表!AG13</f>
        <v>1500</v>
      </c>
      <c r="GL16" s="6">
        <f>应产率辅助表!AG42</f>
        <v>97.2</v>
      </c>
      <c r="GM16" s="7">
        <f t="shared" si="104"/>
        <v>1.9740834525501017E-3</v>
      </c>
      <c r="GN16" s="6"/>
      <c r="GO16" s="6">
        <f>应产率辅助表!AH13</f>
        <v>350</v>
      </c>
      <c r="GP16" s="6">
        <f>应产率辅助表!AH42</f>
        <v>20</v>
      </c>
      <c r="GQ16" s="7">
        <f t="shared" si="105"/>
        <v>4.0619001081277809E-4</v>
      </c>
      <c r="GR16" s="6">
        <f>应产率辅助表!AI13</f>
        <v>2400</v>
      </c>
      <c r="GS16" s="6">
        <f>应产率辅助表!AI42</f>
        <v>91.44</v>
      </c>
      <c r="GT16" s="7">
        <f t="shared" si="106"/>
        <v>1.8571007294360213E-3</v>
      </c>
      <c r="GU16" s="72">
        <f>应产率辅助表!AJ13</f>
        <v>500</v>
      </c>
      <c r="GV16" s="72">
        <f>应产率辅助表!AJ42</f>
        <v>103.8</v>
      </c>
      <c r="GW16" s="7">
        <f t="shared" si="107"/>
        <v>2.108126156118318E-3</v>
      </c>
      <c r="GX16" s="72">
        <f>应产率辅助表!AK13</f>
        <v>398</v>
      </c>
      <c r="GY16" s="72">
        <f>应产率辅助表!AK42</f>
        <v>54.28</v>
      </c>
      <c r="GZ16" s="7">
        <f t="shared" si="108"/>
        <v>1.1023996893458796E-3</v>
      </c>
      <c r="HA16" s="72">
        <f>应产率辅助表!AL13</f>
        <v>0</v>
      </c>
      <c r="HB16" s="72">
        <f>应产率辅助表!AL42</f>
        <v>0</v>
      </c>
      <c r="HC16" s="7">
        <f t="shared" si="109"/>
        <v>0</v>
      </c>
      <c r="HD16" s="72">
        <f>应产率辅助表!AM13</f>
        <v>0</v>
      </c>
      <c r="HE16" s="72">
        <f>应产率辅助表!AM42</f>
        <v>0</v>
      </c>
      <c r="HF16" s="7">
        <f t="shared" si="110"/>
        <v>0</v>
      </c>
      <c r="HG16" s="72">
        <f>应产率辅助表!AN13</f>
        <v>249</v>
      </c>
      <c r="HH16" s="72">
        <f>应产率辅助表!AN42</f>
        <v>77.69</v>
      </c>
      <c r="HI16" s="7">
        <f t="shared" si="111"/>
        <v>1.5778450970022364E-3</v>
      </c>
      <c r="HJ16" s="72">
        <f>应产率辅助表!AO13</f>
        <v>0</v>
      </c>
      <c r="HK16" s="72">
        <f>应产率辅助表!AO42</f>
        <v>0</v>
      </c>
      <c r="HL16" s="7">
        <f t="shared" si="112"/>
        <v>0</v>
      </c>
      <c r="HM16" s="72">
        <f>应产率辅助表!AP13</f>
        <v>1675</v>
      </c>
      <c r="HN16" s="72">
        <f>应产率辅助表!AP42</f>
        <v>381.82</v>
      </c>
      <c r="HO16" s="7">
        <f t="shared" si="113"/>
        <v>7.7545734964267459E-3</v>
      </c>
      <c r="HP16" s="6">
        <f>产品销售数量!DP13</f>
        <v>7</v>
      </c>
      <c r="HQ16" s="6">
        <v>65</v>
      </c>
      <c r="HR16" s="5">
        <f t="shared" si="115"/>
        <v>1.3201175351415287E-3</v>
      </c>
      <c r="HS16" s="6">
        <v>0</v>
      </c>
      <c r="HT16" s="6">
        <v>0</v>
      </c>
      <c r="HU16" s="5">
        <f t="shared" si="116"/>
        <v>0</v>
      </c>
      <c r="HV16" s="6">
        <v>0</v>
      </c>
      <c r="HW16" s="6">
        <v>0</v>
      </c>
      <c r="HX16" s="5">
        <f t="shared" si="117"/>
        <v>0</v>
      </c>
      <c r="HY16" s="5"/>
      <c r="HZ16" s="5"/>
      <c r="IA16" s="5">
        <f t="shared" si="166"/>
        <v>0</v>
      </c>
      <c r="IB16" s="5">
        <f t="shared" si="118"/>
        <v>7</v>
      </c>
      <c r="IC16" s="5">
        <f t="shared" si="118"/>
        <v>65</v>
      </c>
      <c r="ID16" s="5">
        <f t="shared" si="119"/>
        <v>1.3201175351415287E-3</v>
      </c>
      <c r="IE16" s="7">
        <f t="shared" si="120"/>
        <v>7</v>
      </c>
      <c r="IF16" s="7">
        <f t="shared" si="120"/>
        <v>65</v>
      </c>
      <c r="IG16" s="5">
        <f t="shared" si="121"/>
        <v>1.3201175351415287E-3</v>
      </c>
      <c r="IH16" s="5">
        <f t="shared" si="122"/>
        <v>0.12498811894218373</v>
      </c>
      <c r="II16" s="5">
        <f t="shared" si="123"/>
        <v>1.7516538026290242E-2</v>
      </c>
      <c r="IJ16" s="8">
        <f t="shared" si="124"/>
        <v>9.8881052631578942E-3</v>
      </c>
      <c r="IK16" s="8">
        <f t="shared" si="125"/>
        <v>1.1833506493506493E-2</v>
      </c>
      <c r="IL16" s="8">
        <f t="shared" si="126"/>
        <v>1.5233333333333333E-2</v>
      </c>
      <c r="IM16" s="8">
        <f t="shared" si="127"/>
        <v>7.1999999999999998E-3</v>
      </c>
      <c r="IN16" s="8">
        <f t="shared" si="128"/>
        <v>4.5798750000000006E-3</v>
      </c>
      <c r="IO16" s="8">
        <f t="shared" si="129"/>
        <v>1.4670000000000001E-2</v>
      </c>
      <c r="IP16" s="8">
        <f t="shared" si="130"/>
        <v>1.4666666666666666E-2</v>
      </c>
      <c r="IQ16" s="8">
        <f t="shared" si="131"/>
        <v>1.8351818181818181E-2</v>
      </c>
      <c r="IR16" s="8">
        <f t="shared" si="132"/>
        <v>1.6437500000000001E-2</v>
      </c>
      <c r="IS16" s="8">
        <f t="shared" si="133"/>
        <v>6.1854545454545452E-3</v>
      </c>
      <c r="IT16" s="8">
        <f t="shared" si="134"/>
        <v>9.6538095238095228E-3</v>
      </c>
      <c r="IU16" s="8" t="e">
        <f t="shared" si="135"/>
        <v>#DIV/0!</v>
      </c>
      <c r="IV16" s="8">
        <f t="shared" si="136"/>
        <v>1.0013014354066985E-2</v>
      </c>
      <c r="IW16" s="8">
        <f t="shared" si="137"/>
        <v>1.0804626922588026E-2</v>
      </c>
      <c r="IX16" s="8" t="e">
        <f t="shared" si="138"/>
        <v>#DIV/0!</v>
      </c>
      <c r="IY16" s="8">
        <f t="shared" si="139"/>
        <v>1.9305555555555558E-2</v>
      </c>
      <c r="IZ16" s="8">
        <f t="shared" si="140"/>
        <v>8.3505154639175266E-2</v>
      </c>
      <c r="JA16" s="8">
        <f t="shared" si="141"/>
        <v>8.8500888099467143E-2</v>
      </c>
      <c r="JB16" s="8" t="e">
        <f t="shared" si="142"/>
        <v>#DIV/0!</v>
      </c>
      <c r="JC16" s="8">
        <f t="shared" si="143"/>
        <v>2.8731391585760518E-2</v>
      </c>
      <c r="JD16" s="8" t="e">
        <f t="shared" si="144"/>
        <v>#DIV/0!</v>
      </c>
      <c r="JE16" s="8">
        <f t="shared" si="145"/>
        <v>5.4897959183673468E-2</v>
      </c>
      <c r="JF16" s="8">
        <f t="shared" si="146"/>
        <v>4.1393048128342248E-2</v>
      </c>
      <c r="JG16" s="8" t="e">
        <f t="shared" si="147"/>
        <v>#DIV/0!</v>
      </c>
      <c r="JH16" s="8">
        <f t="shared" si="148"/>
        <v>1.0277380952380952</v>
      </c>
      <c r="JI16" s="8">
        <f t="shared" si="149"/>
        <v>4.535714285714286E-2</v>
      </c>
      <c r="JJ16" s="8">
        <f t="shared" si="150"/>
        <v>155.15222222222221</v>
      </c>
      <c r="JK16" s="8">
        <f t="shared" si="151"/>
        <v>6.2983333333333329E-3</v>
      </c>
      <c r="JL16" s="8">
        <f t="shared" si="152"/>
        <v>1.55</v>
      </c>
      <c r="JM16" s="8">
        <f t="shared" si="153"/>
        <v>6.4799999999999996E-2</v>
      </c>
      <c r="JN16" s="8">
        <f t="shared" si="154"/>
        <v>5.7142857142857141E-2</v>
      </c>
      <c r="JO16" s="8">
        <f t="shared" si="155"/>
        <v>3.8100000000000002E-2</v>
      </c>
      <c r="JP16" s="9">
        <f t="shared" si="156"/>
        <v>0.20760000000000001</v>
      </c>
      <c r="JQ16" s="9">
        <f t="shared" si="157"/>
        <v>0.13638190954773868</v>
      </c>
      <c r="JR16" s="9" t="e">
        <f t="shared" si="158"/>
        <v>#DIV/0!</v>
      </c>
      <c r="JS16" s="9" t="e">
        <f t="shared" si="159"/>
        <v>#DIV/0!</v>
      </c>
      <c r="JT16" s="9">
        <f t="shared" si="160"/>
        <v>0.31200803212851402</v>
      </c>
      <c r="JU16" s="9" t="e">
        <f t="shared" si="161"/>
        <v>#DIV/0!</v>
      </c>
      <c r="JV16" s="9">
        <f t="shared" si="162"/>
        <v>0.22795223880597015</v>
      </c>
      <c r="JW16" s="9">
        <f t="shared" si="163"/>
        <v>9.2857142857142865</v>
      </c>
    </row>
    <row r="17" spans="1:283" s="11" customFormat="1" ht="18" customHeight="1" x14ac:dyDescent="0.15">
      <c r="A17" s="10">
        <v>902</v>
      </c>
      <c r="B17" s="5" t="s">
        <v>640</v>
      </c>
      <c r="C17" s="5" t="s">
        <v>641</v>
      </c>
      <c r="D17" s="55">
        <v>31439.21</v>
      </c>
      <c r="E17" s="56">
        <f>产品销售数量!D14</f>
        <v>2415</v>
      </c>
      <c r="F17" s="6">
        <f>应产率辅助表!C14</f>
        <v>144700</v>
      </c>
      <c r="G17" s="6">
        <f>应产率辅助表!C43</f>
        <v>1430.09</v>
      </c>
      <c r="H17" s="7">
        <f t="shared" si="1"/>
        <v>4.5487466129078939E-2</v>
      </c>
      <c r="I17" s="5">
        <f>产品销售数量!E14+产品销售数量!F14*1.36</f>
        <v>1388.8000000000002</v>
      </c>
      <c r="J17" s="5">
        <f t="shared" si="164"/>
        <v>9.5977885279889446</v>
      </c>
      <c r="K17" s="5">
        <f t="shared" si="2"/>
        <v>8345.7600000000384</v>
      </c>
      <c r="L17" s="5">
        <f t="shared" si="3"/>
        <v>82.482293838286495</v>
      </c>
      <c r="M17" s="6">
        <f>应产率辅助表!D14</f>
        <v>15500</v>
      </c>
      <c r="N17" s="6">
        <f>应产率辅助表!D43</f>
        <v>183.45</v>
      </c>
      <c r="O17" s="7">
        <f t="shared" si="4"/>
        <v>5.8350702832545729E-3</v>
      </c>
      <c r="P17" s="5">
        <f>+产品销售数量!H14</f>
        <v>162</v>
      </c>
      <c r="Q17" s="5">
        <f t="shared" si="5"/>
        <v>10.451612903225806</v>
      </c>
      <c r="R17" s="5">
        <f t="shared" si="6"/>
        <v>-863.30000000000109</v>
      </c>
      <c r="S17" s="5">
        <f t="shared" si="7"/>
        <v>-10.217573225806465</v>
      </c>
      <c r="T17" s="6">
        <f>应产率辅助表!E14</f>
        <v>53700</v>
      </c>
      <c r="U17" s="6">
        <f>应产率辅助表!E43</f>
        <v>820.25</v>
      </c>
      <c r="V17" s="7">
        <f t="shared" si="8"/>
        <v>2.6090032160477315E-2</v>
      </c>
      <c r="W17" s="5">
        <f>+产品销售数量!V14+产品销售数量!CP14</f>
        <v>509</v>
      </c>
      <c r="X17" s="5">
        <f t="shared" si="9"/>
        <v>9.4785847299813781</v>
      </c>
      <c r="Y17" s="5">
        <f t="shared" si="10"/>
        <v>-2901.8000000000029</v>
      </c>
      <c r="Z17" s="5">
        <f t="shared" si="11"/>
        <v>-44.324049348230957</v>
      </c>
      <c r="AA17" s="6">
        <f>应产率辅助表!F14</f>
        <v>53000</v>
      </c>
      <c r="AB17" s="6">
        <f>应产率辅助表!F43</f>
        <v>381.6</v>
      </c>
      <c r="AC17" s="7">
        <f t="shared" si="12"/>
        <v>1.213770956712971E-2</v>
      </c>
      <c r="AD17" s="5">
        <f>产品销售数量!J14*1.5+产品销售数量!K14*1.5+产品销售数量!L14*1.5+产品销售数量!O14*1.5+产品销售数量!P14*1.5+产品销售数量!S14*1.5+产品销售数量!T14*1.5+产品销售数量!CH14*1.35+产品销售数量!M14*1.5+产品销售数量!CK14*0.89*1.5+产品销售数量!BL14*1.35+产品销售数量!AU14*0.9+产品销售数量!AW14*0.9+产品销售数量!BB14*1.5+产品销售数量!CN14*1.35+产品销售数量!CO14*1.35+产品销售数量!CQ14*1.5+产品销售数量!CX14*1.5+产品销售数量!CY14*1.35+产品销售数量!CZ14*1.35</f>
        <v>4745.67</v>
      </c>
      <c r="AE17" s="5">
        <f t="shared" si="13"/>
        <v>89.54094339622641</v>
      </c>
      <c r="AF17" s="5">
        <f t="shared" si="14"/>
        <v>-5068.7330000000002</v>
      </c>
      <c r="AG17" s="5">
        <f t="shared" si="15"/>
        <v>-36.494877600000002</v>
      </c>
      <c r="AH17" s="6">
        <f t="shared" si="165"/>
        <v>6.92</v>
      </c>
      <c r="AI17" s="6">
        <f>应产率辅助表!G14</f>
        <v>173000</v>
      </c>
      <c r="AJ17" s="6">
        <f>应产率辅助表!G43</f>
        <v>792.31</v>
      </c>
      <c r="AK17" s="7">
        <f t="shared" si="17"/>
        <v>2.5201332985148164E-2</v>
      </c>
      <c r="AL17" s="5">
        <f>+产品销售数量!J14*1.13+产品销售数量!K14*1.13+产品销售数量!O14*1.13+产品销售数量!U14+产品销售数量!V14*2.6+产品销售数量!W14*2.6+产品销售数量!X14*1.6+产品销售数量!Y14+产品销售数量!AB14*1.74+产品销售数量!BC14*1.19+产品销售数量!BL14*0.98+产品销售数量!BM14*0.74+产品销售数量!BN14*4.495+产品销售数量!BQ14*2.29+产品销售数量!BV14*2.56+产品销售数量!CG14*1.74+产品销售数量!CJ14*0.8+产品销售数量!CK14*1.13+产品销售数量!CM14*1.19+产品销售数量!CO14*0.98+产品销售数量!CP14*2.6+产品销售数量!CQ14*1.13+产品销售数量!CR14*1.4+产品销售数量!CS14*1.4+产品销售数量!CT14*1.4+产品销售数量!CV14*1.13+产品销售数量!CW14*0.98+产品销售数量!CX14*0.378+产品销售数量!CY14*1.19+产品销售数量!DA14*0.87+产品销售数量!DB14*1.5+产品销售数量!DI14*0.595+产品销售数量!DK14*1.74+产品销售数量!DO14*1.11</f>
        <v>4874.28</v>
      </c>
      <c r="AM17" s="5">
        <f t="shared" si="18"/>
        <v>28.175028901734102</v>
      </c>
      <c r="AN17" s="5">
        <f t="shared" si="19"/>
        <v>-26527.885999999999</v>
      </c>
      <c r="AO17" s="5">
        <f t="shared" si="20"/>
        <v>-121.4931176685549</v>
      </c>
      <c r="AP17" s="6">
        <f>应产率辅助表!H14</f>
        <v>2300</v>
      </c>
      <c r="AQ17" s="6">
        <f>应产率辅助表!H43</f>
        <v>32.6</v>
      </c>
      <c r="AR17" s="7">
        <f t="shared" si="21"/>
        <v>1.0369217292673703E-3</v>
      </c>
      <c r="AS17" s="5">
        <f>产品销售数量!I14*0.858+产品销售数量!Z14*0.686+产品销售数量!AA14*1.79+产品销售数量!CF14*1.79+产品销售数量!CL14*0.89</f>
        <v>271.35199999999998</v>
      </c>
      <c r="AT17" s="5">
        <f t="shared" si="22"/>
        <v>117.9791304347826</v>
      </c>
      <c r="AU17" s="5">
        <f t="shared" si="23"/>
        <v>-1119.6188000000002</v>
      </c>
      <c r="AV17" s="5">
        <f t="shared" si="24"/>
        <v>-15.86937951304348</v>
      </c>
      <c r="AW17" s="6">
        <f>应产率辅助表!I14</f>
        <v>2600</v>
      </c>
      <c r="AX17" s="6">
        <f>应产率辅助表!I43</f>
        <v>36.85</v>
      </c>
      <c r="AY17" s="7">
        <f t="shared" si="25"/>
        <v>1.1721032430522269E-3</v>
      </c>
      <c r="AZ17" s="5">
        <f>+产品销售数量!I14*0.857+产品销售数量!Z14*0.485+产品销售数量!AA14*1.88+产品销售数量!CF14*1.88+产品销售数量!CL14*0.89</f>
        <v>268.03999999999996</v>
      </c>
      <c r="BA17" s="5">
        <f t="shared" si="26"/>
        <v>103.09230769230767</v>
      </c>
      <c r="BB17" s="5">
        <f t="shared" si="27"/>
        <v>-830.93600000000038</v>
      </c>
      <c r="BC17" s="5">
        <f t="shared" si="28"/>
        <v>-11.776919846153852</v>
      </c>
      <c r="BD17" s="6">
        <f>应产率辅助表!J14</f>
        <v>6000</v>
      </c>
      <c r="BE17" s="6">
        <f>应产率辅助表!J43</f>
        <v>110.08</v>
      </c>
      <c r="BF17" s="7">
        <f t="shared" si="167"/>
        <v>3.5013602441028259E-3</v>
      </c>
      <c r="BG17" s="5">
        <f>+产品销售数量!J14*2+产品销售数量!L14*0.93+产品销售数量!O14*2+产品销售数量!P14*0.93+产品销售数量!U14*1.93+产品销售数量!W14*2+产品销售数量!V14*3.79+产品销售数量!I14*2.678+产品销售数量!CK14*1.32+产品销售数量!CQ14*2</f>
        <v>5351.39</v>
      </c>
      <c r="BH17" s="5">
        <f t="shared" si="168"/>
        <v>891.89833333333343</v>
      </c>
      <c r="BI17" s="5">
        <f t="shared" si="169"/>
        <v>1491.9459999999999</v>
      </c>
      <c r="BJ17" s="5">
        <f t="shared" si="170"/>
        <v>27.372235946666667</v>
      </c>
      <c r="BK17" s="6">
        <f>应产率辅助表!K14</f>
        <v>3800</v>
      </c>
      <c r="BL17" s="6">
        <f>应产率辅助表!K43</f>
        <v>62.31</v>
      </c>
      <c r="BM17" s="7">
        <f t="shared" si="33"/>
        <v>1.981920029161038E-3</v>
      </c>
      <c r="BN17" s="5">
        <f>产品销售数量!K14*1.125+产品销售数量!Y14*4.12+产品销售数量!X14*5.5+产品销售数量!AA14*13.25+产品销售数量!AB14*13.25+产品销售数量!BN14*6.87+产品销售数量!BV14+产品销售数量!CF14*13.25+产品销售数量!CG14*13.25+产品销售数量!CJ14*6.63+产品销售数量!CL14*6.63+产品销售数量!CR14*2.25+产品销售数量!CS14*2.25+产品销售数量!CT14*2.25+产品销售数量!CV14*0.75+产品销售数量!DA14*6.63+产品销售数量!DJ14*13.25+产品销售数量!DK14*13.25</f>
        <v>3693.71</v>
      </c>
      <c r="BO17" s="5">
        <f t="shared" si="0"/>
        <v>972.02894736842109</v>
      </c>
      <c r="BP17" s="5">
        <f t="shared" si="34"/>
        <v>-845.0319999999997</v>
      </c>
      <c r="BQ17" s="5">
        <f t="shared" si="35"/>
        <v>-13.856301031578944</v>
      </c>
      <c r="BR17" s="6">
        <f>应产率辅助表!L14</f>
        <v>7500</v>
      </c>
      <c r="BS17" s="6">
        <f>应产率辅助表!L43</f>
        <v>46.4</v>
      </c>
      <c r="BT17" s="7">
        <f t="shared" si="171"/>
        <v>1.4758640563805516E-3</v>
      </c>
      <c r="BU17" s="5">
        <f>产品销售数量!O14+产品销售数量!P14+产品销售数量!CI14*1.5+产品销售数量!CK14*0.89+产品销售数量!M14*1.34</f>
        <v>809.16000000000008</v>
      </c>
      <c r="BV17" s="5">
        <f t="shared" si="172"/>
        <v>107.88800000000001</v>
      </c>
      <c r="BW17" s="5">
        <f t="shared" si="173"/>
        <v>672.51600000000053</v>
      </c>
      <c r="BX17" s="5">
        <f t="shared" si="174"/>
        <v>4.160632320000003</v>
      </c>
      <c r="BY17" s="6">
        <f>应产率辅助表!M14</f>
        <v>30500</v>
      </c>
      <c r="BZ17" s="6">
        <f>应产率辅助表!M43</f>
        <v>294.42</v>
      </c>
      <c r="CA17" s="7">
        <f t="shared" si="40"/>
        <v>9.3647391267146982E-3</v>
      </c>
      <c r="CB17" s="5">
        <f>+产品销售数量!J14+产品销售数量!K14+产品销售数量!L14+产品销售数量!O14+产品销售数量!P14+产品销售数量!S14+产品销售数量!T14+产品销售数量!AU14*0.9+产品销售数量!AW14*0.9+产品销售数量!BL14*0.9+产品销售数量!CH14*0.9+产品销售数量!CK14*0.9+产品销售数量!CN14*0.9+产品销售数量!CO14*0.9+产品销售数量!CQ14+产品销售数量!CV14+产品销售数量!CW14*0.9+产品销售数量!DB14</f>
        <v>2820.3</v>
      </c>
      <c r="CC17" s="5">
        <f t="shared" si="41"/>
        <v>92.468852459016404</v>
      </c>
      <c r="CD17" s="5">
        <f t="shared" si="42"/>
        <v>12227.545000000006</v>
      </c>
      <c r="CE17" s="5">
        <f t="shared" si="43"/>
        <v>118.0338950459017</v>
      </c>
      <c r="CF17" s="6">
        <f>应产率辅助表!N14</f>
        <v>900</v>
      </c>
      <c r="CG17" s="6">
        <f>应产率辅助表!N43</f>
        <v>15.65</v>
      </c>
      <c r="CH17" s="7">
        <f t="shared" si="44"/>
        <v>4.9778604487835413E-4</v>
      </c>
      <c r="CI17" s="5">
        <f>产品销售数量!P14+产品销售数量!Z14*1.4+产品销售数量!L14</f>
        <v>144.80000000000001</v>
      </c>
      <c r="CJ17" s="5">
        <f t="shared" si="45"/>
        <v>160.88888888888889</v>
      </c>
      <c r="CK17" s="5">
        <f t="shared" si="46"/>
        <v>41827.545000000006</v>
      </c>
      <c r="CL17" s="5">
        <f t="shared" si="47"/>
        <v>727.33453250000002</v>
      </c>
      <c r="CM17" s="6">
        <f>应产率辅助表!O14</f>
        <v>157750</v>
      </c>
      <c r="CN17" s="6">
        <f>应产率辅助表!O43</f>
        <v>1578.12</v>
      </c>
      <c r="CO17" s="7">
        <f t="shared" si="48"/>
        <v>5.0195917772743015E-2</v>
      </c>
      <c r="CP17" s="5">
        <f>+产品销售数量!AE14*1.04+产品销售数量!AD14*1.279+产品销售数量!BW14*1.04+产品销售数量!BX14*1.279</f>
        <v>1880.423</v>
      </c>
      <c r="CQ17" s="5">
        <f t="shared" si="49"/>
        <v>11.920272583201267</v>
      </c>
      <c r="CR17" s="5">
        <f t="shared" si="50"/>
        <v>-74635.30339999999</v>
      </c>
      <c r="CS17" s="5">
        <f t="shared" si="51"/>
        <v>-746.64637085012976</v>
      </c>
      <c r="CT17" s="6">
        <f>应产率辅助表!P14</f>
        <v>20517</v>
      </c>
      <c r="CU17" s="6">
        <f>应产率辅助表!P43</f>
        <v>221.67</v>
      </c>
      <c r="CV17" s="7">
        <f t="shared" si="52"/>
        <v>2.6560792546155048E-2</v>
      </c>
      <c r="CW17" s="5">
        <f>+产品销售数量!AC14*1.08+产品销售数量!AH14*1+产品销售数量!AG14*1.45+产品销售数量!BG14*0.834+产品销售数量!CU14*0.834+产品销售数量!DM14*1.19</f>
        <v>131.52999999999997</v>
      </c>
      <c r="CX17" s="5">
        <f t="shared" si="53"/>
        <v>6.4107813033094496</v>
      </c>
      <c r="CY17" s="5">
        <f t="shared" si="54"/>
        <v>-14703.374</v>
      </c>
      <c r="CZ17" s="5">
        <f t="shared" si="55"/>
        <v>-158.85835719549641</v>
      </c>
      <c r="DA17" s="6">
        <f>应产率辅助表!Q14</f>
        <v>0</v>
      </c>
      <c r="DB17" s="6">
        <f>应产率辅助表!Q43</f>
        <v>0</v>
      </c>
      <c r="DC17" s="7">
        <f t="shared" si="56"/>
        <v>0</v>
      </c>
      <c r="DD17" s="5">
        <f>产品销售数量!AJ14*2+产品销售数量!AK14*1.38+产品销售数量!AL14+产品销售数量!BT14*1.38+产品销售数量!BU14*2</f>
        <v>0</v>
      </c>
      <c r="DE17" s="5" t="e">
        <f t="shared" si="57"/>
        <v>#DIV/0!</v>
      </c>
      <c r="DF17" s="5">
        <f t="shared" si="58"/>
        <v>0</v>
      </c>
      <c r="DG17" s="5" t="e">
        <f t="shared" si="59"/>
        <v>#DIV/0!</v>
      </c>
      <c r="DH17" s="6">
        <f>应产率辅助表!R14</f>
        <v>4580</v>
      </c>
      <c r="DI17" s="6">
        <f>应产率辅助表!R43</f>
        <v>88.43</v>
      </c>
      <c r="DJ17" s="7">
        <f t="shared" si="60"/>
        <v>2.8127297091752627E-3</v>
      </c>
      <c r="DK17" s="5">
        <f>+产品销售数量!AM14*1.375+产品销售数量!AN14+产品销售数量!AO14*0.75+产品销售数量!BR14*0.57</f>
        <v>104.425</v>
      </c>
      <c r="DL17" s="5">
        <f t="shared" si="61"/>
        <v>22.800218340611352</v>
      </c>
      <c r="DM17" s="5">
        <f t="shared" si="62"/>
        <v>35.585000000000036</v>
      </c>
      <c r="DN17" s="5">
        <f t="shared" si="63"/>
        <v>0.68707020742358149</v>
      </c>
      <c r="DO17" s="6">
        <f>应产率辅助表!S14+应产率辅助表!T14</f>
        <v>600</v>
      </c>
      <c r="DP17" s="6">
        <f>应产率辅助表!S43+应产率辅助表!T43</f>
        <v>50.44</v>
      </c>
      <c r="DQ17" s="7">
        <f t="shared" si="64"/>
        <v>1.6043660130136857E-3</v>
      </c>
      <c r="DR17" s="5">
        <f>+产品销售数量!Y14+产品销售数量!X14+产品销售数量!AB14*3+产品销售数量!CG14*3+产品销售数量!CJ14*2+产品销售数量!BN14*2+产品销售数量!CR14+产品销售数量!CS14+产品销售数量!CT14+产品销售数量!BM14+产品销售数量!AA14+产品销售数量!CF14</f>
        <v>566</v>
      </c>
      <c r="DS17" s="5">
        <f t="shared" si="65"/>
        <v>1.0600706713780919</v>
      </c>
      <c r="DT17" s="5">
        <f t="shared" si="66"/>
        <v>-34</v>
      </c>
      <c r="DU17" s="5">
        <f t="shared" si="67"/>
        <v>-2.8582666666666667</v>
      </c>
      <c r="DV17" s="6">
        <f>应产率辅助表!U14</f>
        <v>2075</v>
      </c>
      <c r="DW17" s="6">
        <f>应产率辅助表!U43</f>
        <v>183.61</v>
      </c>
      <c r="DX17" s="7">
        <f t="shared" si="68"/>
        <v>5.8401594696558855E-3</v>
      </c>
      <c r="DY17" s="5">
        <f>+产品销售数量!E14+产品销售数量!F14*2+产品销售数量!G14+产品销售数量!CY14+产品销售数量!DE14+产品销售数量!DH14</f>
        <v>2391</v>
      </c>
      <c r="DZ17" s="5">
        <f t="shared" si="69"/>
        <v>0.86783772480133836</v>
      </c>
      <c r="EA17" s="5">
        <f t="shared" si="70"/>
        <v>316</v>
      </c>
      <c r="EB17" s="5">
        <f t="shared" si="71"/>
        <v>27.961812048192773</v>
      </c>
      <c r="EC17" s="6">
        <f>应产率辅助表!V14</f>
        <v>0</v>
      </c>
      <c r="ED17" s="6">
        <f>应产率辅助表!V43</f>
        <v>0</v>
      </c>
      <c r="EE17" s="7">
        <f t="shared" si="72"/>
        <v>0</v>
      </c>
      <c r="EF17" s="5">
        <f>+产品销售数量!AS14</f>
        <v>12</v>
      </c>
      <c r="EG17" s="5">
        <f t="shared" si="73"/>
        <v>0</v>
      </c>
      <c r="EH17" s="5">
        <f t="shared" si="74"/>
        <v>12</v>
      </c>
      <c r="EI17" s="5" t="e">
        <f t="shared" si="75"/>
        <v>#DIV/0!</v>
      </c>
      <c r="EJ17" s="6">
        <f>应产率辅助表!W14</f>
        <v>2150</v>
      </c>
      <c r="EK17" s="6">
        <f>应产率辅助表!W43</f>
        <v>64.5</v>
      </c>
      <c r="EL17" s="7">
        <f t="shared" si="76"/>
        <v>2.0515782680289997E-3</v>
      </c>
      <c r="EM17" s="5">
        <f>+产品销售数量!AD14+产品销售数量!AE14+产品销售数量!AF14+产品销售数量!AG14+产品销售数量!AH14+产品销售数量!AI14+产品销售数量!AJ14+产品销售数量!AK14+产品销售数量!AL14+产品销售数量!AM14+产品销售数量!AN14+产品销售数量!AO14+产品销售数量!AQ14+产品销售数量!AP14+产品销售数量!AR14+产品销售数量!BR14+产品销售数量!AS14+产品销售数量!CA14+产品销售数量!BE14+产品销售数量!BF14</f>
        <v>1907</v>
      </c>
      <c r="EN17" s="5">
        <f t="shared" si="77"/>
        <v>1.1274252753015208</v>
      </c>
      <c r="EO17" s="5">
        <f t="shared" si="78"/>
        <v>-243</v>
      </c>
      <c r="EP17" s="5">
        <f t="shared" si="79"/>
        <v>-7.29</v>
      </c>
      <c r="EQ17" s="6">
        <f>应产率辅助表!X14</f>
        <v>0</v>
      </c>
      <c r="ER17" s="6">
        <f>应产率辅助表!X43</f>
        <v>0</v>
      </c>
      <c r="ES17" s="7">
        <f t="shared" si="80"/>
        <v>0</v>
      </c>
      <c r="ET17" s="5">
        <f>+产品销售数量!AQ14+产品销售数量!AP14+产品销售数量!AR14+产品销售数量!BR14+产品销售数量!AS14+产品销售数量!CA14+产品销售数量!BE14+产品销售数量!BF14</f>
        <v>143</v>
      </c>
      <c r="EU17" s="5">
        <f t="shared" si="81"/>
        <v>0</v>
      </c>
      <c r="EV17" s="5">
        <f t="shared" si="82"/>
        <v>143</v>
      </c>
      <c r="EW17" s="5" t="e">
        <f t="shared" si="83"/>
        <v>#DIV/0!</v>
      </c>
      <c r="EX17" s="6">
        <f>应产率辅助表!Y14</f>
        <v>200</v>
      </c>
      <c r="EY17" s="6">
        <f>应产率辅助表!Y43</f>
        <v>10.98</v>
      </c>
      <c r="EZ17" s="7">
        <f t="shared" si="84"/>
        <v>3.4924541679005297E-4</v>
      </c>
      <c r="FA17" s="5">
        <f>产品销售数量!H14</f>
        <v>162</v>
      </c>
      <c r="FB17" s="5">
        <f t="shared" si="85"/>
        <v>1.2345679012345678</v>
      </c>
      <c r="FC17" s="5">
        <f t="shared" si="86"/>
        <v>-38</v>
      </c>
      <c r="FD17" s="5">
        <f t="shared" si="87"/>
        <v>-2.0862000000000003</v>
      </c>
      <c r="FE17" s="6">
        <f>应产率辅助表!Z14</f>
        <v>3400</v>
      </c>
      <c r="FF17" s="6">
        <f>应产率辅助表!Z43</f>
        <v>141.55000000000001</v>
      </c>
      <c r="FG17" s="7">
        <f t="shared" si="88"/>
        <v>4.5023395944109286E-3</v>
      </c>
      <c r="FH17" s="5">
        <f>+产品销售数量!J14+产品销售数量!K14+产品销售数量!L14+产品销售数量!M14+产品销售数量!O14+产品销售数量!P14+产品销售数量!S14+产品销售数量!T14+产品销售数量!BQ14+产品销售数量!BS14+产品销售数量!CC14+产品销售数量!CH14+产品销售数量!CI14+产品销售数量!CJ14+产品销售数量!CK14+产品销售数量!CL14+产品销售数量!BL14+产品销售数量!AU14++产品销售数量!AW14+产品销售数量!BQ14+产品销售数量!CN14+产品销售数量!CO14+产品销售数量!CQ14+产品销售数量!CX14+产品销售数量!CY14+产品销售数量!CM14</f>
        <v>3401</v>
      </c>
      <c r="FI17" s="5">
        <f t="shared" si="89"/>
        <v>0.99970596883269625</v>
      </c>
      <c r="FJ17" s="5">
        <f t="shared" si="90"/>
        <v>1</v>
      </c>
      <c r="FK17" s="5">
        <f t="shared" si="91"/>
        <v>4.1632352941176475E-2</v>
      </c>
      <c r="FL17" s="6">
        <f>应产率辅助表!AA14</f>
        <v>0</v>
      </c>
      <c r="FM17" s="6">
        <f>应产率辅助表!AA43</f>
        <v>0</v>
      </c>
      <c r="FN17" s="7">
        <f t="shared" si="92"/>
        <v>0</v>
      </c>
      <c r="FO17" s="5">
        <f>+产品销售数量!R14+产品销售数量!CE14</f>
        <v>0</v>
      </c>
      <c r="FP17" s="5" t="e">
        <f t="shared" si="93"/>
        <v>#DIV/0!</v>
      </c>
      <c r="FQ17" s="5">
        <f t="shared" si="94"/>
        <v>0</v>
      </c>
      <c r="FR17" s="5" t="e">
        <f t="shared" si="95"/>
        <v>#DIV/0!</v>
      </c>
      <c r="FS17" s="6">
        <f>应产率辅助表!AB14</f>
        <v>147</v>
      </c>
      <c r="FT17" s="5">
        <f t="shared" si="96"/>
        <v>7350</v>
      </c>
      <c r="FU17" s="6">
        <f>应产率辅助表!AB43</f>
        <v>130.24</v>
      </c>
      <c r="FV17" s="7">
        <f t="shared" si="97"/>
        <v>4.1425977306681688E-3</v>
      </c>
      <c r="FW17" s="5">
        <f t="shared" si="98"/>
        <v>3.0434782608695654</v>
      </c>
      <c r="FX17" s="6">
        <f>应产率辅助表!AC14</f>
        <v>1000</v>
      </c>
      <c r="FY17" s="6">
        <f>应产率辅助表!AC43</f>
        <v>45.36</v>
      </c>
      <c r="FZ17" s="7">
        <f t="shared" si="99"/>
        <v>1.442784344772022E-3</v>
      </c>
      <c r="GA17" s="5">
        <f t="shared" si="100"/>
        <v>0.41407867494824019</v>
      </c>
      <c r="GB17" s="6">
        <f>应产率辅助表!AD14</f>
        <v>15</v>
      </c>
      <c r="GC17" s="6">
        <f>应产率辅助表!AD43</f>
        <v>2337.52</v>
      </c>
      <c r="GD17" s="7">
        <f t="shared" si="101"/>
        <v>7.4350468729971267E-2</v>
      </c>
      <c r="GE17" s="6">
        <f>应产率辅助表!AE14</f>
        <v>2800</v>
      </c>
      <c r="GF17" s="6">
        <f>应产率辅助表!AE43</f>
        <v>17.63</v>
      </c>
      <c r="GG17" s="7">
        <f t="shared" si="102"/>
        <v>5.6076472659459314E-4</v>
      </c>
      <c r="GH17" s="6">
        <f>应产率辅助表!AF14</f>
        <v>70</v>
      </c>
      <c r="GI17" s="6">
        <f>应产率辅助表!AF43</f>
        <v>108.5</v>
      </c>
      <c r="GJ17" s="7">
        <f t="shared" si="103"/>
        <v>3.4511045283898674E-3</v>
      </c>
      <c r="GK17" s="6">
        <f>应产率辅助表!AG14</f>
        <v>480</v>
      </c>
      <c r="GL17" s="6">
        <f>应产率辅助表!AG43</f>
        <v>259.01</v>
      </c>
      <c r="GM17" s="7">
        <f t="shared" si="104"/>
        <v>8.2384385612742812E-3</v>
      </c>
      <c r="GN17" s="6"/>
      <c r="GO17" s="6">
        <f>应产率辅助表!AH14</f>
        <v>0</v>
      </c>
      <c r="GP17" s="6">
        <f>应产率辅助表!AH43</f>
        <v>0</v>
      </c>
      <c r="GQ17" s="7">
        <f t="shared" si="105"/>
        <v>0</v>
      </c>
      <c r="GR17" s="6">
        <f>应产率辅助表!AI14</f>
        <v>3200</v>
      </c>
      <c r="GS17" s="6">
        <f>应产率辅助表!AI43</f>
        <v>187.51</v>
      </c>
      <c r="GT17" s="7">
        <f t="shared" si="106"/>
        <v>5.9642083881878711E-3</v>
      </c>
      <c r="GU17" s="72">
        <f>应产率辅助表!AJ14</f>
        <v>857</v>
      </c>
      <c r="GV17" s="72">
        <f>应产率辅助表!AJ43</f>
        <v>175.3</v>
      </c>
      <c r="GW17" s="7">
        <f t="shared" si="107"/>
        <v>5.5758398509377308E-3</v>
      </c>
      <c r="GX17" s="72">
        <f>应产率辅助表!AK14</f>
        <v>200</v>
      </c>
      <c r="GY17" s="72">
        <f>应产率辅助表!AK43</f>
        <v>27.26</v>
      </c>
      <c r="GZ17" s="7">
        <f t="shared" si="108"/>
        <v>8.6707013312357407E-4</v>
      </c>
      <c r="HA17" s="72">
        <f>应产率辅助表!AL14</f>
        <v>560</v>
      </c>
      <c r="HB17" s="72">
        <f>应产率辅助表!AL43</f>
        <v>213.46</v>
      </c>
      <c r="HC17" s="7">
        <f t="shared" si="109"/>
        <v>6.7896108076507013E-3</v>
      </c>
      <c r="HD17" s="72">
        <f>应产率辅助表!AM14</f>
        <v>150</v>
      </c>
      <c r="HE17" s="72">
        <f>应产率辅助表!AM43</f>
        <v>12.32</v>
      </c>
      <c r="HF17" s="7">
        <f t="shared" si="110"/>
        <v>3.9186735290104303E-4</v>
      </c>
      <c r="HG17" s="72">
        <f>应产率辅助表!AN14</f>
        <v>100</v>
      </c>
      <c r="HH17" s="72">
        <f>应产率辅助表!AN43</f>
        <v>29.96</v>
      </c>
      <c r="HI17" s="7">
        <f t="shared" si="111"/>
        <v>9.5295015364571826E-4</v>
      </c>
      <c r="HJ17" s="72">
        <f>应产率辅助表!AO14</f>
        <v>0</v>
      </c>
      <c r="HK17" s="72">
        <f>应产率辅助表!AO43</f>
        <v>0</v>
      </c>
      <c r="HL17" s="7">
        <f t="shared" si="112"/>
        <v>0</v>
      </c>
      <c r="HM17" s="72">
        <f>应产率辅助表!AP14</f>
        <v>500</v>
      </c>
      <c r="HN17" s="72">
        <f>应产率辅助表!AP43</f>
        <v>113.98</v>
      </c>
      <c r="HO17" s="7">
        <f t="shared" si="113"/>
        <v>3.6254091626348119E-3</v>
      </c>
      <c r="HP17" s="6">
        <f>产品销售数量!DP14</f>
        <v>13</v>
      </c>
      <c r="HQ17" s="6">
        <v>172.38</v>
      </c>
      <c r="HR17" s="5">
        <f t="shared" si="115"/>
        <v>5.482962199113782E-3</v>
      </c>
      <c r="HS17" s="6">
        <v>0</v>
      </c>
      <c r="HT17" s="6">
        <v>0</v>
      </c>
      <c r="HU17" s="5">
        <f t="shared" si="116"/>
        <v>0</v>
      </c>
      <c r="HV17" s="6">
        <v>0</v>
      </c>
      <c r="HW17" s="6">
        <v>0</v>
      </c>
      <c r="HX17" s="5">
        <f t="shared" si="117"/>
        <v>0</v>
      </c>
      <c r="HY17" s="5"/>
      <c r="HZ17" s="5"/>
      <c r="IA17" s="5">
        <f t="shared" si="166"/>
        <v>0</v>
      </c>
      <c r="IB17" s="5">
        <f t="shared" si="118"/>
        <v>13</v>
      </c>
      <c r="IC17" s="5">
        <f t="shared" si="118"/>
        <v>172.38</v>
      </c>
      <c r="ID17" s="5">
        <f t="shared" si="119"/>
        <v>5.482962199113782E-3</v>
      </c>
      <c r="IE17" s="7">
        <f t="shared" si="120"/>
        <v>13</v>
      </c>
      <c r="IF17" s="7">
        <f t="shared" si="120"/>
        <v>172.38</v>
      </c>
      <c r="IG17" s="5">
        <f t="shared" si="121"/>
        <v>5.482962199113782E-3</v>
      </c>
      <c r="IH17" s="5">
        <f t="shared" si="122"/>
        <v>0.13872549596507036</v>
      </c>
      <c r="II17" s="5">
        <f t="shared" si="123"/>
        <v>3.0142296832522189E-2</v>
      </c>
      <c r="IJ17" s="8">
        <f t="shared" si="124"/>
        <v>9.8831375259156879E-3</v>
      </c>
      <c r="IK17" s="8">
        <f t="shared" si="125"/>
        <v>1.1835483870967741E-2</v>
      </c>
      <c r="IL17" s="8">
        <f t="shared" si="126"/>
        <v>1.5274674115456239E-2</v>
      </c>
      <c r="IM17" s="8">
        <f t="shared" si="127"/>
        <v>7.2000000000000007E-3</v>
      </c>
      <c r="IN17" s="8">
        <f t="shared" si="128"/>
        <v>4.5798265895953755E-3</v>
      </c>
      <c r="IO17" s="8">
        <f t="shared" si="129"/>
        <v>1.4173913043478261E-2</v>
      </c>
      <c r="IP17" s="8">
        <f t="shared" si="130"/>
        <v>1.4173076923076924E-2</v>
      </c>
      <c r="IQ17" s="8">
        <f t="shared" si="131"/>
        <v>1.8346666666666667E-2</v>
      </c>
      <c r="IR17" s="8">
        <f t="shared" si="132"/>
        <v>1.6397368421052633E-2</v>
      </c>
      <c r="IS17" s="8">
        <f t="shared" si="133"/>
        <v>6.1866666666666667E-3</v>
      </c>
      <c r="IT17" s="8">
        <f t="shared" si="134"/>
        <v>9.653114754098361E-3</v>
      </c>
      <c r="IU17" s="8">
        <f t="shared" si="135"/>
        <v>1.7388888888888888E-2</v>
      </c>
      <c r="IV17" s="8">
        <f t="shared" si="136"/>
        <v>1.0003930269413628E-2</v>
      </c>
      <c r="IW17" s="8">
        <f t="shared" si="137"/>
        <v>1.0804211141979821E-2</v>
      </c>
      <c r="IX17" s="8" t="e">
        <f t="shared" si="138"/>
        <v>#DIV/0!</v>
      </c>
      <c r="IY17" s="8">
        <f t="shared" si="139"/>
        <v>1.9307860262008734E-2</v>
      </c>
      <c r="IZ17" s="8">
        <f t="shared" si="140"/>
        <v>8.4066666666666665E-2</v>
      </c>
      <c r="JA17" s="8">
        <f t="shared" si="141"/>
        <v>8.8486746987951809E-2</v>
      </c>
      <c r="JB17" s="8" t="e">
        <f t="shared" si="142"/>
        <v>#DIV/0!</v>
      </c>
      <c r="JC17" s="8">
        <f t="shared" si="143"/>
        <v>0.03</v>
      </c>
      <c r="JD17" s="8" t="e">
        <f t="shared" si="144"/>
        <v>#DIV/0!</v>
      </c>
      <c r="JE17" s="8">
        <f t="shared" si="145"/>
        <v>5.4900000000000004E-2</v>
      </c>
      <c r="JF17" s="8">
        <f t="shared" si="146"/>
        <v>4.1632352941176475E-2</v>
      </c>
      <c r="JG17" s="8" t="e">
        <f t="shared" si="147"/>
        <v>#DIV/0!</v>
      </c>
      <c r="JH17" s="8">
        <f t="shared" si="148"/>
        <v>0.88598639455782324</v>
      </c>
      <c r="JI17" s="8">
        <f t="shared" si="149"/>
        <v>4.5359999999999998E-2</v>
      </c>
      <c r="JJ17" s="8">
        <f t="shared" si="150"/>
        <v>155.83466666666666</v>
      </c>
      <c r="JK17" s="8">
        <f t="shared" si="151"/>
        <v>6.2964285714285709E-3</v>
      </c>
      <c r="JL17" s="8">
        <f t="shared" si="152"/>
        <v>1.55</v>
      </c>
      <c r="JM17" s="8">
        <f t="shared" si="153"/>
        <v>0.53960416666666666</v>
      </c>
      <c r="JN17" s="8" t="e">
        <f t="shared" si="154"/>
        <v>#DIV/0!</v>
      </c>
      <c r="JO17" s="8">
        <f t="shared" si="155"/>
        <v>5.8596875E-2</v>
      </c>
      <c r="JP17" s="9">
        <f t="shared" si="156"/>
        <v>0.2045507584597433</v>
      </c>
      <c r="JQ17" s="9">
        <f t="shared" si="157"/>
        <v>0.1363</v>
      </c>
      <c r="JR17" s="9">
        <f t="shared" si="158"/>
        <v>0.38117857142857142</v>
      </c>
      <c r="JS17" s="9">
        <f t="shared" si="159"/>
        <v>8.2133333333333336E-2</v>
      </c>
      <c r="JT17" s="9">
        <f t="shared" si="160"/>
        <v>0.29960000000000003</v>
      </c>
      <c r="JU17" s="9" t="e">
        <f t="shared" si="161"/>
        <v>#DIV/0!</v>
      </c>
      <c r="JV17" s="9">
        <f t="shared" si="162"/>
        <v>0.22796</v>
      </c>
      <c r="JW17" s="9">
        <f t="shared" si="163"/>
        <v>13.26</v>
      </c>
    </row>
    <row r="18" spans="1:283" s="11" customFormat="1" ht="18" customHeight="1" x14ac:dyDescent="0.15">
      <c r="A18" s="10">
        <v>903</v>
      </c>
      <c r="B18" s="5" t="s">
        <v>642</v>
      </c>
      <c r="C18" s="5" t="s">
        <v>643</v>
      </c>
      <c r="D18" s="55">
        <v>22620.85</v>
      </c>
      <c r="E18" s="56">
        <f>产品销售数量!D15</f>
        <v>1939</v>
      </c>
      <c r="F18" s="6">
        <f>应产率辅助表!C15</f>
        <v>122400</v>
      </c>
      <c r="G18" s="6">
        <f>应产率辅助表!C44</f>
        <v>1209.7</v>
      </c>
      <c r="H18" s="7">
        <f t="shared" si="1"/>
        <v>5.3477212394759707E-2</v>
      </c>
      <c r="I18" s="5">
        <f>产品销售数量!E15+产品销售数量!F15*1.36</f>
        <v>1062.04</v>
      </c>
      <c r="J18" s="5">
        <f t="shared" si="164"/>
        <v>8.6767973856209135</v>
      </c>
      <c r="K18" s="5">
        <f t="shared" si="2"/>
        <v>-5363.1919999999955</v>
      </c>
      <c r="L18" s="5">
        <f t="shared" si="3"/>
        <v>-53.005337928104531</v>
      </c>
      <c r="M18" s="6">
        <f>应产率辅助表!D15</f>
        <v>11544</v>
      </c>
      <c r="N18" s="6">
        <f>应产率辅助表!D44</f>
        <v>136.63</v>
      </c>
      <c r="O18" s="7">
        <f t="shared" si="4"/>
        <v>6.0400029176622457E-3</v>
      </c>
      <c r="P18" s="5">
        <f>+产品销售数量!H15</f>
        <v>123</v>
      </c>
      <c r="Q18" s="5">
        <f t="shared" si="5"/>
        <v>10.654885654885655</v>
      </c>
      <c r="R18" s="5">
        <f t="shared" si="6"/>
        <v>-430.95000000000073</v>
      </c>
      <c r="S18" s="5">
        <f t="shared" si="7"/>
        <v>-5.1005456081081162</v>
      </c>
      <c r="T18" s="6">
        <f>应产率辅助表!E15</f>
        <v>37300</v>
      </c>
      <c r="U18" s="6">
        <f>应产率辅助表!E44</f>
        <v>567.39</v>
      </c>
      <c r="V18" s="7">
        <f t="shared" si="8"/>
        <v>2.5082611838193526E-2</v>
      </c>
      <c r="W18" s="5">
        <f>+产品销售数量!V15+产品销售数量!CP15</f>
        <v>379</v>
      </c>
      <c r="X18" s="5">
        <f t="shared" si="9"/>
        <v>10.160857908847186</v>
      </c>
      <c r="Y18" s="5">
        <f t="shared" si="10"/>
        <v>524.19999999999709</v>
      </c>
      <c r="Z18" s="5">
        <f t="shared" si="11"/>
        <v>7.9738830563002239</v>
      </c>
      <c r="AA18" s="6">
        <f>应产率辅助表!F15</f>
        <v>50000</v>
      </c>
      <c r="AB18" s="6">
        <f>应产率辅助表!F44</f>
        <v>360</v>
      </c>
      <c r="AC18" s="7">
        <f t="shared" si="12"/>
        <v>1.591452133761552E-2</v>
      </c>
      <c r="AD18" s="5">
        <f>产品销售数量!J15*1.5+产品销售数量!K15*1.5+产品销售数量!L15*1.5+产品销售数量!O15*1.5+产品销售数量!P15*1.5+产品销售数量!S15*1.5+产品销售数量!T15*1.5+产品销售数量!CH15*1.35+产品销售数量!M15*1.5+产品销售数量!CK15*0.89*1.5+产品销售数量!BL15*1.35+产品销售数量!AU15*0.9+产品销售数量!AW15*0.9+产品销售数量!BB15*1.5+产品销售数量!CN15*1.35+产品销售数量!CO15*1.35+产品销售数量!CQ15*1.5+产品销售数量!CX15*1.5+产品销售数量!CY15*1.35+产品销售数量!CZ15*1.35</f>
        <v>4464.3</v>
      </c>
      <c r="AE18" s="5">
        <f t="shared" si="13"/>
        <v>89.286000000000001</v>
      </c>
      <c r="AF18" s="5">
        <f t="shared" si="14"/>
        <v>-4910.57</v>
      </c>
      <c r="AG18" s="5">
        <f t="shared" si="15"/>
        <v>-35.356103999999995</v>
      </c>
      <c r="AH18" s="6">
        <f t="shared" si="165"/>
        <v>5.8</v>
      </c>
      <c r="AI18" s="6">
        <f>应产率辅助表!G15</f>
        <v>145000</v>
      </c>
      <c r="AJ18" s="6">
        <f>应产率辅助表!G44</f>
        <v>664.12</v>
      </c>
      <c r="AK18" s="7">
        <f t="shared" si="17"/>
        <v>2.9358755307603384E-2</v>
      </c>
      <c r="AL18" s="5">
        <f>+产品销售数量!J15*1.13+产品销售数量!K15*1.13+产品销售数量!O15*1.13+产品销售数量!U15+产品销售数量!V15*2.6+产品销售数量!W15*2.6+产品销售数量!X15*1.6+产品销售数量!Y15+产品销售数量!AB15*1.74+产品销售数量!BC15*1.19+产品销售数量!BL15*0.98+产品销售数量!BM15*0.74+产品销售数量!BN15*4.495+产品销售数量!BQ15*2.29+产品销售数量!BV15*2.56+产品销售数量!CG15*1.74+产品销售数量!CJ15*0.8+产品销售数量!CK15*1.13+产品销售数量!CM15*1.19+产品销售数量!CO15*0.98+产品销售数量!CP15*2.6+产品销售数量!CQ15*1.13+产品销售数量!CR15*1.4+产品销售数量!CS15*1.4+产品销售数量!CT15*1.4+产品销售数量!CV15*1.13+产品销售数量!CW15*0.98+产品销售数量!CX15*0.378+产品销售数量!CY15*1.19+产品销售数量!DA15*0.87+产品销售数量!DB15*1.5+产品销售数量!DI15*0.595+产品销售数量!DK15*1.74+产品销售数量!DO15*1.11</f>
        <v>4310.03</v>
      </c>
      <c r="AM18" s="5">
        <f t="shared" si="18"/>
        <v>29.724344827586204</v>
      </c>
      <c r="AN18" s="5">
        <f t="shared" si="19"/>
        <v>-15483.598500000007</v>
      </c>
      <c r="AO18" s="5">
        <f t="shared" si="20"/>
        <v>-70.917016798758652</v>
      </c>
      <c r="AP18" s="6">
        <f>应产率辅助表!H15</f>
        <v>496</v>
      </c>
      <c r="AQ18" s="6">
        <f>应产率辅助表!H44</f>
        <v>7.42</v>
      </c>
      <c r="AR18" s="7">
        <f t="shared" si="21"/>
        <v>3.2801596756974207E-4</v>
      </c>
      <c r="AS18" s="5">
        <f>产品销售数量!I15*0.858+产品销售数量!Z15*0.686+产品销售数量!AA15*1.79+产品销售数量!CF15*1.79+产品销售数量!CL15*0.89</f>
        <v>181.98000000000002</v>
      </c>
      <c r="AT18" s="5">
        <f t="shared" si="22"/>
        <v>366.89516129032262</v>
      </c>
      <c r="AU18" s="5">
        <f t="shared" si="23"/>
        <v>295.61300000000006</v>
      </c>
      <c r="AV18" s="5">
        <f t="shared" si="24"/>
        <v>4.4222751209677424</v>
      </c>
      <c r="AW18" s="6">
        <f>应产率辅助表!I15</f>
        <v>796</v>
      </c>
      <c r="AX18" s="6">
        <f>应产率辅助表!I44</f>
        <v>11.95</v>
      </c>
      <c r="AY18" s="7">
        <f t="shared" si="25"/>
        <v>5.28273694401404E-4</v>
      </c>
      <c r="AZ18" s="5">
        <f>+产品销售数量!I15*0.857+产品销售数量!Z15*0.485+产品销售数量!AA15*1.88+产品销售数量!CF15*1.88+产品销售数量!CL15*0.89</f>
        <v>186.42</v>
      </c>
      <c r="BA18" s="5">
        <f t="shared" si="26"/>
        <v>234.19597989949747</v>
      </c>
      <c r="BB18" s="5">
        <f t="shared" si="27"/>
        <v>434.37199999999984</v>
      </c>
      <c r="BC18" s="5">
        <f t="shared" si="28"/>
        <v>6.5210369346733641</v>
      </c>
      <c r="BD18" s="6">
        <f>应产率辅助表!J15</f>
        <v>4218</v>
      </c>
      <c r="BE18" s="6">
        <f>应产率辅助表!J44</f>
        <v>77.400000000000006</v>
      </c>
      <c r="BF18" s="7">
        <f t="shared" si="167"/>
        <v>3.4216220875873367E-3</v>
      </c>
      <c r="BG18" s="5">
        <f>+产品销售数量!J15*2+产品销售数量!L15*0.93+产品销售数量!O15*2+产品销售数量!P15*0.93+产品销售数量!U15*1.93+产品销售数量!W15*2+产品销售数量!V15*3.79+产品销售数量!I15*2.678+产品销售数量!CK15*1.32+产品销售数量!CQ15*2</f>
        <v>3004.92</v>
      </c>
      <c r="BH18" s="5">
        <f t="shared" si="168"/>
        <v>712.40398293029875</v>
      </c>
      <c r="BI18" s="5">
        <f t="shared" si="169"/>
        <v>-11.11200000000008</v>
      </c>
      <c r="BJ18" s="5">
        <f t="shared" si="170"/>
        <v>-0.20390440967283222</v>
      </c>
      <c r="BK18" s="6">
        <f>应产率辅助表!K15</f>
        <v>1032</v>
      </c>
      <c r="BL18" s="6">
        <f>应产率辅助表!K44</f>
        <v>16.93</v>
      </c>
      <c r="BM18" s="7">
        <f t="shared" si="33"/>
        <v>7.4842457290508538E-4</v>
      </c>
      <c r="BN18" s="5">
        <f>产品销售数量!K15*1.125+产品销售数量!Y15*4.12+产品销售数量!X15*5.5+产品销售数量!AA15*13.25+产品销售数量!AB15*13.25+产品销售数量!BN15*6.87+产品销售数量!BV15+产品销售数量!CF15*13.25+产品销售数量!CG15*13.25+产品销售数量!CJ15*6.63+产品销售数量!CL15*6.63+产品销售数量!CR15*2.25+产品销售数量!CS15*2.25+产品销售数量!CT15*2.25+产品销售数量!CV15*0.75+产品销售数量!DA15*6.63+产品销售数量!DJ15*13.25+产品销售数量!DK15*13.25</f>
        <v>3082.665</v>
      </c>
      <c r="BO18" s="5">
        <f t="shared" si="0"/>
        <v>2987.078488372093</v>
      </c>
      <c r="BP18" s="5">
        <f t="shared" si="34"/>
        <v>1434.1320000000001</v>
      </c>
      <c r="BQ18" s="5">
        <f t="shared" si="35"/>
        <v>23.526991046511629</v>
      </c>
      <c r="BR18" s="6">
        <f>应产率辅助表!L15</f>
        <v>6250</v>
      </c>
      <c r="BS18" s="6">
        <f>应产率辅助表!L44</f>
        <v>38.700000000000003</v>
      </c>
      <c r="BT18" s="7">
        <f t="shared" si="171"/>
        <v>1.7108110437936684E-3</v>
      </c>
      <c r="BU18" s="5">
        <f>产品销售数量!O15+产品销售数量!P15+产品销售数量!CI15*1.5+产品销售数量!CK15*0.89+产品销售数量!M15*1.34</f>
        <v>667.58</v>
      </c>
      <c r="BV18" s="5">
        <f t="shared" si="172"/>
        <v>106.81280000000001</v>
      </c>
      <c r="BW18" s="5">
        <f t="shared" si="173"/>
        <v>492.55799999999999</v>
      </c>
      <c r="BX18" s="5">
        <f t="shared" si="174"/>
        <v>3.0499191360000002</v>
      </c>
      <c r="BY18" s="6">
        <f>应产率辅助表!M15</f>
        <v>39440</v>
      </c>
      <c r="BZ18" s="6">
        <f>应产率辅助表!M44</f>
        <v>380.65</v>
      </c>
      <c r="CA18" s="7">
        <f t="shared" si="40"/>
        <v>1.6827395964342632E-2</v>
      </c>
      <c r="CB18" s="5">
        <f>+产品销售数量!J15+产品销售数量!K15+产品销售数量!L15+产品销售数量!O15+产品销售数量!P15+产品销售数量!S15+产品销售数量!T15+产品销售数量!AU15*0.9+产品销售数量!AW15*0.9+产品销售数量!BL15*0.9+产品销售数量!CH15*0.9+产品销售数量!CK15*0.9+产品销售数量!CN15*0.9+产品销售数量!CO15*0.9+产品销售数量!CQ15+产品销售数量!CV15+产品销售数量!CW15*0.9+产品销售数量!DB15</f>
        <v>2638.3</v>
      </c>
      <c r="CC18" s="5">
        <f t="shared" si="41"/>
        <v>66.894016227180529</v>
      </c>
      <c r="CD18" s="5">
        <f t="shared" si="42"/>
        <v>530.24500000000262</v>
      </c>
      <c r="CE18" s="5">
        <f t="shared" si="43"/>
        <v>5.1175902446754806</v>
      </c>
      <c r="CF18" s="6">
        <f>应产率辅助表!N15</f>
        <v>0</v>
      </c>
      <c r="CG18" s="6">
        <f>应产率辅助表!N44</f>
        <v>0</v>
      </c>
      <c r="CH18" s="7">
        <f t="shared" si="44"/>
        <v>0</v>
      </c>
      <c r="CI18" s="5">
        <f>产品销售数量!P15+产品销售数量!Z15*1.4+产品销售数量!L15</f>
        <v>53</v>
      </c>
      <c r="CJ18" s="5" t="e">
        <f t="shared" si="45"/>
        <v>#DIV/0!</v>
      </c>
      <c r="CK18" s="5">
        <f t="shared" si="46"/>
        <v>39970.245000000003</v>
      </c>
      <c r="CL18" s="5" t="e">
        <f t="shared" si="47"/>
        <v>#DIV/0!</v>
      </c>
      <c r="CM18" s="6">
        <f>应产率辅助表!O15</f>
        <v>109475</v>
      </c>
      <c r="CN18" s="6">
        <f>应产率辅助表!O44</f>
        <v>1095.1099999999999</v>
      </c>
      <c r="CO18" s="7">
        <f t="shared" si="48"/>
        <v>4.8411531838989247E-2</v>
      </c>
      <c r="CP18" s="5">
        <f>+产品销售数量!AE15*1.04+产品销售数量!AD15*1.279+产品销售数量!BW15*1.04+产品销售数量!BX15*1.279</f>
        <v>1424.4179999999999</v>
      </c>
      <c r="CQ18" s="5">
        <f t="shared" si="49"/>
        <v>13.011354190454441</v>
      </c>
      <c r="CR18" s="5">
        <f t="shared" si="50"/>
        <v>-46515.724399999999</v>
      </c>
      <c r="CS18" s="5">
        <f t="shared" si="51"/>
        <v>-465.31020733212142</v>
      </c>
      <c r="CT18" s="6">
        <f>应产率辅助表!P15</f>
        <v>14217</v>
      </c>
      <c r="CU18" s="6">
        <f>应产率辅助表!P44</f>
        <v>153.61000000000001</v>
      </c>
      <c r="CV18" s="7">
        <f t="shared" si="52"/>
        <v>-2.8641525419936514E-2</v>
      </c>
      <c r="CW18" s="5">
        <f>+产品销售数量!AC15*1.08+产品销售数量!AH15*1+产品销售数量!AG15*1.45+产品销售数量!BG15*0.834+产品销售数量!CU15*0.834+产品销售数量!DM15*1.19</f>
        <v>222.64</v>
      </c>
      <c r="CX18" s="5">
        <f t="shared" si="53"/>
        <v>15.660125202222689</v>
      </c>
      <c r="CY18" s="5">
        <f t="shared" si="54"/>
        <v>-4376.3119999999999</v>
      </c>
      <c r="CZ18" s="5">
        <f t="shared" si="55"/>
        <v>-47.284609011746504</v>
      </c>
      <c r="DA18" s="6">
        <f>应产率辅助表!Q15</f>
        <v>0</v>
      </c>
      <c r="DB18" s="6">
        <f>应产率辅助表!Q44</f>
        <v>0</v>
      </c>
      <c r="DC18" s="7">
        <f t="shared" si="56"/>
        <v>0</v>
      </c>
      <c r="DD18" s="5">
        <f>产品销售数量!AJ15*2+产品销售数量!AK15*1.38+产品销售数量!AL15+产品销售数量!BT15*1.38+产品销售数量!BU15*2</f>
        <v>0</v>
      </c>
      <c r="DE18" s="5" t="e">
        <f t="shared" si="57"/>
        <v>#DIV/0!</v>
      </c>
      <c r="DF18" s="5">
        <f t="shared" si="58"/>
        <v>0</v>
      </c>
      <c r="DG18" s="5" t="e">
        <f t="shared" si="59"/>
        <v>#DIV/0!</v>
      </c>
      <c r="DH18" s="6">
        <f>应产率辅助表!R15</f>
        <v>3860</v>
      </c>
      <c r="DI18" s="6">
        <f>应产率辅助表!R44</f>
        <v>74.53</v>
      </c>
      <c r="DJ18" s="7">
        <f t="shared" si="60"/>
        <v>3.2947479869235687E-3</v>
      </c>
      <c r="DK18" s="5">
        <f>+产品销售数量!AM15*1.375+产品销售数量!AN15+产品销售数量!AO15*0.75+产品销售数量!BR15*0.57</f>
        <v>99.514999999999986</v>
      </c>
      <c r="DL18" s="5">
        <f t="shared" si="61"/>
        <v>25.781088082901551</v>
      </c>
      <c r="DM18" s="5">
        <f t="shared" si="62"/>
        <v>538.5630000000001</v>
      </c>
      <c r="DN18" s="5">
        <f t="shared" si="63"/>
        <v>10.39873067098446</v>
      </c>
      <c r="DO18" s="6">
        <f>应产率辅助表!S15+应产率辅助表!T15</f>
        <v>217</v>
      </c>
      <c r="DP18" s="6">
        <f>应产率辅助表!S44+应产率辅助表!T44</f>
        <v>19.22</v>
      </c>
      <c r="DQ18" s="7">
        <f t="shared" si="64"/>
        <v>8.4965861141380629E-4</v>
      </c>
      <c r="DR18" s="5">
        <f>+产品销售数量!Y15+产品销售数量!X15+产品销售数量!AB15*3+产品销售数量!CG15*3+产品销售数量!CJ15*2+产品销售数量!BN15*2+产品销售数量!CR15+产品销售数量!CS15+产品销售数量!CT15+产品销售数量!BM15+产品销售数量!AA15+产品销售数量!CF15</f>
        <v>502</v>
      </c>
      <c r="DS18" s="5">
        <f t="shared" si="65"/>
        <v>0.43227091633466136</v>
      </c>
      <c r="DT18" s="5">
        <f t="shared" si="66"/>
        <v>285</v>
      </c>
      <c r="DU18" s="5">
        <f t="shared" si="67"/>
        <v>25.24285714285714</v>
      </c>
      <c r="DV18" s="6">
        <f>应产率辅助表!U15</f>
        <v>1468</v>
      </c>
      <c r="DW18" s="6">
        <f>应产率辅助表!U44</f>
        <v>129.88</v>
      </c>
      <c r="DX18" s="7">
        <f t="shared" si="68"/>
        <v>5.7416056425819541E-3</v>
      </c>
      <c r="DY18" s="5">
        <f>+产品销售数量!E15+产品销售数量!F15*2+产品销售数量!G15+产品销售数量!CY15+产品销售数量!DE15+产品销售数量!DH15</f>
        <v>1860</v>
      </c>
      <c r="DZ18" s="5">
        <f t="shared" si="69"/>
        <v>0.78924731182795704</v>
      </c>
      <c r="EA18" s="5">
        <f t="shared" si="70"/>
        <v>392</v>
      </c>
      <c r="EB18" s="5">
        <f t="shared" si="71"/>
        <v>34.681852861035424</v>
      </c>
      <c r="EC18" s="6">
        <f>应产率辅助表!V15</f>
        <v>16</v>
      </c>
      <c r="ED18" s="6">
        <f>应产率辅助表!V44</f>
        <v>0.89</v>
      </c>
      <c r="EE18" s="7">
        <f t="shared" si="72"/>
        <v>3.9344233306882814E-5</v>
      </c>
      <c r="EF18" s="5">
        <f>+产品销售数量!AS15</f>
        <v>19</v>
      </c>
      <c r="EG18" s="5">
        <f t="shared" si="73"/>
        <v>0.84210526315789469</v>
      </c>
      <c r="EH18" s="5">
        <f t="shared" si="74"/>
        <v>3</v>
      </c>
      <c r="EI18" s="5">
        <f t="shared" si="75"/>
        <v>0.166875</v>
      </c>
      <c r="EJ18" s="6">
        <f>应产率辅助表!W15</f>
        <v>1909</v>
      </c>
      <c r="EK18" s="6">
        <f>应产率辅助表!W44</f>
        <v>59.13</v>
      </c>
      <c r="EL18" s="7">
        <f t="shared" si="76"/>
        <v>2.613960129703349E-3</v>
      </c>
      <c r="EM18" s="5">
        <f>+产品销售数量!AD15+产品销售数量!AE15+产品销售数量!AF15+产品销售数量!AG15+产品销售数量!AH15+产品销售数量!AI15+产品销售数量!AJ15+产品销售数量!AK15+产品销售数量!AL15+产品销售数量!AM15+产品销售数量!AN15+产品销售数量!AO15+产品销售数量!AQ15+产品销售数量!AP15+产品销售数量!AR15+产品销售数量!BR15+产品销售数量!AS15+产品销售数量!CA15+产品销售数量!BE15+产品销售数量!BF15</f>
        <v>1529</v>
      </c>
      <c r="EN18" s="5">
        <f t="shared" si="77"/>
        <v>1.2485284499672988</v>
      </c>
      <c r="EO18" s="5">
        <f t="shared" si="78"/>
        <v>-380</v>
      </c>
      <c r="EP18" s="5">
        <f t="shared" si="79"/>
        <v>-11.770246202200106</v>
      </c>
      <c r="EQ18" s="6">
        <f>应产率辅助表!X15</f>
        <v>0</v>
      </c>
      <c r="ER18" s="6">
        <f>应产率辅助表!X44</f>
        <v>0</v>
      </c>
      <c r="ES18" s="7">
        <f t="shared" si="80"/>
        <v>0</v>
      </c>
      <c r="ET18" s="5">
        <f>+产品销售数量!AQ15+产品销售数量!AP15+产品销售数量!AR15+产品销售数量!BR15+产品销售数量!AS15+产品销售数量!CA15+产品销售数量!BE15+产品销售数量!BF15</f>
        <v>334</v>
      </c>
      <c r="EU18" s="5">
        <f t="shared" si="81"/>
        <v>0</v>
      </c>
      <c r="EV18" s="5">
        <f t="shared" si="82"/>
        <v>334</v>
      </c>
      <c r="EW18" s="5" t="e">
        <f t="shared" si="83"/>
        <v>#DIV/0!</v>
      </c>
      <c r="EX18" s="6">
        <f>应产率辅助表!Y15</f>
        <v>116</v>
      </c>
      <c r="EY18" s="6">
        <f>应产率辅助表!Y44</f>
        <v>6.36</v>
      </c>
      <c r="EZ18" s="7">
        <f t="shared" si="84"/>
        <v>2.811565436312075E-4</v>
      </c>
      <c r="FA18" s="5">
        <f>产品销售数量!H15</f>
        <v>123</v>
      </c>
      <c r="FB18" s="5">
        <f t="shared" si="85"/>
        <v>0.94308943089430897</v>
      </c>
      <c r="FC18" s="5">
        <f t="shared" si="86"/>
        <v>7</v>
      </c>
      <c r="FD18" s="5">
        <f t="shared" si="87"/>
        <v>0.38379310344827589</v>
      </c>
      <c r="FE18" s="6">
        <f>应产率辅助表!Z15</f>
        <v>3380</v>
      </c>
      <c r="FF18" s="6">
        <f>应产率辅助表!Z44</f>
        <v>139.94999999999999</v>
      </c>
      <c r="FG18" s="7">
        <f t="shared" si="88"/>
        <v>6.1867701699980324E-3</v>
      </c>
      <c r="FH18" s="5">
        <f>+产品销售数量!J15+产品销售数量!K15+产品销售数量!L15+产品销售数量!M15+产品销售数量!O15+产品销售数量!P15+产品销售数量!S15+产品销售数量!T15+产品销售数量!BQ15+产品销售数量!BS15+产品销售数量!CC15+产品销售数量!CH15+产品销售数量!CI15+产品销售数量!CJ15+产品销售数量!CK15+产品销售数量!CL15+产品销售数量!BL15+产品销售数量!AU15++产品销售数量!AW15+产品销售数量!BQ15+产品销售数量!CN15+产品销售数量!CO15+产品销售数量!CQ15+产品销售数量!CX15+产品销售数量!CY15+产品销售数量!CM15</f>
        <v>3302</v>
      </c>
      <c r="FI18" s="5">
        <f t="shared" si="89"/>
        <v>1.0236220472440944</v>
      </c>
      <c r="FJ18" s="5">
        <f t="shared" si="90"/>
        <v>-78</v>
      </c>
      <c r="FK18" s="5">
        <f t="shared" si="91"/>
        <v>-3.2296153846153843</v>
      </c>
      <c r="FL18" s="6">
        <f>应产率辅助表!AA15</f>
        <v>0</v>
      </c>
      <c r="FM18" s="6">
        <f>应产率辅助表!AA44</f>
        <v>0</v>
      </c>
      <c r="FN18" s="7">
        <f t="shared" si="92"/>
        <v>0</v>
      </c>
      <c r="FO18" s="5">
        <f>+产品销售数量!R15+产品销售数量!CE15</f>
        <v>0</v>
      </c>
      <c r="FP18" s="5" t="e">
        <f t="shared" si="93"/>
        <v>#DIV/0!</v>
      </c>
      <c r="FQ18" s="5">
        <f t="shared" si="94"/>
        <v>0</v>
      </c>
      <c r="FR18" s="5" t="e">
        <f t="shared" si="95"/>
        <v>#DIV/0!</v>
      </c>
      <c r="FS18" s="6">
        <f>应产率辅助表!AB15</f>
        <v>145</v>
      </c>
      <c r="FT18" s="5">
        <f t="shared" si="96"/>
        <v>7250</v>
      </c>
      <c r="FU18" s="6">
        <f>应产率辅助表!AB44</f>
        <v>149.03</v>
      </c>
      <c r="FV18" s="7">
        <f t="shared" si="97"/>
        <v>6.5881697637356689E-3</v>
      </c>
      <c r="FW18" s="5">
        <f t="shared" si="98"/>
        <v>3.7390407426508507</v>
      </c>
      <c r="FX18" s="6">
        <f>应产率辅助表!AC15</f>
        <v>659</v>
      </c>
      <c r="FY18" s="6">
        <f>应产率辅助表!AC44</f>
        <v>29.89</v>
      </c>
      <c r="FZ18" s="7">
        <f t="shared" si="99"/>
        <v>1.3213473410592441E-3</v>
      </c>
      <c r="GA18" s="5">
        <f t="shared" si="100"/>
        <v>0.33986591026302215</v>
      </c>
      <c r="GB18" s="6">
        <f>应产率辅助表!AD15</f>
        <v>14</v>
      </c>
      <c r="GC18" s="6">
        <f>应产率辅助表!AD44</f>
        <v>2168.7600000000002</v>
      </c>
      <c r="GD18" s="7">
        <f t="shared" si="101"/>
        <v>9.5874381378241766E-2</v>
      </c>
      <c r="GE18" s="6">
        <f>应产率辅助表!AE15</f>
        <v>2000</v>
      </c>
      <c r="GF18" s="6">
        <f>应产率辅助表!AE44</f>
        <v>12.57</v>
      </c>
      <c r="GG18" s="7">
        <f t="shared" si="102"/>
        <v>5.5568203670507523E-4</v>
      </c>
      <c r="GH18" s="6">
        <f>应产率辅助表!AF15</f>
        <v>56</v>
      </c>
      <c r="GI18" s="6">
        <f>应产率辅助表!AF44</f>
        <v>86.8</v>
      </c>
      <c r="GJ18" s="7">
        <f t="shared" si="103"/>
        <v>3.8371679225139639E-3</v>
      </c>
      <c r="GK18" s="6">
        <f>应产率辅助表!AG15</f>
        <v>1114</v>
      </c>
      <c r="GL18" s="6">
        <f>应产率辅助表!AG44</f>
        <v>233.1</v>
      </c>
      <c r="GM18" s="7">
        <f t="shared" si="104"/>
        <v>1.0304652566106048E-2</v>
      </c>
      <c r="GN18" s="6"/>
      <c r="GO18" s="6">
        <f>应产率辅助表!AH15</f>
        <v>193</v>
      </c>
      <c r="GP18" s="6">
        <f>应产率辅助表!AH44</f>
        <v>11.03</v>
      </c>
      <c r="GQ18" s="7">
        <f t="shared" si="105"/>
        <v>4.8760325098305327E-4</v>
      </c>
      <c r="GR18" s="6">
        <f>应产率辅助表!AI15</f>
        <v>798</v>
      </c>
      <c r="GS18" s="6">
        <f>应产率辅助表!AI44</f>
        <v>37.64</v>
      </c>
      <c r="GT18" s="7">
        <f t="shared" si="106"/>
        <v>1.6639516198551337E-3</v>
      </c>
      <c r="GU18" s="72">
        <f>应产率辅助表!AJ15</f>
        <v>510</v>
      </c>
      <c r="GV18" s="72">
        <f>应产率辅助表!AJ44</f>
        <v>105.95</v>
      </c>
      <c r="GW18" s="7">
        <f t="shared" si="107"/>
        <v>4.6837320436676783E-3</v>
      </c>
      <c r="GX18" s="72">
        <f>应产率辅助表!AK15</f>
        <v>84</v>
      </c>
      <c r="GY18" s="72">
        <f>应产率辅助表!AK44</f>
        <v>11.46</v>
      </c>
      <c r="GZ18" s="7">
        <f t="shared" si="108"/>
        <v>5.0661226258076077E-4</v>
      </c>
      <c r="HA18" s="72">
        <f>应产率辅助表!AL15</f>
        <v>63</v>
      </c>
      <c r="HB18" s="72">
        <f>应产率辅助表!AL44</f>
        <v>23.81</v>
      </c>
      <c r="HC18" s="7">
        <f t="shared" si="109"/>
        <v>1.0525687584684042E-3</v>
      </c>
      <c r="HD18" s="72">
        <f>应产率辅助表!AM15</f>
        <v>122</v>
      </c>
      <c r="HE18" s="72">
        <f>应产率辅助表!AM44</f>
        <v>10.25</v>
      </c>
      <c r="HF18" s="7">
        <f t="shared" si="110"/>
        <v>4.5312178808488632E-4</v>
      </c>
      <c r="HG18" s="72">
        <f>应产率辅助表!AN15</f>
        <v>75</v>
      </c>
      <c r="HH18" s="72">
        <f>应产率辅助表!AN44</f>
        <v>24.3</v>
      </c>
      <c r="HI18" s="7">
        <f t="shared" si="111"/>
        <v>1.0742301902890476E-3</v>
      </c>
      <c r="HJ18" s="72">
        <f>应产率辅助表!AO15</f>
        <v>61</v>
      </c>
      <c r="HK18" s="72">
        <f>应产率辅助表!AO44</f>
        <v>21.99</v>
      </c>
      <c r="HL18" s="7">
        <f t="shared" si="112"/>
        <v>9.7211201170601454E-4</v>
      </c>
      <c r="HM18" s="72">
        <f>应产率辅助表!AP15</f>
        <v>279</v>
      </c>
      <c r="HN18" s="72">
        <f>应产率辅助表!AP44</f>
        <v>63.6</v>
      </c>
      <c r="HO18" s="7">
        <f t="shared" si="113"/>
        <v>2.8115654363120753E-3</v>
      </c>
      <c r="HP18" s="6">
        <f>产品销售数量!DP15</f>
        <v>22</v>
      </c>
      <c r="HQ18" s="6">
        <v>78</v>
      </c>
      <c r="HR18" s="5">
        <f t="shared" si="115"/>
        <v>3.4481462898166958E-3</v>
      </c>
      <c r="HS18" s="6">
        <v>0</v>
      </c>
      <c r="HT18" s="6">
        <v>0</v>
      </c>
      <c r="HU18" s="5">
        <f t="shared" si="116"/>
        <v>0</v>
      </c>
      <c r="HV18" s="6">
        <v>0</v>
      </c>
      <c r="HW18" s="6">
        <v>0</v>
      </c>
      <c r="HX18" s="5">
        <f t="shared" si="117"/>
        <v>0</v>
      </c>
      <c r="HY18" s="5"/>
      <c r="HZ18" s="5"/>
      <c r="IA18" s="5">
        <f t="shared" si="166"/>
        <v>0</v>
      </c>
      <c r="IB18" s="5">
        <f t="shared" si="118"/>
        <v>22</v>
      </c>
      <c r="IC18" s="5">
        <f t="shared" si="118"/>
        <v>78</v>
      </c>
      <c r="ID18" s="5">
        <f t="shared" si="119"/>
        <v>3.4481462898166958E-3</v>
      </c>
      <c r="IE18" s="7">
        <f t="shared" si="120"/>
        <v>22</v>
      </c>
      <c r="IF18" s="7">
        <f t="shared" si="120"/>
        <v>78</v>
      </c>
      <c r="IG18" s="5">
        <f t="shared" si="121"/>
        <v>3.4481462898166958E-3</v>
      </c>
      <c r="IH18" s="5">
        <f t="shared" si="122"/>
        <v>0.17189849187806827</v>
      </c>
      <c r="II18" s="5">
        <f t="shared" si="123"/>
        <v>3.32847793075857E-2</v>
      </c>
      <c r="IJ18" s="8">
        <f t="shared" si="124"/>
        <v>9.8831699346405236E-3</v>
      </c>
      <c r="IK18" s="8">
        <f t="shared" si="125"/>
        <v>1.1835585585585584E-2</v>
      </c>
      <c r="IL18" s="8">
        <f t="shared" si="126"/>
        <v>1.5211528150134048E-2</v>
      </c>
      <c r="IM18" s="8">
        <f t="shared" si="127"/>
        <v>7.1999999999999998E-3</v>
      </c>
      <c r="IN18" s="8">
        <f t="shared" si="128"/>
        <v>4.5801379310344828E-3</v>
      </c>
      <c r="IO18" s="8">
        <f t="shared" si="129"/>
        <v>1.4959677419354838E-2</v>
      </c>
      <c r="IP18" s="8">
        <f t="shared" si="130"/>
        <v>1.5012562814070351E-2</v>
      </c>
      <c r="IQ18" s="8">
        <f t="shared" si="131"/>
        <v>1.8349928876244669E-2</v>
      </c>
      <c r="IR18" s="8">
        <f t="shared" si="132"/>
        <v>1.6405038759689922E-2</v>
      </c>
      <c r="IS18" s="8">
        <f t="shared" si="133"/>
        <v>6.1920000000000005E-3</v>
      </c>
      <c r="IT18" s="8">
        <f t="shared" si="134"/>
        <v>9.6513691683569967E-3</v>
      </c>
      <c r="IU18" s="8" t="e">
        <f t="shared" si="135"/>
        <v>#DIV/0!</v>
      </c>
      <c r="IV18" s="8">
        <f t="shared" si="136"/>
        <v>1.0003288422014157E-2</v>
      </c>
      <c r="IW18" s="8">
        <f t="shared" si="137"/>
        <v>1.0804670464936345E-2</v>
      </c>
      <c r="IX18" s="8" t="e">
        <f t="shared" si="138"/>
        <v>#DIV/0!</v>
      </c>
      <c r="IY18" s="8">
        <f t="shared" si="139"/>
        <v>1.9308290155440416E-2</v>
      </c>
      <c r="IZ18" s="8">
        <f t="shared" si="140"/>
        <v>8.8571428571428565E-2</v>
      </c>
      <c r="JA18" s="8">
        <f t="shared" si="141"/>
        <v>8.8474114441416896E-2</v>
      </c>
      <c r="JB18" s="8">
        <f t="shared" si="142"/>
        <v>5.5625000000000001E-2</v>
      </c>
      <c r="JC18" s="8">
        <f t="shared" si="143"/>
        <v>3.097433211105291E-2</v>
      </c>
      <c r="JD18" s="8" t="e">
        <f t="shared" si="144"/>
        <v>#DIV/0!</v>
      </c>
      <c r="JE18" s="8">
        <f t="shared" si="145"/>
        <v>5.4827586206896553E-2</v>
      </c>
      <c r="JF18" s="8">
        <f t="shared" si="146"/>
        <v>4.1405325443786979E-2</v>
      </c>
      <c r="JG18" s="8" t="e">
        <f t="shared" si="147"/>
        <v>#DIV/0!</v>
      </c>
      <c r="JH18" s="8">
        <f t="shared" si="148"/>
        <v>1.0277931034482759</v>
      </c>
      <c r="JI18" s="8">
        <f t="shared" si="149"/>
        <v>4.5356600910470411E-2</v>
      </c>
      <c r="JJ18" s="8">
        <f t="shared" si="150"/>
        <v>154.91142857142859</v>
      </c>
      <c r="JK18" s="8">
        <f t="shared" si="151"/>
        <v>6.2849999999999998E-3</v>
      </c>
      <c r="JL18" s="8">
        <f t="shared" si="152"/>
        <v>1.55</v>
      </c>
      <c r="JM18" s="8">
        <f t="shared" si="153"/>
        <v>0.20924596050269301</v>
      </c>
      <c r="JN18" s="8">
        <f t="shared" si="154"/>
        <v>5.715025906735751E-2</v>
      </c>
      <c r="JO18" s="8">
        <f t="shared" si="155"/>
        <v>4.7167919799498748E-2</v>
      </c>
      <c r="JP18" s="9">
        <f t="shared" si="156"/>
        <v>0.2077450980392157</v>
      </c>
      <c r="JQ18" s="9">
        <f t="shared" si="157"/>
        <v>0.13642857142857143</v>
      </c>
      <c r="JR18" s="9">
        <f t="shared" si="158"/>
        <v>0.3779365079365079</v>
      </c>
      <c r="JS18" s="9">
        <f t="shared" si="159"/>
        <v>8.4016393442622947E-2</v>
      </c>
      <c r="JT18" s="9">
        <f t="shared" si="160"/>
        <v>0.32400000000000001</v>
      </c>
      <c r="JU18" s="9">
        <f t="shared" si="161"/>
        <v>0.36049180327868852</v>
      </c>
      <c r="JV18" s="9">
        <f t="shared" si="162"/>
        <v>0.22795698924731184</v>
      </c>
      <c r="JW18" s="9">
        <f t="shared" si="163"/>
        <v>3.5454545454545454</v>
      </c>
    </row>
    <row r="19" spans="1:283" s="11" customFormat="1" ht="18" hidden="1" customHeight="1" x14ac:dyDescent="0.15">
      <c r="A19" s="10"/>
      <c r="B19" s="5"/>
      <c r="C19" s="5"/>
      <c r="D19" s="55"/>
      <c r="E19" s="56">
        <f>产品销售数量!D16</f>
        <v>0</v>
      </c>
      <c r="F19" s="6">
        <f>应产率辅助表!C16</f>
        <v>2439806</v>
      </c>
      <c r="G19" s="6">
        <f>应产率辅助表!C45</f>
        <v>24118.82</v>
      </c>
      <c r="H19" s="7" t="e">
        <f t="shared" si="1"/>
        <v>#DIV/0!</v>
      </c>
      <c r="I19" s="5">
        <f>产品销售数量!E16+产品销售数量!F16*1.36</f>
        <v>0</v>
      </c>
      <c r="J19" s="5">
        <f t="shared" si="164"/>
        <v>0</v>
      </c>
      <c r="K19" s="5">
        <f t="shared" si="2"/>
        <v>-2439806</v>
      </c>
      <c r="L19" s="5">
        <f t="shared" si="3"/>
        <v>-24118.82</v>
      </c>
      <c r="M19" s="6">
        <f>应产率辅助表!D16</f>
        <v>221870</v>
      </c>
      <c r="N19" s="6">
        <f>应产率辅助表!D45</f>
        <v>2625.49</v>
      </c>
      <c r="O19" s="7" t="e">
        <f t="shared" si="4"/>
        <v>#DIV/0!</v>
      </c>
      <c r="P19" s="5">
        <f>+产品销售数量!H16</f>
        <v>0</v>
      </c>
      <c r="Q19" s="5">
        <f t="shared" si="5"/>
        <v>0</v>
      </c>
      <c r="R19" s="5">
        <f t="shared" si="6"/>
        <v>-221870</v>
      </c>
      <c r="S19" s="5">
        <f t="shared" si="7"/>
        <v>-2625.49</v>
      </c>
      <c r="T19" s="6">
        <f>应产率辅助表!E16</f>
        <v>0</v>
      </c>
      <c r="U19" s="6">
        <f>应产率辅助表!E45</f>
        <v>0</v>
      </c>
      <c r="V19" s="7" t="e">
        <f t="shared" si="8"/>
        <v>#DIV/0!</v>
      </c>
      <c r="W19" s="5">
        <f>+产品销售数量!V16+产品销售数量!CP16</f>
        <v>0</v>
      </c>
      <c r="X19" s="5" t="e">
        <f t="shared" si="9"/>
        <v>#DIV/0!</v>
      </c>
      <c r="Y19" s="5">
        <f t="shared" si="10"/>
        <v>0</v>
      </c>
      <c r="Z19" s="5" t="e">
        <f t="shared" si="11"/>
        <v>#DIV/0!</v>
      </c>
      <c r="AA19" s="6">
        <f>应产率辅助表!F16</f>
        <v>0</v>
      </c>
      <c r="AB19" s="6">
        <f>应产率辅助表!F45</f>
        <v>0</v>
      </c>
      <c r="AC19" s="7" t="e">
        <f t="shared" si="12"/>
        <v>#DIV/0!</v>
      </c>
      <c r="AD19" s="5">
        <f>产品销售数量!J16*1.5+产品销售数量!K16*1.5+产品销售数量!L16*1.5+产品销售数量!O16*1.5+产品销售数量!P16*1.5+产品销售数量!S16*1.5+产品销售数量!T16*1.5+产品销售数量!CH16*1.35+产品销售数量!M16*1.5+产品销售数量!CK16*0.89*1.5+产品销售数量!BL16*1.35+产品销售数量!AU16*0.9+产品销售数量!AW16*0.9+产品销售数量!BB16*1.5+产品销售数量!CN16*1.35+产品销售数量!CO16*1.35+产品销售数量!CQ16*1.5+产品销售数量!CX16*1.5+产品销售数量!CY16*1.35+产品销售数量!CZ16*1.35</f>
        <v>0</v>
      </c>
      <c r="AE19" s="5" t="e">
        <f t="shared" si="13"/>
        <v>#DIV/0!</v>
      </c>
      <c r="AF19" s="5">
        <f t="shared" si="14"/>
        <v>0</v>
      </c>
      <c r="AG19" s="5" t="e">
        <f t="shared" si="15"/>
        <v>#DIV/0!</v>
      </c>
      <c r="AH19" s="6">
        <f t="shared" si="165"/>
        <v>0</v>
      </c>
      <c r="AI19" s="6">
        <f>应产率辅助表!G16</f>
        <v>0</v>
      </c>
      <c r="AJ19" s="6">
        <f>应产率辅助表!G45</f>
        <v>0</v>
      </c>
      <c r="AK19" s="7" t="e">
        <f t="shared" si="17"/>
        <v>#DIV/0!</v>
      </c>
      <c r="AL19" s="5" t="e">
        <f>+产品销售数量!J16*1.13+产品销售数量!K16*1.13+产品销售数量!O16*1.13+产品销售数量!U16+产品销售数量!V16*2.6+产品销售数量!W16*2.6+产品销售数量!X16*1.6+产品销售数量!Y16+产品销售数量!AB16*1.74+产品销售数量!BC16*1.19+产品销售数量!BL16*0.98+产品销售数量!BM16*0.74+产品销售数量!BN16*4.495+产品销售数量!BQ16*2.29+产品销售数量!BV16*2.56+产品销售数量!CG16*1.74+产品销售数量!CJ16*0.8+产品销售数量!CK16*1.13+产品销售数量!CM16*1.19+产品销售数量!CO16*0.98+产品销售数量!CP16*2.62+产品销售数量!CQ16*1.13+产品销售数量!CR16*1.4+产品销售数量!CS16*1.4+产品销售数量!CT16*1.4+产品销售数量!#REF!*5.29+产品销售数量!CV16*1.13+产品销售数量!CW16*0.98+产品销售数量!CX16*0.378+产品销售数量!CY16*1.19+产品销售数量!DA16*0.87+产品销售数量!DB16*1.5+产品销售数量!DI16*0.595+产品销售数量!DK16*1.74</f>
        <v>#REF!</v>
      </c>
      <c r="AM19" s="5" t="e">
        <f t="shared" si="18"/>
        <v>#REF!</v>
      </c>
      <c r="AN19" s="5" t="e">
        <f t="shared" si="19"/>
        <v>#REF!</v>
      </c>
      <c r="AO19" s="5" t="e">
        <f t="shared" si="20"/>
        <v>#DIV/0!</v>
      </c>
      <c r="AP19" s="6">
        <f>应产率辅助表!H16</f>
        <v>0</v>
      </c>
      <c r="AQ19" s="6">
        <f>应产率辅助表!H45</f>
        <v>0</v>
      </c>
      <c r="AR19" s="7" t="e">
        <f t="shared" si="21"/>
        <v>#DIV/0!</v>
      </c>
      <c r="AS19" s="5">
        <f>产品销售数量!I16*0.858+产品销售数量!Z16*0.686+产品销售数量!AA16*1.79+产品销售数量!CF16*1.79+产品销售数量!CL16*0.89</f>
        <v>0</v>
      </c>
      <c r="AT19" s="5" t="e">
        <f t="shared" si="22"/>
        <v>#DIV/0!</v>
      </c>
      <c r="AU19" s="5">
        <f t="shared" si="23"/>
        <v>0</v>
      </c>
      <c r="AV19" s="5" t="e">
        <f t="shared" si="24"/>
        <v>#DIV/0!</v>
      </c>
      <c r="AW19" s="6">
        <f>应产率辅助表!I16</f>
        <v>0</v>
      </c>
      <c r="AX19" s="6">
        <f>应产率辅助表!I45</f>
        <v>0</v>
      </c>
      <c r="AY19" s="7" t="e">
        <f t="shared" si="25"/>
        <v>#DIV/0!</v>
      </c>
      <c r="AZ19" s="5">
        <f>+产品销售数量!I16*0.857+产品销售数量!Z16*0.485+产品销售数量!AA16*1.88+产品销售数量!CF16*1.88+产品销售数量!CL16*0.89</f>
        <v>0</v>
      </c>
      <c r="BA19" s="5" t="e">
        <f t="shared" si="26"/>
        <v>#DIV/0!</v>
      </c>
      <c r="BB19" s="5">
        <f t="shared" si="27"/>
        <v>0</v>
      </c>
      <c r="BC19" s="5" t="e">
        <f t="shared" si="28"/>
        <v>#DIV/0!</v>
      </c>
      <c r="BD19" s="6">
        <f>应产率辅助表!J16</f>
        <v>0</v>
      </c>
      <c r="BE19" s="6">
        <f>应产率辅助表!J45</f>
        <v>0</v>
      </c>
      <c r="BF19" s="7" t="e">
        <f t="shared" si="167"/>
        <v>#DIV/0!</v>
      </c>
      <c r="BG19" s="5">
        <f>+产品销售数量!J16*2+产品销售数量!L16*0.93+产品销售数量!O16*2+产品销售数量!P16*0.93+产品销售数量!U16*1.93+产品销售数量!W16*2+产品销售数量!V16*3.79+产品销售数量!I16*2.678+产品销售数量!CK16*1.32+产品销售数量!CQ16*2</f>
        <v>0</v>
      </c>
      <c r="BH19" s="5" t="e">
        <f t="shared" si="168"/>
        <v>#DIV/0!</v>
      </c>
      <c r="BI19" s="5">
        <f t="shared" si="169"/>
        <v>0</v>
      </c>
      <c r="BJ19" s="5" t="e">
        <f t="shared" si="170"/>
        <v>#DIV/0!</v>
      </c>
      <c r="BK19" s="6">
        <f>应产率辅助表!K16</f>
        <v>0</v>
      </c>
      <c r="BL19" s="6">
        <f>应产率辅助表!K45</f>
        <v>0</v>
      </c>
      <c r="BM19" s="7" t="e">
        <f t="shared" si="33"/>
        <v>#DIV/0!</v>
      </c>
      <c r="BN19" s="5" t="e">
        <f>产品销售数量!K16*1.125+产品销售数量!Y16*4.12+产品销售数量!X16*5.5+产品销售数量!AA16*13.25+产品销售数量!AB16*13.25+产品销售数量!BN16*6.87+产品销售数量!BV16+产品销售数量!CF16*13.25+产品销售数量!CG16*13.25+产品销售数量!CJ16*6.63+产品销售数量!CL16*6.63+产品销售数量!CR16*2.25+产品销售数量!CS16*2.25+产品销售数量!CT16*2.25+产品销售数量!#REF!*6.87++产品销售数量!CV16*0.75+产品销售数量!DA16*6.63+产品销售数量!DJ16*13.25+产品销售数量!DK16*13.25</f>
        <v>#REF!</v>
      </c>
      <c r="BO19" s="5" t="e">
        <f t="shared" si="0"/>
        <v>#REF!</v>
      </c>
      <c r="BP19" s="5" t="e">
        <f t="shared" si="34"/>
        <v>#REF!</v>
      </c>
      <c r="BQ19" s="5" t="e">
        <f t="shared" si="35"/>
        <v>#DIV/0!</v>
      </c>
      <c r="BR19" s="6">
        <f>应产率辅助表!L16</f>
        <v>0</v>
      </c>
      <c r="BS19" s="6">
        <f>应产率辅助表!L45</f>
        <v>0</v>
      </c>
      <c r="BT19" s="7" t="e">
        <f t="shared" si="171"/>
        <v>#DIV/0!</v>
      </c>
      <c r="BU19" s="5">
        <f>产品销售数量!O16+产品销售数量!P16+产品销售数量!CI16*1.5+产品销售数量!CK16*0.89+产品销售数量!M16*1.34</f>
        <v>0</v>
      </c>
      <c r="BV19" s="5" t="e">
        <f t="shared" si="172"/>
        <v>#DIV/0!</v>
      </c>
      <c r="BW19" s="5">
        <f t="shared" si="173"/>
        <v>0</v>
      </c>
      <c r="BX19" s="5" t="e">
        <f t="shared" si="174"/>
        <v>#DIV/0!</v>
      </c>
      <c r="BY19" s="6">
        <f>应产率辅助表!M16</f>
        <v>0</v>
      </c>
      <c r="BZ19" s="6">
        <f>应产率辅助表!M45</f>
        <v>0</v>
      </c>
      <c r="CA19" s="7" t="e">
        <f t="shared" si="40"/>
        <v>#DIV/0!</v>
      </c>
      <c r="CB19" s="5">
        <f>+产品销售数量!J16+产品销售数量!K16+产品销售数量!L16+产品销售数量!O16+产品销售数量!P16+产品销售数量!S16+产品销售数量!T16+产品销售数量!AU16*0.9+产品销售数量!AW16*0.9+产品销售数量!BL16*0.9+产品销售数量!CH16*0.9+产品销售数量!CK16*0.9+产品销售数量!CN16*0.9+产品销售数量!CO16*0.9+产品销售数量!CQ16+产品销售数量!CV16+产品销售数量!CW16*0.9+产品销售数量!DB16</f>
        <v>0</v>
      </c>
      <c r="CC19" s="5" t="e">
        <f t="shared" si="41"/>
        <v>#DIV/0!</v>
      </c>
      <c r="CD19" s="5">
        <f t="shared" si="42"/>
        <v>0</v>
      </c>
      <c r="CE19" s="5" t="e">
        <f t="shared" si="43"/>
        <v>#DIV/0!</v>
      </c>
      <c r="CF19" s="6">
        <f>应产率辅助表!N16</f>
        <v>0</v>
      </c>
      <c r="CG19" s="6">
        <f>应产率辅助表!N45</f>
        <v>0</v>
      </c>
      <c r="CH19" s="7" t="e">
        <f t="shared" si="44"/>
        <v>#DIV/0!</v>
      </c>
      <c r="CI19" s="5">
        <f>产品销售数量!P16+产品销售数量!Z16*1.4+产品销售数量!L16</f>
        <v>0</v>
      </c>
      <c r="CJ19" s="5" t="e">
        <f t="shared" si="45"/>
        <v>#DIV/0!</v>
      </c>
      <c r="CK19" s="5">
        <f t="shared" si="46"/>
        <v>0</v>
      </c>
      <c r="CL19" s="5" t="e">
        <f t="shared" si="47"/>
        <v>#DIV/0!</v>
      </c>
      <c r="CM19" s="6">
        <f>应产率辅助表!O16</f>
        <v>0</v>
      </c>
      <c r="CN19" s="6">
        <f>应产率辅助表!O45</f>
        <v>0</v>
      </c>
      <c r="CO19" s="7" t="e">
        <f t="shared" si="48"/>
        <v>#DIV/0!</v>
      </c>
      <c r="CP19" s="5">
        <f>+产品销售数量!AE16*1.04+产品销售数量!AD16*1.279+产品销售数量!BW16*1.04+产品销售数量!BX16*1.279</f>
        <v>0</v>
      </c>
      <c r="CQ19" s="5" t="e">
        <f t="shared" si="49"/>
        <v>#DIV/0!</v>
      </c>
      <c r="CR19" s="5">
        <f t="shared" si="50"/>
        <v>0</v>
      </c>
      <c r="CS19" s="5" t="e">
        <f t="shared" si="51"/>
        <v>#DIV/0!</v>
      </c>
      <c r="CT19" s="6">
        <f>应产率辅助表!P16</f>
        <v>0</v>
      </c>
      <c r="CU19" s="6">
        <f>应产率辅助表!P45</f>
        <v>0</v>
      </c>
      <c r="CV19" s="7">
        <f t="shared" si="52"/>
        <v>0</v>
      </c>
      <c r="CW19" s="5">
        <f>+产品销售数量!AC16*1.08+产品销售数量!AH16*1+产品销售数量!AG16*1.45+产品销售数量!BG16*0.834+产品销售数量!CU16*0.834+产品销售数量!DM16*1.19</f>
        <v>0</v>
      </c>
      <c r="CX19" s="5" t="e">
        <f t="shared" si="53"/>
        <v>#DIV/0!</v>
      </c>
      <c r="CY19" s="5">
        <f t="shared" si="54"/>
        <v>0</v>
      </c>
      <c r="CZ19" s="5" t="e">
        <f t="shared" si="55"/>
        <v>#DIV/0!</v>
      </c>
      <c r="DA19" s="6">
        <f>应产率辅助表!Q16</f>
        <v>0</v>
      </c>
      <c r="DB19" s="6">
        <f>应产率辅助表!Q45</f>
        <v>0</v>
      </c>
      <c r="DC19" s="7" t="e">
        <f t="shared" si="56"/>
        <v>#DIV/0!</v>
      </c>
      <c r="DD19" s="5">
        <f>产品销售数量!AJ16*2+产品销售数量!AK16*1.38+产品销售数量!AL16+产品销售数量!BT16*1.38+产品销售数量!BU16*2</f>
        <v>0</v>
      </c>
      <c r="DE19" s="5" t="e">
        <f t="shared" si="57"/>
        <v>#DIV/0!</v>
      </c>
      <c r="DF19" s="5">
        <f t="shared" si="58"/>
        <v>0</v>
      </c>
      <c r="DG19" s="5" t="e">
        <f t="shared" si="59"/>
        <v>#DIV/0!</v>
      </c>
      <c r="DH19" s="6">
        <f>应产率辅助表!R16</f>
        <v>0</v>
      </c>
      <c r="DI19" s="6">
        <f>应产率辅助表!R45</f>
        <v>0</v>
      </c>
      <c r="DJ19" s="7" t="e">
        <f t="shared" si="60"/>
        <v>#DIV/0!</v>
      </c>
      <c r="DK19" s="5">
        <f>+产品销售数量!AM16*1.375+产品销售数量!AN16+产品销售数量!AO16*0.75+产品销售数量!BR16*0.57</f>
        <v>0</v>
      </c>
      <c r="DL19" s="5" t="e">
        <f t="shared" si="61"/>
        <v>#DIV/0!</v>
      </c>
      <c r="DM19" s="5">
        <f t="shared" si="62"/>
        <v>0</v>
      </c>
      <c r="DN19" s="5" t="e">
        <f t="shared" si="63"/>
        <v>#DIV/0!</v>
      </c>
      <c r="DO19" s="6">
        <f>应产率辅助表!S16+应产率辅助表!T16</f>
        <v>0</v>
      </c>
      <c r="DP19" s="6">
        <f>应产率辅助表!S45+应产率辅助表!T45</f>
        <v>0</v>
      </c>
      <c r="DQ19" s="7" t="e">
        <f t="shared" si="64"/>
        <v>#DIV/0!</v>
      </c>
      <c r="DR19" s="5" t="e">
        <f>+产品销售数量!Y16+产品销售数量!X16+产品销售数量!AB16*3+产品销售数量!CG16*3+产品销售数量!CJ16*2+产品销售数量!BN16*2+产品销售数量!CR16+产品销售数量!CS16+产品销售数量!CT16+产品销售数量!BM16+产品销售数量!#REF!*3+产品销售数量!AA16+产品销售数量!CF16</f>
        <v>#REF!</v>
      </c>
      <c r="DS19" s="5" t="e">
        <f t="shared" si="65"/>
        <v>#REF!</v>
      </c>
      <c r="DT19" s="5" t="e">
        <f t="shared" si="66"/>
        <v>#REF!</v>
      </c>
      <c r="DU19" s="5" t="e">
        <f t="shared" si="67"/>
        <v>#DIV/0!</v>
      </c>
      <c r="DV19" s="6">
        <f>应产率辅助表!U16</f>
        <v>0</v>
      </c>
      <c r="DW19" s="6">
        <f>应产率辅助表!U45</f>
        <v>0</v>
      </c>
      <c r="DX19" s="7" t="e">
        <f t="shared" si="68"/>
        <v>#DIV/0!</v>
      </c>
      <c r="DY19" s="5" t="e">
        <f>+产品销售数量!E16+产品销售数量!F16*2+产品销售数量!G16+产品销售数量!#REF!+产品销售数量!CY16+产品销售数量!DE16+产品销售数量!DH16</f>
        <v>#REF!</v>
      </c>
      <c r="DZ19" s="5" t="e">
        <f t="shared" si="69"/>
        <v>#REF!</v>
      </c>
      <c r="EA19" s="5" t="e">
        <f t="shared" si="70"/>
        <v>#REF!</v>
      </c>
      <c r="EB19" s="5" t="e">
        <f t="shared" si="71"/>
        <v>#DIV/0!</v>
      </c>
      <c r="EC19" s="6">
        <f>应产率辅助表!V16</f>
        <v>0</v>
      </c>
      <c r="ED19" s="6">
        <f>应产率辅助表!V45</f>
        <v>0</v>
      </c>
      <c r="EE19" s="7" t="e">
        <f t="shared" si="72"/>
        <v>#DIV/0!</v>
      </c>
      <c r="EF19" s="5">
        <f>+产品销售数量!AS16</f>
        <v>0</v>
      </c>
      <c r="EG19" s="5" t="e">
        <f t="shared" si="73"/>
        <v>#DIV/0!</v>
      </c>
      <c r="EH19" s="5">
        <f t="shared" si="74"/>
        <v>0</v>
      </c>
      <c r="EI19" s="5" t="e">
        <f t="shared" si="75"/>
        <v>#DIV/0!</v>
      </c>
      <c r="EJ19" s="6">
        <f>应产率辅助表!W16</f>
        <v>0</v>
      </c>
      <c r="EK19" s="6">
        <f>应产率辅助表!W45</f>
        <v>0</v>
      </c>
      <c r="EL19" s="7" t="e">
        <f t="shared" si="76"/>
        <v>#DIV/0!</v>
      </c>
      <c r="EM19" s="5">
        <f>+产品销售数量!AD16+产品销售数量!AE16+产品销售数量!AF16+产品销售数量!AG16+产品销售数量!AH16+产品销售数量!AI16+产品销售数量!AJ16+产品销售数量!AK16+产品销售数量!AL16+产品销售数量!AM16+产品销售数量!AN16+产品销售数量!AO16+产品销售数量!AQ16+产品销售数量!AP16+产品销售数量!AR16+产品销售数量!BR16+产品销售数量!AS16+产品销售数量!CA16+产品销售数量!BE16+产品销售数量!BF16</f>
        <v>0</v>
      </c>
      <c r="EN19" s="5" t="e">
        <f t="shared" si="77"/>
        <v>#DIV/0!</v>
      </c>
      <c r="EO19" s="5">
        <f t="shared" si="78"/>
        <v>0</v>
      </c>
      <c r="EP19" s="5" t="e">
        <f t="shared" si="79"/>
        <v>#DIV/0!</v>
      </c>
      <c r="EQ19" s="6">
        <f>应产率辅助表!X16</f>
        <v>0</v>
      </c>
      <c r="ER19" s="6">
        <f>应产率辅助表!X45</f>
        <v>0</v>
      </c>
      <c r="ES19" s="7" t="e">
        <f t="shared" si="80"/>
        <v>#DIV/0!</v>
      </c>
      <c r="ET19" s="5">
        <f>+产品销售数量!AQ16+产品销售数量!AP16+产品销售数量!AR16+产品销售数量!BR16+产品销售数量!AS16+产品销售数量!CA16+产品销售数量!BE16+产品销售数量!BF16</f>
        <v>0</v>
      </c>
      <c r="EU19" s="5" t="e">
        <f t="shared" si="81"/>
        <v>#DIV/0!</v>
      </c>
      <c r="EV19" s="5">
        <f t="shared" si="82"/>
        <v>0</v>
      </c>
      <c r="EW19" s="5" t="e">
        <f t="shared" si="83"/>
        <v>#DIV/0!</v>
      </c>
      <c r="EX19" s="6">
        <f>应产率辅助表!Y16</f>
        <v>0</v>
      </c>
      <c r="EY19" s="6">
        <f>应产率辅助表!Y45</f>
        <v>0</v>
      </c>
      <c r="EZ19" s="7" t="e">
        <f t="shared" si="84"/>
        <v>#DIV/0!</v>
      </c>
      <c r="FA19" s="5">
        <f>产品销售数量!H16</f>
        <v>0</v>
      </c>
      <c r="FB19" s="5" t="e">
        <f t="shared" si="85"/>
        <v>#DIV/0!</v>
      </c>
      <c r="FC19" s="5">
        <f t="shared" si="86"/>
        <v>0</v>
      </c>
      <c r="FD19" s="5" t="e">
        <f t="shared" si="87"/>
        <v>#DIV/0!</v>
      </c>
      <c r="FE19" s="6">
        <f>应产率辅助表!Z16</f>
        <v>0</v>
      </c>
      <c r="FF19" s="6">
        <f>应产率辅助表!Z45</f>
        <v>0</v>
      </c>
      <c r="FG19" s="7" t="e">
        <f t="shared" si="88"/>
        <v>#DIV/0!</v>
      </c>
      <c r="FH19" s="5">
        <f>+产品销售数量!J16+产品销售数量!K16+产品销售数量!L16+产品销售数量!M16+产品销售数量!O16+产品销售数量!P16+产品销售数量!S16+产品销售数量!T16+产品销售数量!BQ16+产品销售数量!BS16+产品销售数量!CC16+产品销售数量!CH16+产品销售数量!CI16+产品销售数量!CJ16+产品销售数量!CK16+产品销售数量!CL16+产品销售数量!BL16+产品销售数量!AU16++产品销售数量!AW16+产品销售数量!BQ16+产品销售数量!CN16+产品销售数量!CO16+产品销售数量!CQ16+产品销售数量!CX16+产品销售数量!CY16+产品销售数量!CM16</f>
        <v>0</v>
      </c>
      <c r="FI19" s="5" t="e">
        <f t="shared" si="89"/>
        <v>#DIV/0!</v>
      </c>
      <c r="FJ19" s="5">
        <f t="shared" si="90"/>
        <v>0</v>
      </c>
      <c r="FK19" s="5" t="e">
        <f t="shared" si="91"/>
        <v>#DIV/0!</v>
      </c>
      <c r="FL19" s="6">
        <f>应产率辅助表!AA16</f>
        <v>0</v>
      </c>
      <c r="FM19" s="6">
        <f>应产率辅助表!AA45</f>
        <v>0</v>
      </c>
      <c r="FN19" s="7" t="e">
        <f t="shared" si="92"/>
        <v>#DIV/0!</v>
      </c>
      <c r="FO19" s="5">
        <f>+产品销售数量!R16+产品销售数量!CE16</f>
        <v>0</v>
      </c>
      <c r="FP19" s="5" t="e">
        <f t="shared" si="93"/>
        <v>#DIV/0!</v>
      </c>
      <c r="FQ19" s="5">
        <f t="shared" si="94"/>
        <v>0</v>
      </c>
      <c r="FR19" s="5" t="e">
        <f t="shared" si="95"/>
        <v>#DIV/0!</v>
      </c>
      <c r="FS19" s="6">
        <f>应产率辅助表!AB16</f>
        <v>0</v>
      </c>
      <c r="FT19" s="5">
        <f t="shared" si="96"/>
        <v>0</v>
      </c>
      <c r="FU19" s="6">
        <f>应产率辅助表!AB45</f>
        <v>0</v>
      </c>
      <c r="FV19" s="7" t="e">
        <f t="shared" si="97"/>
        <v>#DIV/0!</v>
      </c>
      <c r="FW19" s="5" t="e">
        <f t="shared" si="98"/>
        <v>#DIV/0!</v>
      </c>
      <c r="FX19" s="6">
        <f>应产率辅助表!AC16</f>
        <v>0</v>
      </c>
      <c r="FY19" s="6">
        <f>应产率辅助表!AC45</f>
        <v>0</v>
      </c>
      <c r="FZ19" s="7" t="e">
        <f t="shared" si="99"/>
        <v>#DIV/0!</v>
      </c>
      <c r="GA19" s="5" t="e">
        <f t="shared" si="100"/>
        <v>#DIV/0!</v>
      </c>
      <c r="GB19" s="6">
        <f>应产率辅助表!AD16</f>
        <v>0</v>
      </c>
      <c r="GC19" s="6">
        <f>应产率辅助表!AD45</f>
        <v>0</v>
      </c>
      <c r="GD19" s="7" t="e">
        <f t="shared" si="101"/>
        <v>#DIV/0!</v>
      </c>
      <c r="GE19" s="6">
        <f>应产率辅助表!AE16</f>
        <v>0</v>
      </c>
      <c r="GF19" s="6">
        <f>应产率辅助表!AE45</f>
        <v>0</v>
      </c>
      <c r="GG19" s="7" t="e">
        <f t="shared" si="102"/>
        <v>#DIV/0!</v>
      </c>
      <c r="GH19" s="6">
        <f>应产率辅助表!AF16</f>
        <v>0</v>
      </c>
      <c r="GI19" s="6">
        <f>应产率辅助表!AF45</f>
        <v>0</v>
      </c>
      <c r="GJ19" s="7" t="e">
        <f t="shared" si="103"/>
        <v>#DIV/0!</v>
      </c>
      <c r="GK19" s="6">
        <f>应产率辅助表!AG16</f>
        <v>0</v>
      </c>
      <c r="GL19" s="6">
        <f>应产率辅助表!AG45</f>
        <v>0</v>
      </c>
      <c r="GM19" s="7" t="e">
        <f t="shared" si="104"/>
        <v>#DIV/0!</v>
      </c>
      <c r="GN19" s="6"/>
      <c r="GO19" s="6">
        <f>应产率辅助表!AH16</f>
        <v>0</v>
      </c>
      <c r="GP19" s="6">
        <f>应产率辅助表!AH45</f>
        <v>0</v>
      </c>
      <c r="GQ19" s="7" t="e">
        <f t="shared" si="105"/>
        <v>#DIV/0!</v>
      </c>
      <c r="GR19" s="6">
        <f>应产率辅助表!AI16</f>
        <v>0</v>
      </c>
      <c r="GS19" s="6">
        <f>应产率辅助表!AI45</f>
        <v>0</v>
      </c>
      <c r="GT19" s="7" t="e">
        <f t="shared" si="106"/>
        <v>#DIV/0!</v>
      </c>
      <c r="GU19" s="72">
        <f>应产率辅助表!AJ16</f>
        <v>0</v>
      </c>
      <c r="GV19" s="72">
        <f>应产率辅助表!AJ45</f>
        <v>0</v>
      </c>
      <c r="GW19" s="7" t="e">
        <f t="shared" si="107"/>
        <v>#DIV/0!</v>
      </c>
      <c r="GX19" s="72">
        <f>应产率辅助表!AK16</f>
        <v>0</v>
      </c>
      <c r="GY19" s="72">
        <f>应产率辅助表!AK45</f>
        <v>0</v>
      </c>
      <c r="GZ19" s="7" t="e">
        <f t="shared" si="108"/>
        <v>#DIV/0!</v>
      </c>
      <c r="HA19" s="72">
        <f>应产率辅助表!AL16</f>
        <v>0</v>
      </c>
      <c r="HB19" s="72">
        <f>应产率辅助表!AL45</f>
        <v>0</v>
      </c>
      <c r="HC19" s="7" t="e">
        <f t="shared" si="109"/>
        <v>#DIV/0!</v>
      </c>
      <c r="HD19" s="72">
        <f>应产率辅助表!AM16</f>
        <v>0</v>
      </c>
      <c r="HE19" s="72">
        <f>应产率辅助表!AM45</f>
        <v>0</v>
      </c>
      <c r="HF19" s="7" t="e">
        <f t="shared" si="110"/>
        <v>#DIV/0!</v>
      </c>
      <c r="HG19" s="72">
        <f>应产率辅助表!AN16</f>
        <v>0</v>
      </c>
      <c r="HH19" s="72">
        <f>应产率辅助表!AN45</f>
        <v>0</v>
      </c>
      <c r="HI19" s="7" t="e">
        <f t="shared" si="111"/>
        <v>#DIV/0!</v>
      </c>
      <c r="HJ19" s="72">
        <f>应产率辅助表!AO16</f>
        <v>0</v>
      </c>
      <c r="HK19" s="72">
        <f>应产率辅助表!AO45</f>
        <v>0</v>
      </c>
      <c r="HL19" s="7" t="e">
        <f t="shared" si="112"/>
        <v>#DIV/0!</v>
      </c>
      <c r="HM19" s="72">
        <f>应产率辅助表!AP16</f>
        <v>0</v>
      </c>
      <c r="HN19" s="72">
        <f>应产率辅助表!AP45</f>
        <v>0</v>
      </c>
      <c r="HO19" s="7" t="e">
        <f t="shared" si="113"/>
        <v>#DIV/0!</v>
      </c>
      <c r="HP19" s="6"/>
      <c r="HQ19" s="6">
        <v>143</v>
      </c>
      <c r="HR19" s="5" t="e">
        <f t="shared" si="115"/>
        <v>#DIV/0!</v>
      </c>
      <c r="HS19" s="6">
        <v>0</v>
      </c>
      <c r="HT19" s="6">
        <v>0</v>
      </c>
      <c r="HU19" s="5" t="e">
        <f t="shared" si="116"/>
        <v>#DIV/0!</v>
      </c>
      <c r="HV19" s="6">
        <v>0</v>
      </c>
      <c r="HW19" s="6">
        <v>0</v>
      </c>
      <c r="HX19" s="5" t="e">
        <f t="shared" si="117"/>
        <v>#DIV/0!</v>
      </c>
      <c r="HY19" s="5"/>
      <c r="HZ19" s="5"/>
      <c r="IA19" s="5">
        <f t="shared" si="166"/>
        <v>0</v>
      </c>
      <c r="IB19" s="5">
        <f t="shared" si="118"/>
        <v>0</v>
      </c>
      <c r="IC19" s="5">
        <f t="shared" si="118"/>
        <v>143</v>
      </c>
      <c r="ID19" s="5" t="e">
        <f t="shared" si="119"/>
        <v>#DIV/0!</v>
      </c>
      <c r="IE19" s="7">
        <f t="shared" si="120"/>
        <v>0</v>
      </c>
      <c r="IF19" s="7">
        <f t="shared" si="120"/>
        <v>143</v>
      </c>
      <c r="IG19" s="5" t="e">
        <f t="shared" si="121"/>
        <v>#DIV/0!</v>
      </c>
      <c r="IH19" s="5" t="e">
        <f t="shared" si="122"/>
        <v>#DIV/0!</v>
      </c>
      <c r="II19" s="5" t="e">
        <f t="shared" si="123"/>
        <v>#DIV/0!</v>
      </c>
      <c r="IJ19" s="8">
        <f t="shared" si="124"/>
        <v>9.8855482771990893E-3</v>
      </c>
      <c r="IK19" s="8">
        <f t="shared" si="125"/>
        <v>1.1833461035741649E-2</v>
      </c>
      <c r="IL19" s="8" t="e">
        <f t="shared" si="126"/>
        <v>#DIV/0!</v>
      </c>
      <c r="IM19" s="8" t="e">
        <f t="shared" si="127"/>
        <v>#DIV/0!</v>
      </c>
      <c r="IN19" s="8" t="e">
        <f t="shared" si="128"/>
        <v>#DIV/0!</v>
      </c>
      <c r="IO19" s="8" t="e">
        <f t="shared" si="129"/>
        <v>#DIV/0!</v>
      </c>
      <c r="IP19" s="8" t="e">
        <f t="shared" si="130"/>
        <v>#DIV/0!</v>
      </c>
      <c r="IQ19" s="8" t="e">
        <f t="shared" si="131"/>
        <v>#DIV/0!</v>
      </c>
      <c r="IR19" s="8" t="e">
        <f t="shared" si="132"/>
        <v>#DIV/0!</v>
      </c>
      <c r="IS19" s="8" t="e">
        <f t="shared" si="133"/>
        <v>#DIV/0!</v>
      </c>
      <c r="IT19" s="8" t="e">
        <f t="shared" si="134"/>
        <v>#DIV/0!</v>
      </c>
      <c r="IU19" s="8" t="e">
        <f t="shared" si="135"/>
        <v>#DIV/0!</v>
      </c>
      <c r="IV19" s="8" t="e">
        <f t="shared" si="136"/>
        <v>#DIV/0!</v>
      </c>
      <c r="IW19" s="8" t="e">
        <f t="shared" si="137"/>
        <v>#DIV/0!</v>
      </c>
      <c r="IX19" s="8" t="e">
        <f t="shared" si="138"/>
        <v>#DIV/0!</v>
      </c>
      <c r="IY19" s="8" t="e">
        <f t="shared" si="139"/>
        <v>#DIV/0!</v>
      </c>
      <c r="IZ19" s="8" t="e">
        <f t="shared" si="140"/>
        <v>#DIV/0!</v>
      </c>
      <c r="JA19" s="8" t="e">
        <f t="shared" si="141"/>
        <v>#DIV/0!</v>
      </c>
      <c r="JB19" s="8" t="e">
        <f t="shared" si="142"/>
        <v>#DIV/0!</v>
      </c>
      <c r="JC19" s="8" t="e">
        <f t="shared" si="143"/>
        <v>#DIV/0!</v>
      </c>
      <c r="JD19" s="8" t="e">
        <f t="shared" si="144"/>
        <v>#DIV/0!</v>
      </c>
      <c r="JE19" s="8" t="e">
        <f t="shared" si="145"/>
        <v>#DIV/0!</v>
      </c>
      <c r="JF19" s="8" t="e">
        <f t="shared" si="146"/>
        <v>#DIV/0!</v>
      </c>
      <c r="JG19" s="8" t="e">
        <f t="shared" si="147"/>
        <v>#DIV/0!</v>
      </c>
      <c r="JH19" s="8" t="e">
        <f t="shared" si="148"/>
        <v>#DIV/0!</v>
      </c>
      <c r="JI19" s="8" t="e">
        <f t="shared" si="149"/>
        <v>#DIV/0!</v>
      </c>
      <c r="JJ19" s="8" t="e">
        <f t="shared" si="150"/>
        <v>#DIV/0!</v>
      </c>
      <c r="JK19" s="8" t="e">
        <f t="shared" si="151"/>
        <v>#DIV/0!</v>
      </c>
      <c r="JL19" s="8" t="e">
        <f t="shared" si="152"/>
        <v>#DIV/0!</v>
      </c>
      <c r="JM19" s="8" t="e">
        <f t="shared" si="153"/>
        <v>#DIV/0!</v>
      </c>
      <c r="JN19" s="8" t="e">
        <f t="shared" si="154"/>
        <v>#DIV/0!</v>
      </c>
      <c r="JO19" s="8" t="e">
        <f t="shared" si="155"/>
        <v>#DIV/0!</v>
      </c>
      <c r="JP19" s="9" t="e">
        <f t="shared" si="156"/>
        <v>#DIV/0!</v>
      </c>
      <c r="JQ19" s="9" t="e">
        <f t="shared" si="157"/>
        <v>#DIV/0!</v>
      </c>
      <c r="JR19" s="9" t="e">
        <f t="shared" si="158"/>
        <v>#DIV/0!</v>
      </c>
      <c r="JS19" s="9" t="e">
        <f t="shared" si="159"/>
        <v>#DIV/0!</v>
      </c>
      <c r="JT19" s="9" t="e">
        <f t="shared" si="160"/>
        <v>#DIV/0!</v>
      </c>
      <c r="JU19" s="9" t="e">
        <f t="shared" si="161"/>
        <v>#DIV/0!</v>
      </c>
      <c r="JV19" s="9" t="e">
        <f t="shared" si="162"/>
        <v>#DIV/0!</v>
      </c>
      <c r="JW19" s="9" t="e">
        <f t="shared" si="163"/>
        <v>#DIV/0!</v>
      </c>
    </row>
    <row r="20" spans="1:283" s="11" customFormat="1" ht="18" hidden="1" customHeight="1" x14ac:dyDescent="0.15">
      <c r="A20" s="10"/>
      <c r="B20" s="5"/>
      <c r="C20" s="5"/>
      <c r="D20" s="55"/>
      <c r="E20" s="56">
        <f>产品销售数量!D17</f>
        <v>0</v>
      </c>
      <c r="F20" s="6">
        <f>应产率辅助表!C17</f>
        <v>0</v>
      </c>
      <c r="G20" s="6">
        <f>应产率辅助表!C46</f>
        <v>0</v>
      </c>
      <c r="H20" s="7" t="e">
        <f t="shared" si="1"/>
        <v>#DIV/0!</v>
      </c>
      <c r="I20" s="5">
        <f>产品销售数量!E17+产品销售数量!F17*1.36</f>
        <v>0</v>
      </c>
      <c r="J20" s="5" t="e">
        <f t="shared" si="164"/>
        <v>#DIV/0!</v>
      </c>
      <c r="K20" s="5">
        <f t="shared" si="2"/>
        <v>0</v>
      </c>
      <c r="L20" s="5" t="e">
        <f t="shared" si="3"/>
        <v>#DIV/0!</v>
      </c>
      <c r="M20" s="6">
        <f>应产率辅助表!D17</f>
        <v>0</v>
      </c>
      <c r="N20" s="6">
        <f>应产率辅助表!D46</f>
        <v>0</v>
      </c>
      <c r="O20" s="7" t="e">
        <f t="shared" si="4"/>
        <v>#DIV/0!</v>
      </c>
      <c r="P20" s="5">
        <f>+产品销售数量!H17</f>
        <v>0</v>
      </c>
      <c r="Q20" s="5" t="e">
        <f t="shared" si="5"/>
        <v>#DIV/0!</v>
      </c>
      <c r="R20" s="5">
        <f t="shared" si="6"/>
        <v>0</v>
      </c>
      <c r="S20" s="5" t="e">
        <f t="shared" si="7"/>
        <v>#DIV/0!</v>
      </c>
      <c r="T20" s="6">
        <f>应产率辅助表!E17</f>
        <v>0</v>
      </c>
      <c r="U20" s="6">
        <f>应产率辅助表!E46</f>
        <v>0</v>
      </c>
      <c r="V20" s="7" t="e">
        <f t="shared" si="8"/>
        <v>#DIV/0!</v>
      </c>
      <c r="W20" s="5">
        <f>+产品销售数量!V17+产品销售数量!CP17</f>
        <v>0</v>
      </c>
      <c r="X20" s="5" t="e">
        <f t="shared" si="9"/>
        <v>#DIV/0!</v>
      </c>
      <c r="Y20" s="5">
        <f t="shared" si="10"/>
        <v>0</v>
      </c>
      <c r="Z20" s="5" t="e">
        <f t="shared" si="11"/>
        <v>#DIV/0!</v>
      </c>
      <c r="AA20" s="6">
        <f>应产率辅助表!F17</f>
        <v>0</v>
      </c>
      <c r="AB20" s="6">
        <f>应产率辅助表!F46</f>
        <v>0</v>
      </c>
      <c r="AC20" s="7" t="e">
        <f t="shared" si="12"/>
        <v>#DIV/0!</v>
      </c>
      <c r="AD20" s="5">
        <f>产品销售数量!J17*1.5+产品销售数量!K17*1.5+产品销售数量!L17*1.5+产品销售数量!O17*1.5+产品销售数量!P17*1.5+产品销售数量!S17*1.5+产品销售数量!T17*1.5+产品销售数量!CH17*1.35+产品销售数量!M17*1.5+产品销售数量!CK17*0.89*1.5+产品销售数量!BL17*1.35+产品销售数量!AU17*0.9+产品销售数量!AW17*0.9+产品销售数量!BB17*1.5+产品销售数量!CN17*1.35+产品销售数量!CO17*1.35+产品销售数量!CQ17*1.5+产品销售数量!CX17*1.5+产品销售数量!CY17*1.35+产品销售数量!CZ17*1.35</f>
        <v>0</v>
      </c>
      <c r="AE20" s="5" t="e">
        <f t="shared" si="13"/>
        <v>#DIV/0!</v>
      </c>
      <c r="AF20" s="5">
        <f t="shared" si="14"/>
        <v>0</v>
      </c>
      <c r="AG20" s="5" t="e">
        <f t="shared" si="15"/>
        <v>#DIV/0!</v>
      </c>
      <c r="AH20" s="6">
        <f t="shared" si="165"/>
        <v>0</v>
      </c>
      <c r="AI20" s="6">
        <f>应产率辅助表!G17</f>
        <v>0</v>
      </c>
      <c r="AJ20" s="6">
        <f>应产率辅助表!G46</f>
        <v>0</v>
      </c>
      <c r="AK20" s="7" t="e">
        <f t="shared" si="17"/>
        <v>#DIV/0!</v>
      </c>
      <c r="AL20" s="5" t="e">
        <f>+产品销售数量!J17*1.13+产品销售数量!K17*1.13+产品销售数量!O17*1.13+产品销售数量!U17+产品销售数量!V17*2.6+产品销售数量!W17*2.6+产品销售数量!X17*1.6+产品销售数量!Y17+产品销售数量!AB17*1.74+产品销售数量!BC17*1.19+产品销售数量!BL17*0.98+产品销售数量!BM17*0.74+产品销售数量!BN17*4.495+产品销售数量!BQ17*2.29+产品销售数量!BV17*2.56+产品销售数量!CG17*1.74+产品销售数量!CJ17*0.8+产品销售数量!CK17*1.13+产品销售数量!CM17*1.19+产品销售数量!CO17*0.98+产品销售数量!CP17*2.62+产品销售数量!CQ17*1.13+产品销售数量!CR17*1.4+产品销售数量!CS17*1.4+产品销售数量!CT17*1.4+产品销售数量!#REF!*5.29+产品销售数量!CV17*1.13+产品销售数量!CW17*0.98+产品销售数量!CX17*0.378+产品销售数量!CY17*1.19+产品销售数量!DA17*0.87+产品销售数量!DB17*1.5+产品销售数量!DI17*0.595+产品销售数量!DK17*1.74</f>
        <v>#REF!</v>
      </c>
      <c r="AM20" s="5" t="e">
        <f t="shared" si="18"/>
        <v>#REF!</v>
      </c>
      <c r="AN20" s="5" t="e">
        <f t="shared" si="19"/>
        <v>#REF!</v>
      </c>
      <c r="AO20" s="5" t="e">
        <f t="shared" si="20"/>
        <v>#DIV/0!</v>
      </c>
      <c r="AP20" s="6">
        <f>应产率辅助表!H17</f>
        <v>0</v>
      </c>
      <c r="AQ20" s="6">
        <f>应产率辅助表!H46</f>
        <v>0</v>
      </c>
      <c r="AR20" s="7" t="e">
        <f t="shared" si="21"/>
        <v>#DIV/0!</v>
      </c>
      <c r="AS20" s="5">
        <f>产品销售数量!I17*0.858+产品销售数量!Z17*0.686+产品销售数量!AA17*1.79+产品销售数量!CF17*1.79+产品销售数量!CL17*0.89</f>
        <v>0</v>
      </c>
      <c r="AT20" s="5" t="e">
        <f t="shared" si="22"/>
        <v>#DIV/0!</v>
      </c>
      <c r="AU20" s="5">
        <f t="shared" si="23"/>
        <v>0</v>
      </c>
      <c r="AV20" s="5" t="e">
        <f t="shared" si="24"/>
        <v>#DIV/0!</v>
      </c>
      <c r="AW20" s="6">
        <f>应产率辅助表!I17</f>
        <v>0</v>
      </c>
      <c r="AX20" s="6">
        <f>应产率辅助表!I46</f>
        <v>0</v>
      </c>
      <c r="AY20" s="7" t="e">
        <f t="shared" si="25"/>
        <v>#DIV/0!</v>
      </c>
      <c r="AZ20" s="5">
        <f>+产品销售数量!I17*0.857+产品销售数量!Z17*0.485+产品销售数量!AA17*1.88+产品销售数量!CF17*1.88+产品销售数量!CL17*0.89</f>
        <v>0</v>
      </c>
      <c r="BA20" s="5" t="e">
        <f t="shared" si="26"/>
        <v>#DIV/0!</v>
      </c>
      <c r="BB20" s="5">
        <f t="shared" si="27"/>
        <v>0</v>
      </c>
      <c r="BC20" s="5" t="e">
        <f t="shared" si="28"/>
        <v>#DIV/0!</v>
      </c>
      <c r="BD20" s="6">
        <f>应产率辅助表!J17</f>
        <v>0</v>
      </c>
      <c r="BE20" s="6">
        <f>应产率辅助表!J46</f>
        <v>0</v>
      </c>
      <c r="BF20" s="7" t="e">
        <f t="shared" si="167"/>
        <v>#DIV/0!</v>
      </c>
      <c r="BG20" s="5">
        <f>+产品销售数量!J17*2+产品销售数量!L17*0.93+产品销售数量!O17*2+产品销售数量!P17*0.93+产品销售数量!U17*1.93+产品销售数量!W17*2+产品销售数量!V17*3.79+产品销售数量!I17*2.678+产品销售数量!CK17*1.32+产品销售数量!CQ17*2</f>
        <v>0</v>
      </c>
      <c r="BH20" s="5" t="e">
        <f t="shared" si="168"/>
        <v>#DIV/0!</v>
      </c>
      <c r="BI20" s="5">
        <f t="shared" si="169"/>
        <v>0</v>
      </c>
      <c r="BJ20" s="5" t="e">
        <f t="shared" si="170"/>
        <v>#DIV/0!</v>
      </c>
      <c r="BK20" s="6">
        <f>应产率辅助表!K17</f>
        <v>0</v>
      </c>
      <c r="BL20" s="6">
        <f>应产率辅助表!K46</f>
        <v>0</v>
      </c>
      <c r="BM20" s="7" t="e">
        <f t="shared" si="33"/>
        <v>#DIV/0!</v>
      </c>
      <c r="BN20" s="5" t="e">
        <f>产品销售数量!K17*1.125+产品销售数量!Y17*4.12+产品销售数量!X17*5.5+产品销售数量!AA17*13.25+产品销售数量!AB17*13.25+产品销售数量!BN17*6.87+产品销售数量!BV17+产品销售数量!CF17*13.25+产品销售数量!CG17*13.25+产品销售数量!CJ17*6.63+产品销售数量!CL17*6.63+产品销售数量!CR17*2.25+产品销售数量!CS17*2.25+产品销售数量!CT17*2.25+产品销售数量!#REF!*6.87++产品销售数量!CV17*0.75+产品销售数量!DA17*6.63+产品销售数量!DJ17*13.25+产品销售数量!DK17*13.25</f>
        <v>#REF!</v>
      </c>
      <c r="BO20" s="5" t="e">
        <f t="shared" si="0"/>
        <v>#REF!</v>
      </c>
      <c r="BP20" s="5" t="e">
        <f t="shared" si="34"/>
        <v>#REF!</v>
      </c>
      <c r="BQ20" s="5" t="e">
        <f t="shared" si="35"/>
        <v>#DIV/0!</v>
      </c>
      <c r="BR20" s="6">
        <f>应产率辅助表!L17</f>
        <v>0</v>
      </c>
      <c r="BS20" s="6">
        <f>应产率辅助表!L46</f>
        <v>0</v>
      </c>
      <c r="BT20" s="7" t="e">
        <f t="shared" si="171"/>
        <v>#DIV/0!</v>
      </c>
      <c r="BU20" s="5">
        <f>产品销售数量!O17+产品销售数量!P17+产品销售数量!CI17*1.5+产品销售数量!CK17*0.89+产品销售数量!M17*1.34</f>
        <v>0</v>
      </c>
      <c r="BV20" s="5" t="e">
        <f t="shared" si="172"/>
        <v>#DIV/0!</v>
      </c>
      <c r="BW20" s="5">
        <f t="shared" si="173"/>
        <v>0</v>
      </c>
      <c r="BX20" s="5" t="e">
        <f t="shared" si="174"/>
        <v>#DIV/0!</v>
      </c>
      <c r="BY20" s="6">
        <f>应产率辅助表!M17</f>
        <v>0</v>
      </c>
      <c r="BZ20" s="6">
        <f>应产率辅助表!M46</f>
        <v>0</v>
      </c>
      <c r="CA20" s="7" t="e">
        <f t="shared" si="40"/>
        <v>#DIV/0!</v>
      </c>
      <c r="CB20" s="5">
        <f>+产品销售数量!J17+产品销售数量!K17+产品销售数量!L17+产品销售数量!O17+产品销售数量!P17+产品销售数量!S17+产品销售数量!T17+产品销售数量!AU17*0.9+产品销售数量!AW17*0.9+产品销售数量!BL17*0.9+产品销售数量!CH17*0.9+产品销售数量!CK17*0.9+产品销售数量!CN17*0.9+产品销售数量!CO17*0.9+产品销售数量!CQ17+产品销售数量!CV17+产品销售数量!CW17*0.9+产品销售数量!DB17</f>
        <v>0</v>
      </c>
      <c r="CC20" s="5" t="e">
        <f t="shared" si="41"/>
        <v>#DIV/0!</v>
      </c>
      <c r="CD20" s="5">
        <f t="shared" si="42"/>
        <v>0</v>
      </c>
      <c r="CE20" s="5" t="e">
        <f t="shared" si="43"/>
        <v>#DIV/0!</v>
      </c>
      <c r="CF20" s="6">
        <f>应产率辅助表!N17</f>
        <v>0</v>
      </c>
      <c r="CG20" s="6">
        <f>应产率辅助表!N46</f>
        <v>0</v>
      </c>
      <c r="CH20" s="7" t="e">
        <f t="shared" si="44"/>
        <v>#DIV/0!</v>
      </c>
      <c r="CI20" s="5">
        <f>产品销售数量!P17+产品销售数量!Z17*1.4+产品销售数量!L17</f>
        <v>0</v>
      </c>
      <c r="CJ20" s="5" t="e">
        <f t="shared" si="45"/>
        <v>#DIV/0!</v>
      </c>
      <c r="CK20" s="5">
        <f t="shared" si="46"/>
        <v>0</v>
      </c>
      <c r="CL20" s="5" t="e">
        <f t="shared" si="47"/>
        <v>#DIV/0!</v>
      </c>
      <c r="CM20" s="6">
        <f>应产率辅助表!O17</f>
        <v>0</v>
      </c>
      <c r="CN20" s="6">
        <f>应产率辅助表!O46</f>
        <v>0</v>
      </c>
      <c r="CO20" s="7" t="e">
        <f t="shared" si="48"/>
        <v>#DIV/0!</v>
      </c>
      <c r="CP20" s="5">
        <f>+产品销售数量!AE17*1.04+产品销售数量!AD17*1.279+产品销售数量!BW17*1.04+产品销售数量!BX17*1.279</f>
        <v>0</v>
      </c>
      <c r="CQ20" s="5" t="e">
        <f t="shared" si="49"/>
        <v>#DIV/0!</v>
      </c>
      <c r="CR20" s="5">
        <f t="shared" si="50"/>
        <v>0</v>
      </c>
      <c r="CS20" s="5" t="e">
        <f t="shared" si="51"/>
        <v>#DIV/0!</v>
      </c>
      <c r="CT20" s="6">
        <f>应产率辅助表!P17</f>
        <v>0</v>
      </c>
      <c r="CU20" s="6">
        <f>应产率辅助表!P46</f>
        <v>0</v>
      </c>
      <c r="CV20" s="7" t="e">
        <f t="shared" si="52"/>
        <v>#DIV/0!</v>
      </c>
      <c r="CW20" s="5">
        <f>+产品销售数量!AC17*1.08+产品销售数量!AH17*1+产品销售数量!AG17*1.45+产品销售数量!BG17*0.834+产品销售数量!CU17*0.834+产品销售数量!DM17*1.19</f>
        <v>0</v>
      </c>
      <c r="CX20" s="5" t="e">
        <f t="shared" si="53"/>
        <v>#DIV/0!</v>
      </c>
      <c r="CY20" s="5">
        <f t="shared" si="54"/>
        <v>0</v>
      </c>
      <c r="CZ20" s="5" t="e">
        <f t="shared" si="55"/>
        <v>#DIV/0!</v>
      </c>
      <c r="DA20" s="6">
        <f>应产率辅助表!Q17</f>
        <v>0</v>
      </c>
      <c r="DB20" s="6">
        <f>应产率辅助表!Q46</f>
        <v>0</v>
      </c>
      <c r="DC20" s="7" t="e">
        <f t="shared" si="56"/>
        <v>#DIV/0!</v>
      </c>
      <c r="DD20" s="5">
        <f>产品销售数量!AJ17*2+产品销售数量!AK17*1.38+产品销售数量!AL17+产品销售数量!BT17*1.38+产品销售数量!BU17*2</f>
        <v>0</v>
      </c>
      <c r="DE20" s="5" t="e">
        <f t="shared" si="57"/>
        <v>#DIV/0!</v>
      </c>
      <c r="DF20" s="5">
        <f t="shared" si="58"/>
        <v>0</v>
      </c>
      <c r="DG20" s="5" t="e">
        <f t="shared" si="59"/>
        <v>#DIV/0!</v>
      </c>
      <c r="DH20" s="6">
        <f>应产率辅助表!R17</f>
        <v>0</v>
      </c>
      <c r="DI20" s="6">
        <f>应产率辅助表!R46</f>
        <v>0</v>
      </c>
      <c r="DJ20" s="7" t="e">
        <f t="shared" si="60"/>
        <v>#DIV/0!</v>
      </c>
      <c r="DK20" s="5">
        <f>+产品销售数量!AM17*1.375+产品销售数量!AN17+产品销售数量!AO17*0.75+产品销售数量!BR17*0.57</f>
        <v>0</v>
      </c>
      <c r="DL20" s="5" t="e">
        <f t="shared" si="61"/>
        <v>#DIV/0!</v>
      </c>
      <c r="DM20" s="5">
        <f t="shared" si="62"/>
        <v>0</v>
      </c>
      <c r="DN20" s="5" t="e">
        <f t="shared" si="63"/>
        <v>#DIV/0!</v>
      </c>
      <c r="DO20" s="6">
        <f>应产率辅助表!S17+应产率辅助表!T17</f>
        <v>0</v>
      </c>
      <c r="DP20" s="6">
        <f>应产率辅助表!S46+应产率辅助表!T46</f>
        <v>0</v>
      </c>
      <c r="DQ20" s="7" t="e">
        <f t="shared" si="64"/>
        <v>#DIV/0!</v>
      </c>
      <c r="DR20" s="5" t="e">
        <f>+产品销售数量!Y17+产品销售数量!X17+产品销售数量!AB17*3+产品销售数量!CG17*3+产品销售数量!CJ17*2+产品销售数量!BN17*2+产品销售数量!CR17+产品销售数量!CS17+产品销售数量!CT17+产品销售数量!BM17+产品销售数量!#REF!*3+产品销售数量!AA17+产品销售数量!CF17</f>
        <v>#REF!</v>
      </c>
      <c r="DS20" s="5" t="e">
        <f t="shared" si="65"/>
        <v>#REF!</v>
      </c>
      <c r="DT20" s="5" t="e">
        <f t="shared" si="66"/>
        <v>#REF!</v>
      </c>
      <c r="DU20" s="5" t="e">
        <f t="shared" si="67"/>
        <v>#DIV/0!</v>
      </c>
      <c r="DV20" s="6">
        <f>应产率辅助表!U17</f>
        <v>0</v>
      </c>
      <c r="DW20" s="6">
        <f>应产率辅助表!U46</f>
        <v>0</v>
      </c>
      <c r="DX20" s="7" t="e">
        <f t="shared" si="68"/>
        <v>#DIV/0!</v>
      </c>
      <c r="DY20" s="5" t="e">
        <f>+产品销售数量!E17+产品销售数量!F17*2+产品销售数量!G17+产品销售数量!#REF!+产品销售数量!CY17+产品销售数量!DE17+产品销售数量!DH17</f>
        <v>#REF!</v>
      </c>
      <c r="DZ20" s="5" t="e">
        <f t="shared" si="69"/>
        <v>#REF!</v>
      </c>
      <c r="EA20" s="5" t="e">
        <f t="shared" si="70"/>
        <v>#REF!</v>
      </c>
      <c r="EB20" s="5" t="e">
        <f t="shared" si="71"/>
        <v>#DIV/0!</v>
      </c>
      <c r="EC20" s="6">
        <f>应产率辅助表!V17</f>
        <v>0</v>
      </c>
      <c r="ED20" s="6">
        <f>应产率辅助表!V46</f>
        <v>0</v>
      </c>
      <c r="EE20" s="7" t="e">
        <f t="shared" si="72"/>
        <v>#DIV/0!</v>
      </c>
      <c r="EF20" s="5">
        <f>+产品销售数量!AS17</f>
        <v>0</v>
      </c>
      <c r="EG20" s="5" t="e">
        <f t="shared" si="73"/>
        <v>#DIV/0!</v>
      </c>
      <c r="EH20" s="5">
        <f t="shared" si="74"/>
        <v>0</v>
      </c>
      <c r="EI20" s="5" t="e">
        <f t="shared" si="75"/>
        <v>#DIV/0!</v>
      </c>
      <c r="EJ20" s="6">
        <f>应产率辅助表!W17</f>
        <v>0</v>
      </c>
      <c r="EK20" s="6">
        <f>应产率辅助表!W46</f>
        <v>0</v>
      </c>
      <c r="EL20" s="7" t="e">
        <f t="shared" si="76"/>
        <v>#DIV/0!</v>
      </c>
      <c r="EM20" s="5">
        <f>+产品销售数量!AD17+产品销售数量!AE17+产品销售数量!AF17+产品销售数量!AG17+产品销售数量!AH17+产品销售数量!AI17+产品销售数量!AJ17+产品销售数量!AK17+产品销售数量!AL17+产品销售数量!AM17+产品销售数量!AN17+产品销售数量!AO17+产品销售数量!AQ17+产品销售数量!AP17+产品销售数量!AR17+产品销售数量!BR17+产品销售数量!AS17+产品销售数量!CA17+产品销售数量!BE17+产品销售数量!BF17</f>
        <v>0</v>
      </c>
      <c r="EN20" s="5" t="e">
        <f t="shared" si="77"/>
        <v>#DIV/0!</v>
      </c>
      <c r="EO20" s="5">
        <f t="shared" si="78"/>
        <v>0</v>
      </c>
      <c r="EP20" s="5" t="e">
        <f t="shared" si="79"/>
        <v>#DIV/0!</v>
      </c>
      <c r="EQ20" s="6">
        <f>应产率辅助表!X17</f>
        <v>0</v>
      </c>
      <c r="ER20" s="6">
        <f>应产率辅助表!X46</f>
        <v>0</v>
      </c>
      <c r="ES20" s="7" t="e">
        <f t="shared" si="80"/>
        <v>#DIV/0!</v>
      </c>
      <c r="ET20" s="5">
        <f>+产品销售数量!AQ17+产品销售数量!AP17+产品销售数量!AR17+产品销售数量!BR17+产品销售数量!AS17+产品销售数量!CA17+产品销售数量!BE17+产品销售数量!BF17</f>
        <v>0</v>
      </c>
      <c r="EU20" s="5" t="e">
        <f t="shared" si="81"/>
        <v>#DIV/0!</v>
      </c>
      <c r="EV20" s="5">
        <f t="shared" si="82"/>
        <v>0</v>
      </c>
      <c r="EW20" s="5" t="e">
        <f t="shared" si="83"/>
        <v>#DIV/0!</v>
      </c>
      <c r="EX20" s="6">
        <f>应产率辅助表!Y17</f>
        <v>0</v>
      </c>
      <c r="EY20" s="6">
        <f>应产率辅助表!Y46</f>
        <v>0</v>
      </c>
      <c r="EZ20" s="7" t="e">
        <f t="shared" si="84"/>
        <v>#DIV/0!</v>
      </c>
      <c r="FA20" s="5">
        <f>产品销售数量!H17</f>
        <v>0</v>
      </c>
      <c r="FB20" s="5" t="e">
        <f t="shared" si="85"/>
        <v>#DIV/0!</v>
      </c>
      <c r="FC20" s="5">
        <f t="shared" si="86"/>
        <v>0</v>
      </c>
      <c r="FD20" s="5" t="e">
        <f t="shared" si="87"/>
        <v>#DIV/0!</v>
      </c>
      <c r="FE20" s="6">
        <f>应产率辅助表!Z17</f>
        <v>0</v>
      </c>
      <c r="FF20" s="6">
        <f>应产率辅助表!Z46</f>
        <v>0</v>
      </c>
      <c r="FG20" s="7" t="e">
        <f t="shared" si="88"/>
        <v>#DIV/0!</v>
      </c>
      <c r="FH20" s="5">
        <f>+产品销售数量!J17+产品销售数量!K17+产品销售数量!L17+产品销售数量!M17+产品销售数量!O17+产品销售数量!P17+产品销售数量!S17+产品销售数量!T17+产品销售数量!BQ17+产品销售数量!BS17+产品销售数量!CC17+产品销售数量!CH17+产品销售数量!CI17+产品销售数量!CJ17+产品销售数量!CK17+产品销售数量!CL17+产品销售数量!BL17+产品销售数量!AU17++产品销售数量!AW17+产品销售数量!BQ17+产品销售数量!CN17+产品销售数量!CO17+产品销售数量!CQ17+产品销售数量!CX17+产品销售数量!CY17+产品销售数量!CM17</f>
        <v>0</v>
      </c>
      <c r="FI20" s="5" t="e">
        <f t="shared" si="89"/>
        <v>#DIV/0!</v>
      </c>
      <c r="FJ20" s="5">
        <f t="shared" si="90"/>
        <v>0</v>
      </c>
      <c r="FK20" s="5" t="e">
        <f t="shared" si="91"/>
        <v>#DIV/0!</v>
      </c>
      <c r="FL20" s="6">
        <f>应产率辅助表!AA17</f>
        <v>0</v>
      </c>
      <c r="FM20" s="6">
        <f>应产率辅助表!AA46</f>
        <v>0</v>
      </c>
      <c r="FN20" s="7" t="e">
        <f t="shared" si="92"/>
        <v>#DIV/0!</v>
      </c>
      <c r="FO20" s="5">
        <f>+产品销售数量!R17+产品销售数量!CE17</f>
        <v>0</v>
      </c>
      <c r="FP20" s="5" t="e">
        <f t="shared" si="93"/>
        <v>#DIV/0!</v>
      </c>
      <c r="FQ20" s="5">
        <f t="shared" si="94"/>
        <v>0</v>
      </c>
      <c r="FR20" s="5" t="e">
        <f t="shared" si="95"/>
        <v>#DIV/0!</v>
      </c>
      <c r="FS20" s="6">
        <f>应产率辅助表!AB17</f>
        <v>0</v>
      </c>
      <c r="FT20" s="5">
        <f t="shared" si="96"/>
        <v>0</v>
      </c>
      <c r="FU20" s="6">
        <f>应产率辅助表!AB46</f>
        <v>0</v>
      </c>
      <c r="FV20" s="7" t="e">
        <f t="shared" si="97"/>
        <v>#DIV/0!</v>
      </c>
      <c r="FW20" s="5" t="e">
        <f t="shared" si="98"/>
        <v>#DIV/0!</v>
      </c>
      <c r="FX20" s="6">
        <f>应产率辅助表!AC17</f>
        <v>0</v>
      </c>
      <c r="FY20" s="6">
        <f>应产率辅助表!AC46</f>
        <v>0</v>
      </c>
      <c r="FZ20" s="7" t="e">
        <f t="shared" si="99"/>
        <v>#DIV/0!</v>
      </c>
      <c r="GA20" s="5" t="e">
        <f t="shared" si="100"/>
        <v>#DIV/0!</v>
      </c>
      <c r="GB20" s="6">
        <f>应产率辅助表!AD17</f>
        <v>0</v>
      </c>
      <c r="GC20" s="6">
        <f>应产率辅助表!AD46</f>
        <v>0</v>
      </c>
      <c r="GD20" s="7" t="e">
        <f t="shared" si="101"/>
        <v>#DIV/0!</v>
      </c>
      <c r="GE20" s="6">
        <f>应产率辅助表!AE17</f>
        <v>0</v>
      </c>
      <c r="GF20" s="6">
        <f>应产率辅助表!AE46</f>
        <v>0</v>
      </c>
      <c r="GG20" s="7" t="e">
        <f t="shared" si="102"/>
        <v>#DIV/0!</v>
      </c>
      <c r="GH20" s="6">
        <f>应产率辅助表!AF17</f>
        <v>0</v>
      </c>
      <c r="GI20" s="6">
        <f>应产率辅助表!AF46</f>
        <v>0</v>
      </c>
      <c r="GJ20" s="7" t="e">
        <f t="shared" si="103"/>
        <v>#DIV/0!</v>
      </c>
      <c r="GK20" s="6">
        <f>应产率辅助表!AG17</f>
        <v>0</v>
      </c>
      <c r="GL20" s="6">
        <f>应产率辅助表!AG46</f>
        <v>0</v>
      </c>
      <c r="GM20" s="7" t="e">
        <f t="shared" si="104"/>
        <v>#DIV/0!</v>
      </c>
      <c r="GN20" s="6"/>
      <c r="GO20" s="6">
        <f>应产率辅助表!AH17</f>
        <v>0</v>
      </c>
      <c r="GP20" s="6">
        <f>应产率辅助表!AH46</f>
        <v>0</v>
      </c>
      <c r="GQ20" s="7" t="e">
        <f t="shared" si="105"/>
        <v>#DIV/0!</v>
      </c>
      <c r="GR20" s="6">
        <f>应产率辅助表!AI17</f>
        <v>0</v>
      </c>
      <c r="GS20" s="6">
        <f>应产率辅助表!AI46</f>
        <v>0</v>
      </c>
      <c r="GT20" s="7" t="e">
        <f t="shared" si="106"/>
        <v>#DIV/0!</v>
      </c>
      <c r="GU20" s="72">
        <f>应产率辅助表!AJ17</f>
        <v>0</v>
      </c>
      <c r="GV20" s="72">
        <f>应产率辅助表!AJ46</f>
        <v>0</v>
      </c>
      <c r="GW20" s="7" t="e">
        <f t="shared" si="107"/>
        <v>#DIV/0!</v>
      </c>
      <c r="GX20" s="72">
        <f>应产率辅助表!AK17</f>
        <v>0</v>
      </c>
      <c r="GY20" s="72">
        <f>应产率辅助表!AK46</f>
        <v>0</v>
      </c>
      <c r="GZ20" s="7" t="e">
        <f t="shared" si="108"/>
        <v>#DIV/0!</v>
      </c>
      <c r="HA20" s="72">
        <f>应产率辅助表!AL17</f>
        <v>0</v>
      </c>
      <c r="HB20" s="72">
        <f>应产率辅助表!AL46</f>
        <v>0</v>
      </c>
      <c r="HC20" s="7" t="e">
        <f t="shared" si="109"/>
        <v>#DIV/0!</v>
      </c>
      <c r="HD20" s="72">
        <f>应产率辅助表!AM17</f>
        <v>0</v>
      </c>
      <c r="HE20" s="72">
        <f>应产率辅助表!AM46</f>
        <v>0</v>
      </c>
      <c r="HF20" s="7" t="e">
        <f t="shared" si="110"/>
        <v>#DIV/0!</v>
      </c>
      <c r="HG20" s="72">
        <f>应产率辅助表!AN17</f>
        <v>0</v>
      </c>
      <c r="HH20" s="72">
        <f>应产率辅助表!AN46</f>
        <v>0</v>
      </c>
      <c r="HI20" s="7" t="e">
        <f t="shared" si="111"/>
        <v>#DIV/0!</v>
      </c>
      <c r="HJ20" s="72">
        <f>应产率辅助表!AO17</f>
        <v>0</v>
      </c>
      <c r="HK20" s="72">
        <f>应产率辅助表!AO46</f>
        <v>0</v>
      </c>
      <c r="HL20" s="7" t="e">
        <f t="shared" si="112"/>
        <v>#DIV/0!</v>
      </c>
      <c r="HM20" s="72">
        <f>应产率辅助表!AP17</f>
        <v>0</v>
      </c>
      <c r="HN20" s="72">
        <f>应产率辅助表!AP46</f>
        <v>0</v>
      </c>
      <c r="HO20" s="7" t="e">
        <f t="shared" si="113"/>
        <v>#DIV/0!</v>
      </c>
      <c r="HP20" s="6"/>
      <c r="HQ20" s="6">
        <f t="shared" ref="HQ20:HQ31" si="175">HP20*12.5</f>
        <v>0</v>
      </c>
      <c r="HR20" s="5" t="e">
        <f t="shared" si="115"/>
        <v>#DIV/0!</v>
      </c>
      <c r="HS20" s="6">
        <v>0</v>
      </c>
      <c r="HT20" s="6">
        <v>0</v>
      </c>
      <c r="HU20" s="5" t="e">
        <f t="shared" si="116"/>
        <v>#DIV/0!</v>
      </c>
      <c r="HV20" s="6">
        <v>0</v>
      </c>
      <c r="HW20" s="6">
        <v>0</v>
      </c>
      <c r="HX20" s="5" t="e">
        <f t="shared" si="117"/>
        <v>#DIV/0!</v>
      </c>
      <c r="HY20" s="5"/>
      <c r="HZ20" s="5"/>
      <c r="IA20" s="5" t="e">
        <f t="shared" si="166"/>
        <v>#DIV/0!</v>
      </c>
      <c r="IB20" s="5">
        <f t="shared" si="118"/>
        <v>0</v>
      </c>
      <c r="IC20" s="5">
        <f t="shared" si="118"/>
        <v>0</v>
      </c>
      <c r="ID20" s="5" t="e">
        <f t="shared" si="119"/>
        <v>#DIV/0!</v>
      </c>
      <c r="IE20" s="7">
        <f t="shared" si="120"/>
        <v>0</v>
      </c>
      <c r="IF20" s="7">
        <f t="shared" si="120"/>
        <v>0</v>
      </c>
      <c r="IG20" s="5" t="e">
        <f t="shared" si="121"/>
        <v>#DIV/0!</v>
      </c>
      <c r="IH20" s="5" t="e">
        <f t="shared" si="122"/>
        <v>#DIV/0!</v>
      </c>
      <c r="II20" s="5" t="e">
        <f t="shared" si="123"/>
        <v>#DIV/0!</v>
      </c>
      <c r="IJ20" s="8" t="e">
        <f t="shared" si="124"/>
        <v>#DIV/0!</v>
      </c>
      <c r="IK20" s="8" t="e">
        <f t="shared" si="125"/>
        <v>#DIV/0!</v>
      </c>
      <c r="IL20" s="8" t="e">
        <f t="shared" si="126"/>
        <v>#DIV/0!</v>
      </c>
      <c r="IM20" s="8" t="e">
        <f t="shared" si="127"/>
        <v>#DIV/0!</v>
      </c>
      <c r="IN20" s="8" t="e">
        <f t="shared" si="128"/>
        <v>#DIV/0!</v>
      </c>
      <c r="IO20" s="8" t="e">
        <f t="shared" si="129"/>
        <v>#DIV/0!</v>
      </c>
      <c r="IP20" s="8" t="e">
        <f t="shared" si="130"/>
        <v>#DIV/0!</v>
      </c>
      <c r="IQ20" s="8" t="e">
        <f t="shared" si="131"/>
        <v>#DIV/0!</v>
      </c>
      <c r="IR20" s="8" t="e">
        <f t="shared" si="132"/>
        <v>#DIV/0!</v>
      </c>
      <c r="IS20" s="8" t="e">
        <f t="shared" si="133"/>
        <v>#DIV/0!</v>
      </c>
      <c r="IT20" s="8" t="e">
        <f t="shared" si="134"/>
        <v>#DIV/0!</v>
      </c>
      <c r="IU20" s="8" t="e">
        <f t="shared" si="135"/>
        <v>#DIV/0!</v>
      </c>
      <c r="IV20" s="8" t="e">
        <f t="shared" si="136"/>
        <v>#DIV/0!</v>
      </c>
      <c r="IW20" s="8" t="e">
        <f t="shared" si="137"/>
        <v>#DIV/0!</v>
      </c>
      <c r="IX20" s="8" t="e">
        <f t="shared" si="138"/>
        <v>#DIV/0!</v>
      </c>
      <c r="IY20" s="8" t="e">
        <f t="shared" si="139"/>
        <v>#DIV/0!</v>
      </c>
      <c r="IZ20" s="8" t="e">
        <f t="shared" si="140"/>
        <v>#DIV/0!</v>
      </c>
      <c r="JA20" s="8" t="e">
        <f t="shared" si="141"/>
        <v>#DIV/0!</v>
      </c>
      <c r="JB20" s="8" t="e">
        <f t="shared" si="142"/>
        <v>#DIV/0!</v>
      </c>
      <c r="JC20" s="8" t="e">
        <f t="shared" si="143"/>
        <v>#DIV/0!</v>
      </c>
      <c r="JD20" s="8" t="e">
        <f t="shared" si="144"/>
        <v>#DIV/0!</v>
      </c>
      <c r="JE20" s="8" t="e">
        <f t="shared" si="145"/>
        <v>#DIV/0!</v>
      </c>
      <c r="JF20" s="8" t="e">
        <f t="shared" si="146"/>
        <v>#DIV/0!</v>
      </c>
      <c r="JG20" s="8" t="e">
        <f t="shared" si="147"/>
        <v>#DIV/0!</v>
      </c>
      <c r="JH20" s="8" t="e">
        <f t="shared" si="148"/>
        <v>#DIV/0!</v>
      </c>
      <c r="JI20" s="8" t="e">
        <f t="shared" si="149"/>
        <v>#DIV/0!</v>
      </c>
      <c r="JJ20" s="8" t="e">
        <f t="shared" si="150"/>
        <v>#DIV/0!</v>
      </c>
      <c r="JK20" s="8" t="e">
        <f t="shared" si="151"/>
        <v>#DIV/0!</v>
      </c>
      <c r="JL20" s="8" t="e">
        <f t="shared" si="152"/>
        <v>#DIV/0!</v>
      </c>
      <c r="JM20" s="8" t="e">
        <f t="shared" si="153"/>
        <v>#DIV/0!</v>
      </c>
      <c r="JN20" s="8" t="e">
        <f t="shared" si="154"/>
        <v>#DIV/0!</v>
      </c>
      <c r="JO20" s="8" t="e">
        <f t="shared" si="155"/>
        <v>#DIV/0!</v>
      </c>
      <c r="JP20" s="9" t="e">
        <f t="shared" si="156"/>
        <v>#DIV/0!</v>
      </c>
      <c r="JQ20" s="9" t="e">
        <f t="shared" si="157"/>
        <v>#DIV/0!</v>
      </c>
      <c r="JR20" s="9" t="e">
        <f t="shared" si="158"/>
        <v>#DIV/0!</v>
      </c>
      <c r="JS20" s="9" t="e">
        <f t="shared" si="159"/>
        <v>#DIV/0!</v>
      </c>
      <c r="JT20" s="9" t="e">
        <f t="shared" si="160"/>
        <v>#DIV/0!</v>
      </c>
      <c r="JU20" s="9" t="e">
        <f t="shared" si="161"/>
        <v>#DIV/0!</v>
      </c>
      <c r="JV20" s="9" t="e">
        <f t="shared" si="162"/>
        <v>#DIV/0!</v>
      </c>
      <c r="JW20" s="9" t="e">
        <f t="shared" si="163"/>
        <v>#DIV/0!</v>
      </c>
    </row>
    <row r="21" spans="1:283" s="11" customFormat="1" ht="18" hidden="1" customHeight="1" x14ac:dyDescent="0.15">
      <c r="A21" s="10"/>
      <c r="B21" s="5"/>
      <c r="C21" s="5"/>
      <c r="D21" s="55"/>
      <c r="E21" s="56">
        <f>产品销售数量!D18</f>
        <v>0</v>
      </c>
      <c r="F21" s="6">
        <f>应产率辅助表!C18</f>
        <v>0</v>
      </c>
      <c r="G21" s="6">
        <f>应产率辅助表!C47</f>
        <v>0</v>
      </c>
      <c r="H21" s="7" t="e">
        <f t="shared" si="1"/>
        <v>#DIV/0!</v>
      </c>
      <c r="I21" s="5">
        <f>产品销售数量!E18+产品销售数量!F18*1.36</f>
        <v>0</v>
      </c>
      <c r="J21" s="5" t="e">
        <f t="shared" si="164"/>
        <v>#DIV/0!</v>
      </c>
      <c r="K21" s="5">
        <f t="shared" si="2"/>
        <v>0</v>
      </c>
      <c r="L21" s="5" t="e">
        <f t="shared" si="3"/>
        <v>#DIV/0!</v>
      </c>
      <c r="M21" s="6">
        <f>应产率辅助表!D18</f>
        <v>0</v>
      </c>
      <c r="N21" s="6">
        <f>应产率辅助表!D47</f>
        <v>0</v>
      </c>
      <c r="O21" s="7" t="e">
        <f t="shared" si="4"/>
        <v>#DIV/0!</v>
      </c>
      <c r="P21" s="5">
        <f>+产品销售数量!H18</f>
        <v>0</v>
      </c>
      <c r="Q21" s="5" t="e">
        <f t="shared" si="5"/>
        <v>#DIV/0!</v>
      </c>
      <c r="R21" s="5">
        <f t="shared" si="6"/>
        <v>0</v>
      </c>
      <c r="S21" s="5" t="e">
        <f t="shared" si="7"/>
        <v>#DIV/0!</v>
      </c>
      <c r="T21" s="6">
        <f>应产率辅助表!E18</f>
        <v>0</v>
      </c>
      <c r="U21" s="6">
        <f>应产率辅助表!E47</f>
        <v>0</v>
      </c>
      <c r="V21" s="7" t="e">
        <f t="shared" si="8"/>
        <v>#DIV/0!</v>
      </c>
      <c r="W21" s="5">
        <f>+产品销售数量!V18+产品销售数量!CP18</f>
        <v>0</v>
      </c>
      <c r="X21" s="5" t="e">
        <f t="shared" si="9"/>
        <v>#DIV/0!</v>
      </c>
      <c r="Y21" s="5">
        <f t="shared" si="10"/>
        <v>0</v>
      </c>
      <c r="Z21" s="5" t="e">
        <f t="shared" si="11"/>
        <v>#DIV/0!</v>
      </c>
      <c r="AA21" s="6">
        <f>应产率辅助表!F18</f>
        <v>0</v>
      </c>
      <c r="AB21" s="6">
        <f>应产率辅助表!F47</f>
        <v>0</v>
      </c>
      <c r="AC21" s="7" t="e">
        <f t="shared" si="12"/>
        <v>#DIV/0!</v>
      </c>
      <c r="AD21" s="5">
        <f>产品销售数量!J18*1.5+产品销售数量!K18*1.5+产品销售数量!L18*1.5+产品销售数量!O18*1.5+产品销售数量!P18*1.5+产品销售数量!S18*1.5+产品销售数量!T18*1.5+产品销售数量!CH18*1.35+产品销售数量!M18*1.5+产品销售数量!CK18*0.89*1.5+产品销售数量!BL18*1.35+产品销售数量!AU18*0.9+产品销售数量!AW18*0.9+产品销售数量!BB18*1.5+产品销售数量!CN18*1.35+产品销售数量!CO18*1.35+产品销售数量!CQ18*1.5+产品销售数量!CX18*1.5+产品销售数量!CY18*1.35+产品销售数量!CZ18*1.35</f>
        <v>0</v>
      </c>
      <c r="AE21" s="5" t="e">
        <f t="shared" si="13"/>
        <v>#DIV/0!</v>
      </c>
      <c r="AF21" s="5">
        <f t="shared" si="14"/>
        <v>0</v>
      </c>
      <c r="AG21" s="5" t="e">
        <f t="shared" si="15"/>
        <v>#DIV/0!</v>
      </c>
      <c r="AH21" s="6">
        <f t="shared" si="165"/>
        <v>0</v>
      </c>
      <c r="AI21" s="6">
        <f>应产率辅助表!G18</f>
        <v>0</v>
      </c>
      <c r="AJ21" s="6">
        <f>应产率辅助表!G47</f>
        <v>0</v>
      </c>
      <c r="AK21" s="7" t="e">
        <f t="shared" si="17"/>
        <v>#DIV/0!</v>
      </c>
      <c r="AL21" s="5" t="e">
        <f>+产品销售数量!J18*1.13+产品销售数量!K18*1.13+产品销售数量!O18*1.13+产品销售数量!U18+产品销售数量!V18*2.6+产品销售数量!W18*2.6+产品销售数量!X18*1.6+产品销售数量!Y18+产品销售数量!AB18*1.74+产品销售数量!BC18*1.19+产品销售数量!BL18*0.98+产品销售数量!BM18*0.74+产品销售数量!BN18*4.495+产品销售数量!BQ18*2.29+产品销售数量!BV18*2.56+产品销售数量!CG18*1.74+产品销售数量!CJ18*0.8+产品销售数量!CK18*1.13+产品销售数量!CM18*1.19+产品销售数量!CO18*0.98+产品销售数量!CP18*2.62+产品销售数量!CQ18*1.13+产品销售数量!CR18*1.4+产品销售数量!CS18*1.4+产品销售数量!CT18*1.4+产品销售数量!#REF!*5.29+产品销售数量!CV18*1.13+产品销售数量!CW18*0.98+产品销售数量!CX18*0.378+产品销售数量!CY18*1.19+产品销售数量!DA18*0.87+产品销售数量!DB18*1.5+产品销售数量!DI18*0.595+产品销售数量!DK18*1.74</f>
        <v>#REF!</v>
      </c>
      <c r="AM21" s="5" t="e">
        <f t="shared" si="18"/>
        <v>#REF!</v>
      </c>
      <c r="AN21" s="5" t="e">
        <f t="shared" si="19"/>
        <v>#REF!</v>
      </c>
      <c r="AO21" s="5" t="e">
        <f t="shared" si="20"/>
        <v>#DIV/0!</v>
      </c>
      <c r="AP21" s="6">
        <f>应产率辅助表!H18</f>
        <v>0</v>
      </c>
      <c r="AQ21" s="6">
        <f>应产率辅助表!H47</f>
        <v>0</v>
      </c>
      <c r="AR21" s="7" t="e">
        <f t="shared" si="21"/>
        <v>#DIV/0!</v>
      </c>
      <c r="AS21" s="5">
        <f>产品销售数量!I18*0.858+产品销售数量!Z18*0.686+产品销售数量!AA18*1.79+产品销售数量!CF18*1.79+产品销售数量!CL18*0.89</f>
        <v>0</v>
      </c>
      <c r="AT21" s="5" t="e">
        <f t="shared" si="22"/>
        <v>#DIV/0!</v>
      </c>
      <c r="AU21" s="5">
        <f t="shared" si="23"/>
        <v>0</v>
      </c>
      <c r="AV21" s="5" t="e">
        <f t="shared" si="24"/>
        <v>#DIV/0!</v>
      </c>
      <c r="AW21" s="6">
        <f>应产率辅助表!I18</f>
        <v>0</v>
      </c>
      <c r="AX21" s="6">
        <f>应产率辅助表!I47</f>
        <v>0</v>
      </c>
      <c r="AY21" s="7" t="e">
        <f t="shared" si="25"/>
        <v>#DIV/0!</v>
      </c>
      <c r="AZ21" s="5">
        <f>+产品销售数量!I18*0.857+产品销售数量!Z18*0.485+产品销售数量!AA18*1.88+产品销售数量!CF18*1.88+产品销售数量!CL18*0.89</f>
        <v>0</v>
      </c>
      <c r="BA21" s="5" t="e">
        <f t="shared" si="26"/>
        <v>#DIV/0!</v>
      </c>
      <c r="BB21" s="5">
        <f t="shared" si="27"/>
        <v>0</v>
      </c>
      <c r="BC21" s="5" t="e">
        <f t="shared" si="28"/>
        <v>#DIV/0!</v>
      </c>
      <c r="BD21" s="6">
        <f>应产率辅助表!J18</f>
        <v>0</v>
      </c>
      <c r="BE21" s="6">
        <f>应产率辅助表!J47</f>
        <v>0</v>
      </c>
      <c r="BF21" s="7" t="e">
        <f t="shared" si="167"/>
        <v>#DIV/0!</v>
      </c>
      <c r="BG21" s="5">
        <f>+产品销售数量!J18*2+产品销售数量!L18*0.93+产品销售数量!O18*2+产品销售数量!P18*0.93+产品销售数量!U18*1.93+产品销售数量!W18*2+产品销售数量!V18*3.79+产品销售数量!I18*2.678+产品销售数量!CK18*1.32+产品销售数量!CQ18*2</f>
        <v>0</v>
      </c>
      <c r="BH21" s="5" t="e">
        <f t="shared" si="168"/>
        <v>#DIV/0!</v>
      </c>
      <c r="BI21" s="5">
        <f t="shared" si="169"/>
        <v>0</v>
      </c>
      <c r="BJ21" s="5" t="e">
        <f t="shared" si="170"/>
        <v>#DIV/0!</v>
      </c>
      <c r="BK21" s="6">
        <f>应产率辅助表!K18</f>
        <v>0</v>
      </c>
      <c r="BL21" s="6">
        <f>应产率辅助表!K47</f>
        <v>0</v>
      </c>
      <c r="BM21" s="7" t="e">
        <f t="shared" si="33"/>
        <v>#DIV/0!</v>
      </c>
      <c r="BN21" s="5" t="e">
        <f>产品销售数量!K18*1.125+产品销售数量!Y18*4.12+产品销售数量!X18*5.5+产品销售数量!AA18*13.25+产品销售数量!AB18*13.25+产品销售数量!BN18*6.87+产品销售数量!BV18+产品销售数量!CF18*13.25+产品销售数量!CG18*13.25+产品销售数量!CJ18*6.63+产品销售数量!CL18*6.63+产品销售数量!CR18*2.25+产品销售数量!CS18*2.25+产品销售数量!CT18*2.25+产品销售数量!#REF!*6.87++产品销售数量!CV18*0.75+产品销售数量!DA18*6.63+产品销售数量!DJ18*13.25+产品销售数量!DK18*13.25</f>
        <v>#REF!</v>
      </c>
      <c r="BO21" s="5" t="e">
        <f t="shared" si="0"/>
        <v>#REF!</v>
      </c>
      <c r="BP21" s="5" t="e">
        <f t="shared" si="34"/>
        <v>#REF!</v>
      </c>
      <c r="BQ21" s="5" t="e">
        <f t="shared" si="35"/>
        <v>#DIV/0!</v>
      </c>
      <c r="BR21" s="6">
        <f>应产率辅助表!L18</f>
        <v>0</v>
      </c>
      <c r="BS21" s="6">
        <f>应产率辅助表!L47</f>
        <v>0</v>
      </c>
      <c r="BT21" s="7" t="e">
        <f t="shared" si="171"/>
        <v>#DIV/0!</v>
      </c>
      <c r="BU21" s="5">
        <f>产品销售数量!O18+产品销售数量!P18+产品销售数量!CI18*1.5+产品销售数量!CK18*0.89+产品销售数量!M18*1.34</f>
        <v>0</v>
      </c>
      <c r="BV21" s="5" t="e">
        <f t="shared" si="172"/>
        <v>#DIV/0!</v>
      </c>
      <c r="BW21" s="5">
        <f t="shared" si="173"/>
        <v>0</v>
      </c>
      <c r="BX21" s="5" t="e">
        <f t="shared" si="174"/>
        <v>#DIV/0!</v>
      </c>
      <c r="BY21" s="6">
        <f>应产率辅助表!M18</f>
        <v>0</v>
      </c>
      <c r="BZ21" s="6">
        <f>应产率辅助表!M47</f>
        <v>0</v>
      </c>
      <c r="CA21" s="7" t="e">
        <f t="shared" si="40"/>
        <v>#DIV/0!</v>
      </c>
      <c r="CB21" s="5">
        <f>+产品销售数量!J18+产品销售数量!K18+产品销售数量!L18+产品销售数量!O18+产品销售数量!P18+产品销售数量!S18+产品销售数量!T18+产品销售数量!AU18*0.9+产品销售数量!AW18*0.9+产品销售数量!BL18*0.9+产品销售数量!CH18*0.9+产品销售数量!CK18*0.9+产品销售数量!CN18*0.9+产品销售数量!CO18*0.9+产品销售数量!CQ18+产品销售数量!CV18+产品销售数量!CW18*0.9+产品销售数量!DB18</f>
        <v>0</v>
      </c>
      <c r="CC21" s="5" t="e">
        <f t="shared" si="41"/>
        <v>#DIV/0!</v>
      </c>
      <c r="CD21" s="5">
        <f t="shared" si="42"/>
        <v>0</v>
      </c>
      <c r="CE21" s="5" t="e">
        <f t="shared" si="43"/>
        <v>#DIV/0!</v>
      </c>
      <c r="CF21" s="6">
        <f>应产率辅助表!N18</f>
        <v>0</v>
      </c>
      <c r="CG21" s="6">
        <f>应产率辅助表!N47</f>
        <v>0</v>
      </c>
      <c r="CH21" s="7" t="e">
        <f t="shared" si="44"/>
        <v>#DIV/0!</v>
      </c>
      <c r="CI21" s="5">
        <f>产品销售数量!P18+产品销售数量!Z18*1.4+产品销售数量!L18</f>
        <v>0</v>
      </c>
      <c r="CJ21" s="5" t="e">
        <f t="shared" si="45"/>
        <v>#DIV/0!</v>
      </c>
      <c r="CK21" s="5">
        <f t="shared" si="46"/>
        <v>0</v>
      </c>
      <c r="CL21" s="5" t="e">
        <f t="shared" si="47"/>
        <v>#DIV/0!</v>
      </c>
      <c r="CM21" s="6">
        <f>应产率辅助表!O18</f>
        <v>0</v>
      </c>
      <c r="CN21" s="6">
        <f>应产率辅助表!O47</f>
        <v>0</v>
      </c>
      <c r="CO21" s="7" t="e">
        <f t="shared" si="48"/>
        <v>#DIV/0!</v>
      </c>
      <c r="CP21" s="5">
        <f>+产品销售数量!AE18*1.04+产品销售数量!AD18*1.279+产品销售数量!BW18*1.04+产品销售数量!BX18*1.279</f>
        <v>0</v>
      </c>
      <c r="CQ21" s="5" t="e">
        <f t="shared" si="49"/>
        <v>#DIV/0!</v>
      </c>
      <c r="CR21" s="5">
        <f t="shared" si="50"/>
        <v>0</v>
      </c>
      <c r="CS21" s="5" t="e">
        <f t="shared" si="51"/>
        <v>#DIV/0!</v>
      </c>
      <c r="CT21" s="6">
        <f>应产率辅助表!P18</f>
        <v>0</v>
      </c>
      <c r="CU21" s="6">
        <f>应产率辅助表!P47</f>
        <v>0</v>
      </c>
      <c r="CV21" s="7" t="e">
        <f t="shared" si="52"/>
        <v>#DIV/0!</v>
      </c>
      <c r="CW21" s="5">
        <f>+产品销售数量!AC18*1.08+产品销售数量!AH18*1+产品销售数量!AG18*1.45+产品销售数量!BG18*0.834+产品销售数量!CU18*0.834+产品销售数量!DM18*1.19</f>
        <v>0</v>
      </c>
      <c r="CX21" s="5" t="e">
        <f t="shared" si="53"/>
        <v>#DIV/0!</v>
      </c>
      <c r="CY21" s="5">
        <f t="shared" si="54"/>
        <v>0</v>
      </c>
      <c r="CZ21" s="5" t="e">
        <f t="shared" si="55"/>
        <v>#DIV/0!</v>
      </c>
      <c r="DA21" s="6">
        <f>应产率辅助表!Q18</f>
        <v>0</v>
      </c>
      <c r="DB21" s="6">
        <f>应产率辅助表!Q47</f>
        <v>0</v>
      </c>
      <c r="DC21" s="7" t="e">
        <f t="shared" si="56"/>
        <v>#DIV/0!</v>
      </c>
      <c r="DD21" s="5">
        <f>产品销售数量!AJ18*2+产品销售数量!AK18*1.38+产品销售数量!AL18+产品销售数量!BT18*1.38+产品销售数量!BU18*2</f>
        <v>0</v>
      </c>
      <c r="DE21" s="5" t="e">
        <f t="shared" si="57"/>
        <v>#DIV/0!</v>
      </c>
      <c r="DF21" s="5">
        <f t="shared" si="58"/>
        <v>0</v>
      </c>
      <c r="DG21" s="5" t="e">
        <f t="shared" si="59"/>
        <v>#DIV/0!</v>
      </c>
      <c r="DH21" s="6">
        <f>应产率辅助表!R18</f>
        <v>0</v>
      </c>
      <c r="DI21" s="6">
        <f>应产率辅助表!R47</f>
        <v>0</v>
      </c>
      <c r="DJ21" s="7" t="e">
        <f t="shared" si="60"/>
        <v>#DIV/0!</v>
      </c>
      <c r="DK21" s="5">
        <f>+产品销售数量!AM18*1.375+产品销售数量!AN18+产品销售数量!AO18*0.75+产品销售数量!BR18*0.57</f>
        <v>0</v>
      </c>
      <c r="DL21" s="5" t="e">
        <f t="shared" si="61"/>
        <v>#DIV/0!</v>
      </c>
      <c r="DM21" s="5">
        <f t="shared" si="62"/>
        <v>0</v>
      </c>
      <c r="DN21" s="5" t="e">
        <f t="shared" si="63"/>
        <v>#DIV/0!</v>
      </c>
      <c r="DO21" s="6">
        <f>应产率辅助表!S18+应产率辅助表!T18</f>
        <v>0</v>
      </c>
      <c r="DP21" s="6">
        <f>应产率辅助表!S47+应产率辅助表!T47</f>
        <v>0</v>
      </c>
      <c r="DQ21" s="7" t="e">
        <f t="shared" si="64"/>
        <v>#DIV/0!</v>
      </c>
      <c r="DR21" s="5" t="e">
        <f>+产品销售数量!Y18+产品销售数量!X18+产品销售数量!AB18*3+产品销售数量!CG18*3+产品销售数量!CJ18*2+产品销售数量!BN18*2+产品销售数量!CR18+产品销售数量!CS18+产品销售数量!CT18+产品销售数量!BM18+产品销售数量!#REF!*3+产品销售数量!AA18+产品销售数量!CF18</f>
        <v>#REF!</v>
      </c>
      <c r="DS21" s="5" t="e">
        <f t="shared" si="65"/>
        <v>#REF!</v>
      </c>
      <c r="DT21" s="5" t="e">
        <f t="shared" si="66"/>
        <v>#REF!</v>
      </c>
      <c r="DU21" s="5" t="e">
        <f t="shared" si="67"/>
        <v>#DIV/0!</v>
      </c>
      <c r="DV21" s="6">
        <f>应产率辅助表!U18</f>
        <v>0</v>
      </c>
      <c r="DW21" s="6">
        <f>应产率辅助表!U47</f>
        <v>0</v>
      </c>
      <c r="DX21" s="7" t="e">
        <f t="shared" si="68"/>
        <v>#DIV/0!</v>
      </c>
      <c r="DY21" s="5" t="e">
        <f>+产品销售数量!E18+产品销售数量!F18*2+产品销售数量!G18+产品销售数量!#REF!+产品销售数量!CY18+产品销售数量!DE18+产品销售数量!DH18</f>
        <v>#REF!</v>
      </c>
      <c r="DZ21" s="5" t="e">
        <f t="shared" si="69"/>
        <v>#REF!</v>
      </c>
      <c r="EA21" s="5" t="e">
        <f t="shared" si="70"/>
        <v>#REF!</v>
      </c>
      <c r="EB21" s="5" t="e">
        <f t="shared" si="71"/>
        <v>#DIV/0!</v>
      </c>
      <c r="EC21" s="6">
        <f>应产率辅助表!V18</f>
        <v>0</v>
      </c>
      <c r="ED21" s="6">
        <f>应产率辅助表!V47</f>
        <v>0</v>
      </c>
      <c r="EE21" s="7" t="e">
        <f t="shared" si="72"/>
        <v>#DIV/0!</v>
      </c>
      <c r="EF21" s="5">
        <f>+产品销售数量!AS18</f>
        <v>0</v>
      </c>
      <c r="EG21" s="5" t="e">
        <f t="shared" si="73"/>
        <v>#DIV/0!</v>
      </c>
      <c r="EH21" s="5">
        <f t="shared" si="74"/>
        <v>0</v>
      </c>
      <c r="EI21" s="5" t="e">
        <f t="shared" si="75"/>
        <v>#DIV/0!</v>
      </c>
      <c r="EJ21" s="6">
        <f>应产率辅助表!W18</f>
        <v>0</v>
      </c>
      <c r="EK21" s="6">
        <f>应产率辅助表!W47</f>
        <v>0</v>
      </c>
      <c r="EL21" s="7" t="e">
        <f t="shared" si="76"/>
        <v>#DIV/0!</v>
      </c>
      <c r="EM21" s="5">
        <f>+产品销售数量!AD18+产品销售数量!AE18+产品销售数量!AF18+产品销售数量!AG18+产品销售数量!AH18+产品销售数量!AI18+产品销售数量!AJ18+产品销售数量!AK18+产品销售数量!AL18+产品销售数量!AM18+产品销售数量!AN18+产品销售数量!AO18+产品销售数量!AQ18+产品销售数量!AP18+产品销售数量!AR18+产品销售数量!BR18+产品销售数量!AS18+产品销售数量!CA18+产品销售数量!BE18+产品销售数量!BF18</f>
        <v>0</v>
      </c>
      <c r="EN21" s="5" t="e">
        <f t="shared" si="77"/>
        <v>#DIV/0!</v>
      </c>
      <c r="EO21" s="5">
        <f t="shared" si="78"/>
        <v>0</v>
      </c>
      <c r="EP21" s="5" t="e">
        <f t="shared" si="79"/>
        <v>#DIV/0!</v>
      </c>
      <c r="EQ21" s="6">
        <f>应产率辅助表!X18</f>
        <v>0</v>
      </c>
      <c r="ER21" s="6">
        <f>应产率辅助表!X47</f>
        <v>0</v>
      </c>
      <c r="ES21" s="7" t="e">
        <f t="shared" si="80"/>
        <v>#DIV/0!</v>
      </c>
      <c r="ET21" s="5">
        <f>+产品销售数量!AQ18+产品销售数量!AP18+产品销售数量!AR18+产品销售数量!BR18+产品销售数量!AS18+产品销售数量!CA18+产品销售数量!BE18+产品销售数量!BF18</f>
        <v>0</v>
      </c>
      <c r="EU21" s="5" t="e">
        <f t="shared" si="81"/>
        <v>#DIV/0!</v>
      </c>
      <c r="EV21" s="5">
        <f t="shared" si="82"/>
        <v>0</v>
      </c>
      <c r="EW21" s="5" t="e">
        <f t="shared" si="83"/>
        <v>#DIV/0!</v>
      </c>
      <c r="EX21" s="6">
        <f>应产率辅助表!Y18</f>
        <v>0</v>
      </c>
      <c r="EY21" s="6">
        <f>应产率辅助表!Y47</f>
        <v>0</v>
      </c>
      <c r="EZ21" s="7" t="e">
        <f t="shared" si="84"/>
        <v>#DIV/0!</v>
      </c>
      <c r="FA21" s="5">
        <f>产品销售数量!H18</f>
        <v>0</v>
      </c>
      <c r="FB21" s="5" t="e">
        <f t="shared" si="85"/>
        <v>#DIV/0!</v>
      </c>
      <c r="FC21" s="5">
        <f t="shared" si="86"/>
        <v>0</v>
      </c>
      <c r="FD21" s="5" t="e">
        <f t="shared" si="87"/>
        <v>#DIV/0!</v>
      </c>
      <c r="FE21" s="6">
        <f>应产率辅助表!Z18</f>
        <v>0</v>
      </c>
      <c r="FF21" s="6">
        <f>应产率辅助表!Z47</f>
        <v>0</v>
      </c>
      <c r="FG21" s="7" t="e">
        <f t="shared" si="88"/>
        <v>#DIV/0!</v>
      </c>
      <c r="FH21" s="5">
        <f>+产品销售数量!J18+产品销售数量!K18+产品销售数量!L18+产品销售数量!M18+产品销售数量!O18+产品销售数量!P18+产品销售数量!S18+产品销售数量!T18+产品销售数量!BQ18+产品销售数量!BS18+产品销售数量!CC18+产品销售数量!CH18+产品销售数量!CI18+产品销售数量!CJ18+产品销售数量!CK18+产品销售数量!CL18+产品销售数量!BL18+产品销售数量!AU18++产品销售数量!AW18+产品销售数量!BQ18+产品销售数量!CN18+产品销售数量!CO18+产品销售数量!CQ18+产品销售数量!CX18+产品销售数量!CY18+产品销售数量!CM18</f>
        <v>0</v>
      </c>
      <c r="FI21" s="5" t="e">
        <f t="shared" si="89"/>
        <v>#DIV/0!</v>
      </c>
      <c r="FJ21" s="5">
        <f t="shared" si="90"/>
        <v>0</v>
      </c>
      <c r="FK21" s="5" t="e">
        <f t="shared" si="91"/>
        <v>#DIV/0!</v>
      </c>
      <c r="FL21" s="6">
        <f>应产率辅助表!AA18</f>
        <v>0</v>
      </c>
      <c r="FM21" s="6">
        <f>应产率辅助表!AA47</f>
        <v>0</v>
      </c>
      <c r="FN21" s="7" t="e">
        <f t="shared" si="92"/>
        <v>#DIV/0!</v>
      </c>
      <c r="FO21" s="5">
        <f>+产品销售数量!R18+产品销售数量!CE18</f>
        <v>0</v>
      </c>
      <c r="FP21" s="5" t="e">
        <f t="shared" si="93"/>
        <v>#DIV/0!</v>
      </c>
      <c r="FQ21" s="5">
        <f t="shared" si="94"/>
        <v>0</v>
      </c>
      <c r="FR21" s="5" t="e">
        <f t="shared" si="95"/>
        <v>#DIV/0!</v>
      </c>
      <c r="FS21" s="6">
        <f>应产率辅助表!AB18</f>
        <v>0</v>
      </c>
      <c r="FT21" s="5">
        <f t="shared" si="96"/>
        <v>0</v>
      </c>
      <c r="FU21" s="6">
        <f>应产率辅助表!AB47</f>
        <v>0</v>
      </c>
      <c r="FV21" s="7" t="e">
        <f t="shared" si="97"/>
        <v>#DIV/0!</v>
      </c>
      <c r="FW21" s="5" t="e">
        <f t="shared" si="98"/>
        <v>#DIV/0!</v>
      </c>
      <c r="FX21" s="6">
        <f>应产率辅助表!AC18</f>
        <v>0</v>
      </c>
      <c r="FY21" s="6">
        <f>应产率辅助表!AC47</f>
        <v>0</v>
      </c>
      <c r="FZ21" s="7" t="e">
        <f t="shared" si="99"/>
        <v>#DIV/0!</v>
      </c>
      <c r="GA21" s="5" t="e">
        <f t="shared" si="100"/>
        <v>#DIV/0!</v>
      </c>
      <c r="GB21" s="6">
        <f>应产率辅助表!AD18</f>
        <v>0</v>
      </c>
      <c r="GC21" s="6">
        <f>应产率辅助表!AD47</f>
        <v>0</v>
      </c>
      <c r="GD21" s="7" t="e">
        <f t="shared" si="101"/>
        <v>#DIV/0!</v>
      </c>
      <c r="GE21" s="6">
        <f>应产率辅助表!AE18</f>
        <v>0</v>
      </c>
      <c r="GF21" s="6">
        <f>应产率辅助表!AE47</f>
        <v>0</v>
      </c>
      <c r="GG21" s="7" t="e">
        <f t="shared" si="102"/>
        <v>#DIV/0!</v>
      </c>
      <c r="GH21" s="6">
        <f>应产率辅助表!AF18</f>
        <v>0</v>
      </c>
      <c r="GI21" s="6">
        <f>应产率辅助表!AF47</f>
        <v>0</v>
      </c>
      <c r="GJ21" s="7" t="e">
        <f t="shared" si="103"/>
        <v>#DIV/0!</v>
      </c>
      <c r="GK21" s="6">
        <f>应产率辅助表!AG18</f>
        <v>0</v>
      </c>
      <c r="GL21" s="6">
        <f>应产率辅助表!AG47</f>
        <v>0</v>
      </c>
      <c r="GM21" s="7" t="e">
        <f t="shared" si="104"/>
        <v>#DIV/0!</v>
      </c>
      <c r="GN21" s="6"/>
      <c r="GO21" s="6">
        <f>应产率辅助表!AH18</f>
        <v>0</v>
      </c>
      <c r="GP21" s="6">
        <f>应产率辅助表!AH47</f>
        <v>0</v>
      </c>
      <c r="GQ21" s="7" t="e">
        <f t="shared" si="105"/>
        <v>#DIV/0!</v>
      </c>
      <c r="GR21" s="6">
        <f>应产率辅助表!AI18</f>
        <v>0</v>
      </c>
      <c r="GS21" s="6">
        <f>应产率辅助表!AI47</f>
        <v>0</v>
      </c>
      <c r="GT21" s="7" t="e">
        <f t="shared" si="106"/>
        <v>#DIV/0!</v>
      </c>
      <c r="GU21" s="72">
        <f>应产率辅助表!AJ18</f>
        <v>0</v>
      </c>
      <c r="GV21" s="72">
        <f>应产率辅助表!AJ47</f>
        <v>0</v>
      </c>
      <c r="GW21" s="7" t="e">
        <f t="shared" si="107"/>
        <v>#DIV/0!</v>
      </c>
      <c r="GX21" s="72">
        <f>应产率辅助表!AK18</f>
        <v>0</v>
      </c>
      <c r="GY21" s="72">
        <f>应产率辅助表!AK47</f>
        <v>0</v>
      </c>
      <c r="GZ21" s="7" t="e">
        <f t="shared" si="108"/>
        <v>#DIV/0!</v>
      </c>
      <c r="HA21" s="72">
        <f>应产率辅助表!AL18</f>
        <v>0</v>
      </c>
      <c r="HB21" s="72">
        <f>应产率辅助表!AL47</f>
        <v>0</v>
      </c>
      <c r="HC21" s="7" t="e">
        <f t="shared" si="109"/>
        <v>#DIV/0!</v>
      </c>
      <c r="HD21" s="72">
        <f>应产率辅助表!AM18</f>
        <v>0</v>
      </c>
      <c r="HE21" s="72">
        <f>应产率辅助表!AM47</f>
        <v>0</v>
      </c>
      <c r="HF21" s="7" t="e">
        <f t="shared" si="110"/>
        <v>#DIV/0!</v>
      </c>
      <c r="HG21" s="72">
        <f>应产率辅助表!AN18</f>
        <v>0</v>
      </c>
      <c r="HH21" s="72">
        <f>应产率辅助表!AN47</f>
        <v>0</v>
      </c>
      <c r="HI21" s="7" t="e">
        <f t="shared" si="111"/>
        <v>#DIV/0!</v>
      </c>
      <c r="HJ21" s="72">
        <f>应产率辅助表!AO18</f>
        <v>0</v>
      </c>
      <c r="HK21" s="72">
        <f>应产率辅助表!AO47</f>
        <v>0</v>
      </c>
      <c r="HL21" s="7" t="e">
        <f t="shared" si="112"/>
        <v>#DIV/0!</v>
      </c>
      <c r="HM21" s="72">
        <f>应产率辅助表!AP18</f>
        <v>0</v>
      </c>
      <c r="HN21" s="72">
        <f>应产率辅助表!AP47</f>
        <v>0</v>
      </c>
      <c r="HO21" s="7" t="e">
        <f t="shared" si="113"/>
        <v>#DIV/0!</v>
      </c>
      <c r="HP21" s="6"/>
      <c r="HQ21" s="6">
        <f t="shared" si="175"/>
        <v>0</v>
      </c>
      <c r="HR21" s="5" t="e">
        <f t="shared" si="115"/>
        <v>#DIV/0!</v>
      </c>
      <c r="HS21" s="6">
        <v>0</v>
      </c>
      <c r="HT21" s="6">
        <v>0</v>
      </c>
      <c r="HU21" s="5" t="e">
        <f t="shared" si="116"/>
        <v>#DIV/0!</v>
      </c>
      <c r="HV21" s="6">
        <v>0</v>
      </c>
      <c r="HW21" s="6">
        <v>0</v>
      </c>
      <c r="HX21" s="5" t="e">
        <f t="shared" si="117"/>
        <v>#DIV/0!</v>
      </c>
      <c r="HY21" s="5"/>
      <c r="HZ21" s="5"/>
      <c r="IA21" s="5" t="e">
        <f t="shared" si="166"/>
        <v>#DIV/0!</v>
      </c>
      <c r="IB21" s="5">
        <f t="shared" si="118"/>
        <v>0</v>
      </c>
      <c r="IC21" s="5">
        <f t="shared" si="118"/>
        <v>0</v>
      </c>
      <c r="ID21" s="5" t="e">
        <f t="shared" si="119"/>
        <v>#DIV/0!</v>
      </c>
      <c r="IE21" s="7">
        <f t="shared" si="120"/>
        <v>0</v>
      </c>
      <c r="IF21" s="7">
        <f t="shared" si="120"/>
        <v>0</v>
      </c>
      <c r="IG21" s="5" t="e">
        <f t="shared" si="121"/>
        <v>#DIV/0!</v>
      </c>
      <c r="IH21" s="5" t="e">
        <f t="shared" si="122"/>
        <v>#DIV/0!</v>
      </c>
      <c r="II21" s="5" t="e">
        <f t="shared" si="123"/>
        <v>#DIV/0!</v>
      </c>
      <c r="IJ21" s="8" t="e">
        <f t="shared" si="124"/>
        <v>#DIV/0!</v>
      </c>
      <c r="IK21" s="8" t="e">
        <f t="shared" si="125"/>
        <v>#DIV/0!</v>
      </c>
      <c r="IL21" s="8" t="e">
        <f t="shared" si="126"/>
        <v>#DIV/0!</v>
      </c>
      <c r="IM21" s="8" t="e">
        <f t="shared" si="127"/>
        <v>#DIV/0!</v>
      </c>
      <c r="IN21" s="8" t="e">
        <f t="shared" si="128"/>
        <v>#DIV/0!</v>
      </c>
      <c r="IO21" s="8" t="e">
        <f t="shared" si="129"/>
        <v>#DIV/0!</v>
      </c>
      <c r="IP21" s="8" t="e">
        <f t="shared" si="130"/>
        <v>#DIV/0!</v>
      </c>
      <c r="IQ21" s="8" t="e">
        <f t="shared" si="131"/>
        <v>#DIV/0!</v>
      </c>
      <c r="IR21" s="8" t="e">
        <f t="shared" si="132"/>
        <v>#DIV/0!</v>
      </c>
      <c r="IS21" s="8" t="e">
        <f t="shared" si="133"/>
        <v>#DIV/0!</v>
      </c>
      <c r="IT21" s="8" t="e">
        <f t="shared" si="134"/>
        <v>#DIV/0!</v>
      </c>
      <c r="IU21" s="8" t="e">
        <f t="shared" si="135"/>
        <v>#DIV/0!</v>
      </c>
      <c r="IV21" s="8" t="e">
        <f t="shared" si="136"/>
        <v>#DIV/0!</v>
      </c>
      <c r="IW21" s="8" t="e">
        <f t="shared" si="137"/>
        <v>#DIV/0!</v>
      </c>
      <c r="IX21" s="8" t="e">
        <f t="shared" si="138"/>
        <v>#DIV/0!</v>
      </c>
      <c r="IY21" s="8" t="e">
        <f t="shared" si="139"/>
        <v>#DIV/0!</v>
      </c>
      <c r="IZ21" s="8" t="e">
        <f t="shared" si="140"/>
        <v>#DIV/0!</v>
      </c>
      <c r="JA21" s="8" t="e">
        <f t="shared" si="141"/>
        <v>#DIV/0!</v>
      </c>
      <c r="JB21" s="8" t="e">
        <f t="shared" si="142"/>
        <v>#DIV/0!</v>
      </c>
      <c r="JC21" s="8" t="e">
        <f t="shared" si="143"/>
        <v>#DIV/0!</v>
      </c>
      <c r="JD21" s="8" t="e">
        <f t="shared" si="144"/>
        <v>#DIV/0!</v>
      </c>
      <c r="JE21" s="8" t="e">
        <f t="shared" si="145"/>
        <v>#DIV/0!</v>
      </c>
      <c r="JF21" s="8" t="e">
        <f t="shared" si="146"/>
        <v>#DIV/0!</v>
      </c>
      <c r="JG21" s="8" t="e">
        <f t="shared" si="147"/>
        <v>#DIV/0!</v>
      </c>
      <c r="JH21" s="8" t="e">
        <f t="shared" si="148"/>
        <v>#DIV/0!</v>
      </c>
      <c r="JI21" s="8" t="e">
        <f t="shared" si="149"/>
        <v>#DIV/0!</v>
      </c>
      <c r="JJ21" s="8" t="e">
        <f t="shared" si="150"/>
        <v>#DIV/0!</v>
      </c>
      <c r="JK21" s="8" t="e">
        <f t="shared" si="151"/>
        <v>#DIV/0!</v>
      </c>
      <c r="JL21" s="8" t="e">
        <f t="shared" si="152"/>
        <v>#DIV/0!</v>
      </c>
      <c r="JM21" s="8" t="e">
        <f t="shared" si="153"/>
        <v>#DIV/0!</v>
      </c>
      <c r="JN21" s="8" t="e">
        <f t="shared" si="154"/>
        <v>#DIV/0!</v>
      </c>
      <c r="JO21" s="8" t="e">
        <f t="shared" si="155"/>
        <v>#DIV/0!</v>
      </c>
      <c r="JP21" s="9" t="e">
        <f t="shared" si="156"/>
        <v>#DIV/0!</v>
      </c>
      <c r="JQ21" s="9" t="e">
        <f t="shared" si="157"/>
        <v>#DIV/0!</v>
      </c>
      <c r="JR21" s="9" t="e">
        <f t="shared" si="158"/>
        <v>#DIV/0!</v>
      </c>
      <c r="JS21" s="9" t="e">
        <f t="shared" si="159"/>
        <v>#DIV/0!</v>
      </c>
      <c r="JT21" s="9" t="e">
        <f t="shared" si="160"/>
        <v>#DIV/0!</v>
      </c>
      <c r="JU21" s="9" t="e">
        <f t="shared" si="161"/>
        <v>#DIV/0!</v>
      </c>
      <c r="JV21" s="9" t="e">
        <f t="shared" si="162"/>
        <v>#DIV/0!</v>
      </c>
      <c r="JW21" s="9" t="e">
        <f t="shared" si="163"/>
        <v>#DIV/0!</v>
      </c>
    </row>
    <row r="22" spans="1:283" s="11" customFormat="1" ht="18" hidden="1" customHeight="1" x14ac:dyDescent="0.15">
      <c r="A22" s="10"/>
      <c r="B22" s="5"/>
      <c r="C22" s="5"/>
      <c r="D22" s="55"/>
      <c r="E22" s="56">
        <f>产品销售数量!D19</f>
        <v>0</v>
      </c>
      <c r="F22" s="6">
        <f>应产率辅助表!C19</f>
        <v>0</v>
      </c>
      <c r="G22" s="6">
        <f>应产率辅助表!C48</f>
        <v>0</v>
      </c>
      <c r="H22" s="7" t="e">
        <f t="shared" si="1"/>
        <v>#DIV/0!</v>
      </c>
      <c r="I22" s="5">
        <f>产品销售数量!E19+产品销售数量!F19*1.36</f>
        <v>0</v>
      </c>
      <c r="J22" s="5" t="e">
        <f t="shared" si="164"/>
        <v>#DIV/0!</v>
      </c>
      <c r="K22" s="5">
        <f t="shared" si="2"/>
        <v>0</v>
      </c>
      <c r="L22" s="5" t="e">
        <f t="shared" si="3"/>
        <v>#DIV/0!</v>
      </c>
      <c r="M22" s="6">
        <f>应产率辅助表!D19</f>
        <v>0</v>
      </c>
      <c r="N22" s="6">
        <f>应产率辅助表!D48</f>
        <v>0</v>
      </c>
      <c r="O22" s="7" t="e">
        <f t="shared" si="4"/>
        <v>#DIV/0!</v>
      </c>
      <c r="P22" s="5">
        <f>+产品销售数量!H19</f>
        <v>0</v>
      </c>
      <c r="Q22" s="5" t="e">
        <f t="shared" si="5"/>
        <v>#DIV/0!</v>
      </c>
      <c r="R22" s="5">
        <f t="shared" si="6"/>
        <v>0</v>
      </c>
      <c r="S22" s="5" t="e">
        <f t="shared" si="7"/>
        <v>#DIV/0!</v>
      </c>
      <c r="T22" s="6">
        <f>应产率辅助表!E19</f>
        <v>0</v>
      </c>
      <c r="U22" s="6">
        <f>应产率辅助表!E48</f>
        <v>0</v>
      </c>
      <c r="V22" s="7" t="e">
        <f t="shared" si="8"/>
        <v>#DIV/0!</v>
      </c>
      <c r="W22" s="5">
        <f>+产品销售数量!V19+产品销售数量!CP19</f>
        <v>0</v>
      </c>
      <c r="X22" s="5" t="e">
        <f t="shared" si="9"/>
        <v>#DIV/0!</v>
      </c>
      <c r="Y22" s="5">
        <f t="shared" si="10"/>
        <v>0</v>
      </c>
      <c r="Z22" s="5" t="e">
        <f t="shared" si="11"/>
        <v>#DIV/0!</v>
      </c>
      <c r="AA22" s="6">
        <f>应产率辅助表!F19</f>
        <v>0</v>
      </c>
      <c r="AB22" s="6">
        <f>应产率辅助表!F48</f>
        <v>0</v>
      </c>
      <c r="AC22" s="7" t="e">
        <f t="shared" si="12"/>
        <v>#DIV/0!</v>
      </c>
      <c r="AD22" s="5">
        <f>产品销售数量!J19*1.5+产品销售数量!K19*1.5+产品销售数量!L19*1.5+产品销售数量!O19*1.5+产品销售数量!P19*1.5+产品销售数量!S19*1.5+产品销售数量!T19*1.5+产品销售数量!CH19*1.35+产品销售数量!M19*1.5+产品销售数量!CK19*0.89*1.5+产品销售数量!BL19*1.35+产品销售数量!AU19*0.9+产品销售数量!AW19*0.9+产品销售数量!BB19*1.5+产品销售数量!CN19*1.35+产品销售数量!CO19*1.35+产品销售数量!CQ19*1.5+产品销售数量!CX19*1.5+产品销售数量!CY19*1.35+产品销售数量!CZ19*1.35</f>
        <v>0</v>
      </c>
      <c r="AE22" s="5" t="e">
        <f t="shared" si="13"/>
        <v>#DIV/0!</v>
      </c>
      <c r="AF22" s="5">
        <f t="shared" si="14"/>
        <v>0</v>
      </c>
      <c r="AG22" s="5" t="e">
        <f t="shared" si="15"/>
        <v>#DIV/0!</v>
      </c>
      <c r="AH22" s="6">
        <f t="shared" si="165"/>
        <v>0</v>
      </c>
      <c r="AI22" s="6">
        <f>应产率辅助表!G19</f>
        <v>0</v>
      </c>
      <c r="AJ22" s="6">
        <f>应产率辅助表!G48</f>
        <v>0</v>
      </c>
      <c r="AK22" s="7" t="e">
        <f t="shared" si="17"/>
        <v>#DIV/0!</v>
      </c>
      <c r="AL22" s="5" t="e">
        <f>+产品销售数量!J19*1.13+产品销售数量!K19*1.13+产品销售数量!O19*1.13+产品销售数量!U19+产品销售数量!V19*2.6+产品销售数量!W19*2.6+产品销售数量!X19*1.6+产品销售数量!Y19+产品销售数量!AB19*1.74+产品销售数量!BC19*1.19+产品销售数量!BL19*0.98+产品销售数量!BM19*0.74+产品销售数量!BN19*4.495+产品销售数量!BQ19*2.29+产品销售数量!BV19*2.56+产品销售数量!CG19*1.74+产品销售数量!CJ19*0.8+产品销售数量!CK19*1.13+产品销售数量!CM19*1.19+产品销售数量!CO19*0.98+产品销售数量!CP19*2.62+产品销售数量!CQ19*1.13+产品销售数量!CR19*1.4+产品销售数量!CS19*1.4+产品销售数量!CT19*1.4+产品销售数量!#REF!*5.29+产品销售数量!CV19*1.13+产品销售数量!CW19*0.98+产品销售数量!CX19*0.378+产品销售数量!CY19*1.19+产品销售数量!DA19*0.87+产品销售数量!DB19*1.5+产品销售数量!DI19*0.595+产品销售数量!DK19*1.74</f>
        <v>#REF!</v>
      </c>
      <c r="AM22" s="5" t="e">
        <f t="shared" si="18"/>
        <v>#REF!</v>
      </c>
      <c r="AN22" s="5" t="e">
        <f t="shared" si="19"/>
        <v>#REF!</v>
      </c>
      <c r="AO22" s="5" t="e">
        <f t="shared" si="20"/>
        <v>#DIV/0!</v>
      </c>
      <c r="AP22" s="6">
        <f>应产率辅助表!H19</f>
        <v>0</v>
      </c>
      <c r="AQ22" s="6">
        <f>应产率辅助表!H48</f>
        <v>0</v>
      </c>
      <c r="AR22" s="7" t="e">
        <f t="shared" si="21"/>
        <v>#DIV/0!</v>
      </c>
      <c r="AS22" s="5">
        <f>产品销售数量!I19*0.858+产品销售数量!Z19*0.686+产品销售数量!AA19*1.79+产品销售数量!CF19*1.79+产品销售数量!CL19*0.89</f>
        <v>0</v>
      </c>
      <c r="AT22" s="5" t="e">
        <f t="shared" si="22"/>
        <v>#DIV/0!</v>
      </c>
      <c r="AU22" s="5">
        <f t="shared" si="23"/>
        <v>0</v>
      </c>
      <c r="AV22" s="5" t="e">
        <f t="shared" si="24"/>
        <v>#DIV/0!</v>
      </c>
      <c r="AW22" s="6">
        <f>应产率辅助表!I19</f>
        <v>0</v>
      </c>
      <c r="AX22" s="6">
        <f>应产率辅助表!I48</f>
        <v>0</v>
      </c>
      <c r="AY22" s="7" t="e">
        <f t="shared" si="25"/>
        <v>#DIV/0!</v>
      </c>
      <c r="AZ22" s="5">
        <f>+产品销售数量!I19*0.857+产品销售数量!Z19*0.485+产品销售数量!AA19*1.88+产品销售数量!CF19*1.88+产品销售数量!CL19*0.89</f>
        <v>0</v>
      </c>
      <c r="BA22" s="5" t="e">
        <f t="shared" si="26"/>
        <v>#DIV/0!</v>
      </c>
      <c r="BB22" s="5">
        <f t="shared" si="27"/>
        <v>0</v>
      </c>
      <c r="BC22" s="5" t="e">
        <f t="shared" si="28"/>
        <v>#DIV/0!</v>
      </c>
      <c r="BD22" s="6">
        <f>应产率辅助表!J19</f>
        <v>0</v>
      </c>
      <c r="BE22" s="6">
        <f>应产率辅助表!J48</f>
        <v>0</v>
      </c>
      <c r="BF22" s="7" t="e">
        <f t="shared" si="167"/>
        <v>#DIV/0!</v>
      </c>
      <c r="BG22" s="5">
        <f>+产品销售数量!J19*2+产品销售数量!L19*0.93+产品销售数量!O19*2+产品销售数量!P19*0.93+产品销售数量!U19*1.93+产品销售数量!W19*2+产品销售数量!V19*3.79+产品销售数量!I19*2.678+产品销售数量!CK19*1.32+产品销售数量!CQ19*2</f>
        <v>0</v>
      </c>
      <c r="BH22" s="5" t="e">
        <f t="shared" si="168"/>
        <v>#DIV/0!</v>
      </c>
      <c r="BI22" s="5">
        <f t="shared" si="169"/>
        <v>0</v>
      </c>
      <c r="BJ22" s="5" t="e">
        <f t="shared" si="170"/>
        <v>#DIV/0!</v>
      </c>
      <c r="BK22" s="6">
        <f>应产率辅助表!K19</f>
        <v>0</v>
      </c>
      <c r="BL22" s="6">
        <f>应产率辅助表!K48</f>
        <v>0</v>
      </c>
      <c r="BM22" s="7" t="e">
        <f t="shared" si="33"/>
        <v>#DIV/0!</v>
      </c>
      <c r="BN22" s="5" t="e">
        <f>产品销售数量!K19*1.125+产品销售数量!Y19*4.12+产品销售数量!X19*5.5+产品销售数量!AA19*13.25+产品销售数量!AB19*13.25+产品销售数量!BN19*6.87+产品销售数量!BV19+产品销售数量!CF19*13.25+产品销售数量!CG19*13.25+产品销售数量!CJ19*6.63+产品销售数量!CL19*6.63+产品销售数量!CR19*2.25+产品销售数量!CS19*2.25+产品销售数量!CT19*2.25+产品销售数量!#REF!*6.87++产品销售数量!CV19*0.75+产品销售数量!DA19*6.63+产品销售数量!DJ19*13.25+产品销售数量!DK19*13.25</f>
        <v>#REF!</v>
      </c>
      <c r="BO22" s="5" t="e">
        <f t="shared" si="0"/>
        <v>#REF!</v>
      </c>
      <c r="BP22" s="5" t="e">
        <f t="shared" si="34"/>
        <v>#REF!</v>
      </c>
      <c r="BQ22" s="5" t="e">
        <f t="shared" si="35"/>
        <v>#DIV/0!</v>
      </c>
      <c r="BR22" s="6">
        <f>应产率辅助表!L19</f>
        <v>0</v>
      </c>
      <c r="BS22" s="6">
        <f>应产率辅助表!L48</f>
        <v>0</v>
      </c>
      <c r="BT22" s="7" t="e">
        <f t="shared" si="171"/>
        <v>#DIV/0!</v>
      </c>
      <c r="BU22" s="5">
        <f>产品销售数量!O19+产品销售数量!P19+产品销售数量!CI19*1.5+产品销售数量!CK19*0.89+产品销售数量!M19*1.34</f>
        <v>0</v>
      </c>
      <c r="BV22" s="5" t="e">
        <f t="shared" si="172"/>
        <v>#DIV/0!</v>
      </c>
      <c r="BW22" s="5">
        <f t="shared" si="173"/>
        <v>0</v>
      </c>
      <c r="BX22" s="5" t="e">
        <f t="shared" si="174"/>
        <v>#DIV/0!</v>
      </c>
      <c r="BY22" s="6">
        <f>应产率辅助表!M19</f>
        <v>0</v>
      </c>
      <c r="BZ22" s="6">
        <f>应产率辅助表!M48</f>
        <v>0</v>
      </c>
      <c r="CA22" s="7" t="e">
        <f t="shared" si="40"/>
        <v>#DIV/0!</v>
      </c>
      <c r="CB22" s="5">
        <f>+产品销售数量!J19+产品销售数量!K19+产品销售数量!L19+产品销售数量!O19+产品销售数量!P19+产品销售数量!S19+产品销售数量!T19+产品销售数量!AU19*0.9+产品销售数量!AW19*0.9+产品销售数量!BL19*0.9+产品销售数量!CH19*0.9+产品销售数量!CK19*0.9+产品销售数量!CN19*0.9+产品销售数量!CO19*0.9+产品销售数量!CQ19+产品销售数量!CV19+产品销售数量!CW19*0.9+产品销售数量!DB19</f>
        <v>0</v>
      </c>
      <c r="CC22" s="5" t="e">
        <f t="shared" si="41"/>
        <v>#DIV/0!</v>
      </c>
      <c r="CD22" s="5">
        <f t="shared" si="42"/>
        <v>0</v>
      </c>
      <c r="CE22" s="5" t="e">
        <f t="shared" si="43"/>
        <v>#DIV/0!</v>
      </c>
      <c r="CF22" s="6">
        <f>应产率辅助表!N19</f>
        <v>0</v>
      </c>
      <c r="CG22" s="6">
        <f>应产率辅助表!N48</f>
        <v>0</v>
      </c>
      <c r="CH22" s="7" t="e">
        <f t="shared" si="44"/>
        <v>#DIV/0!</v>
      </c>
      <c r="CI22" s="5">
        <f>产品销售数量!P19+产品销售数量!Z19*1.4+产品销售数量!L19</f>
        <v>0</v>
      </c>
      <c r="CJ22" s="5" t="e">
        <f t="shared" si="45"/>
        <v>#DIV/0!</v>
      </c>
      <c r="CK22" s="5">
        <f t="shared" si="46"/>
        <v>0</v>
      </c>
      <c r="CL22" s="5" t="e">
        <f t="shared" si="47"/>
        <v>#DIV/0!</v>
      </c>
      <c r="CM22" s="6">
        <f>应产率辅助表!O19</f>
        <v>0</v>
      </c>
      <c r="CN22" s="6">
        <f>应产率辅助表!O48</f>
        <v>0</v>
      </c>
      <c r="CO22" s="7" t="e">
        <f t="shared" si="48"/>
        <v>#DIV/0!</v>
      </c>
      <c r="CP22" s="5">
        <f>+产品销售数量!AE19*1.04+产品销售数量!AD19*1.279+产品销售数量!BW19*1.04+产品销售数量!BX19*1.279</f>
        <v>0</v>
      </c>
      <c r="CQ22" s="5" t="e">
        <f t="shared" si="49"/>
        <v>#DIV/0!</v>
      </c>
      <c r="CR22" s="5">
        <f t="shared" si="50"/>
        <v>0</v>
      </c>
      <c r="CS22" s="5" t="e">
        <f t="shared" si="51"/>
        <v>#DIV/0!</v>
      </c>
      <c r="CT22" s="6">
        <f>应产率辅助表!P19</f>
        <v>0</v>
      </c>
      <c r="CU22" s="6">
        <f>应产率辅助表!P48</f>
        <v>0</v>
      </c>
      <c r="CV22" s="7" t="e">
        <f t="shared" si="52"/>
        <v>#DIV/0!</v>
      </c>
      <c r="CW22" s="5">
        <f>+产品销售数量!AC19*1.08+产品销售数量!AH19*1+产品销售数量!AG19*1.45+产品销售数量!BG19*0.834+产品销售数量!CU19*0.834+产品销售数量!DM19*1.19</f>
        <v>0</v>
      </c>
      <c r="CX22" s="5" t="e">
        <f t="shared" si="53"/>
        <v>#DIV/0!</v>
      </c>
      <c r="CY22" s="5">
        <f t="shared" si="54"/>
        <v>0</v>
      </c>
      <c r="CZ22" s="5" t="e">
        <f t="shared" si="55"/>
        <v>#DIV/0!</v>
      </c>
      <c r="DA22" s="6">
        <f>应产率辅助表!Q19</f>
        <v>0</v>
      </c>
      <c r="DB22" s="6">
        <f>应产率辅助表!Q48</f>
        <v>0</v>
      </c>
      <c r="DC22" s="7" t="e">
        <f t="shared" si="56"/>
        <v>#DIV/0!</v>
      </c>
      <c r="DD22" s="5">
        <f>产品销售数量!AJ19*2+产品销售数量!AK19*1.38+产品销售数量!AL19+产品销售数量!BT19*1.38+产品销售数量!BU19*2</f>
        <v>0</v>
      </c>
      <c r="DE22" s="5" t="e">
        <f t="shared" si="57"/>
        <v>#DIV/0!</v>
      </c>
      <c r="DF22" s="5">
        <f t="shared" si="58"/>
        <v>0</v>
      </c>
      <c r="DG22" s="5" t="e">
        <f t="shared" si="59"/>
        <v>#DIV/0!</v>
      </c>
      <c r="DH22" s="6">
        <f>应产率辅助表!R19</f>
        <v>0</v>
      </c>
      <c r="DI22" s="6">
        <f>应产率辅助表!R48</f>
        <v>0</v>
      </c>
      <c r="DJ22" s="7" t="e">
        <f t="shared" si="60"/>
        <v>#DIV/0!</v>
      </c>
      <c r="DK22" s="5">
        <f>+产品销售数量!AM19*1.375+产品销售数量!AN19+产品销售数量!AO19*0.75+产品销售数量!BR19*0.57</f>
        <v>0</v>
      </c>
      <c r="DL22" s="5" t="e">
        <f t="shared" si="61"/>
        <v>#DIV/0!</v>
      </c>
      <c r="DM22" s="5">
        <f t="shared" si="62"/>
        <v>0</v>
      </c>
      <c r="DN22" s="5" t="e">
        <f t="shared" si="63"/>
        <v>#DIV/0!</v>
      </c>
      <c r="DO22" s="6">
        <f>应产率辅助表!S19+应产率辅助表!T19</f>
        <v>0</v>
      </c>
      <c r="DP22" s="6">
        <f>应产率辅助表!S48+应产率辅助表!T48</f>
        <v>0</v>
      </c>
      <c r="DQ22" s="7" t="e">
        <f t="shared" si="64"/>
        <v>#DIV/0!</v>
      </c>
      <c r="DR22" s="5" t="e">
        <f>+产品销售数量!Y19+产品销售数量!X19+产品销售数量!AB19*3+产品销售数量!CG19*3+产品销售数量!CJ19*2+产品销售数量!BN19*2+产品销售数量!CR19+产品销售数量!CS19+产品销售数量!CT19+产品销售数量!BM19+产品销售数量!#REF!*3+产品销售数量!AA19+产品销售数量!CF19</f>
        <v>#REF!</v>
      </c>
      <c r="DS22" s="5" t="e">
        <f t="shared" si="65"/>
        <v>#REF!</v>
      </c>
      <c r="DT22" s="5" t="e">
        <f t="shared" si="66"/>
        <v>#REF!</v>
      </c>
      <c r="DU22" s="5" t="e">
        <f t="shared" si="67"/>
        <v>#DIV/0!</v>
      </c>
      <c r="DV22" s="6">
        <f>应产率辅助表!U19</f>
        <v>0</v>
      </c>
      <c r="DW22" s="6">
        <f>应产率辅助表!U48</f>
        <v>0</v>
      </c>
      <c r="DX22" s="7" t="e">
        <f t="shared" si="68"/>
        <v>#DIV/0!</v>
      </c>
      <c r="DY22" s="5" t="e">
        <f>+产品销售数量!E19+产品销售数量!F19*2+产品销售数量!G19+产品销售数量!#REF!+产品销售数量!CY19+产品销售数量!DE19+产品销售数量!DH19</f>
        <v>#REF!</v>
      </c>
      <c r="DZ22" s="5" t="e">
        <f t="shared" si="69"/>
        <v>#REF!</v>
      </c>
      <c r="EA22" s="5" t="e">
        <f t="shared" si="70"/>
        <v>#REF!</v>
      </c>
      <c r="EB22" s="5" t="e">
        <f t="shared" si="71"/>
        <v>#DIV/0!</v>
      </c>
      <c r="EC22" s="6">
        <f>应产率辅助表!V19</f>
        <v>0</v>
      </c>
      <c r="ED22" s="6">
        <f>应产率辅助表!V48</f>
        <v>0</v>
      </c>
      <c r="EE22" s="7" t="e">
        <f t="shared" si="72"/>
        <v>#DIV/0!</v>
      </c>
      <c r="EF22" s="5">
        <f>+产品销售数量!AS19</f>
        <v>0</v>
      </c>
      <c r="EG22" s="5" t="e">
        <f t="shared" si="73"/>
        <v>#DIV/0!</v>
      </c>
      <c r="EH22" s="5">
        <f t="shared" si="74"/>
        <v>0</v>
      </c>
      <c r="EI22" s="5" t="e">
        <f t="shared" si="75"/>
        <v>#DIV/0!</v>
      </c>
      <c r="EJ22" s="6">
        <f>应产率辅助表!W19</f>
        <v>0</v>
      </c>
      <c r="EK22" s="6">
        <f>应产率辅助表!W48</f>
        <v>0</v>
      </c>
      <c r="EL22" s="7" t="e">
        <f t="shared" si="76"/>
        <v>#DIV/0!</v>
      </c>
      <c r="EM22" s="5">
        <f>+产品销售数量!AD19+产品销售数量!AE19+产品销售数量!AF19+产品销售数量!AG19+产品销售数量!AH19+产品销售数量!AI19+产品销售数量!AJ19+产品销售数量!AK19+产品销售数量!AL19+产品销售数量!AM19+产品销售数量!AN19+产品销售数量!AO19+产品销售数量!AQ19+产品销售数量!AP19+产品销售数量!AR19+产品销售数量!BR19+产品销售数量!AS19+产品销售数量!CA19+产品销售数量!BE19+产品销售数量!BF19</f>
        <v>0</v>
      </c>
      <c r="EN22" s="5" t="e">
        <f t="shared" si="77"/>
        <v>#DIV/0!</v>
      </c>
      <c r="EO22" s="5">
        <f t="shared" si="78"/>
        <v>0</v>
      </c>
      <c r="EP22" s="5" t="e">
        <f t="shared" si="79"/>
        <v>#DIV/0!</v>
      </c>
      <c r="EQ22" s="6">
        <f>应产率辅助表!X19</f>
        <v>0</v>
      </c>
      <c r="ER22" s="6">
        <f>应产率辅助表!X48</f>
        <v>0</v>
      </c>
      <c r="ES22" s="7" t="e">
        <f t="shared" si="80"/>
        <v>#DIV/0!</v>
      </c>
      <c r="ET22" s="5">
        <f>+产品销售数量!AQ19+产品销售数量!AP19+产品销售数量!AR19+产品销售数量!BR19+产品销售数量!AS19+产品销售数量!CA19+产品销售数量!BE19+产品销售数量!BF19</f>
        <v>0</v>
      </c>
      <c r="EU22" s="5" t="e">
        <f t="shared" si="81"/>
        <v>#DIV/0!</v>
      </c>
      <c r="EV22" s="5">
        <f t="shared" si="82"/>
        <v>0</v>
      </c>
      <c r="EW22" s="5" t="e">
        <f t="shared" si="83"/>
        <v>#DIV/0!</v>
      </c>
      <c r="EX22" s="6">
        <f>应产率辅助表!Y19</f>
        <v>0</v>
      </c>
      <c r="EY22" s="6">
        <f>应产率辅助表!Y48</f>
        <v>0</v>
      </c>
      <c r="EZ22" s="7" t="e">
        <f t="shared" si="84"/>
        <v>#DIV/0!</v>
      </c>
      <c r="FA22" s="5">
        <f>产品销售数量!H19</f>
        <v>0</v>
      </c>
      <c r="FB22" s="5" t="e">
        <f t="shared" si="85"/>
        <v>#DIV/0!</v>
      </c>
      <c r="FC22" s="5">
        <f t="shared" si="86"/>
        <v>0</v>
      </c>
      <c r="FD22" s="5" t="e">
        <f t="shared" si="87"/>
        <v>#DIV/0!</v>
      </c>
      <c r="FE22" s="6">
        <f>应产率辅助表!Z19</f>
        <v>0</v>
      </c>
      <c r="FF22" s="6">
        <f>应产率辅助表!Z48</f>
        <v>0</v>
      </c>
      <c r="FG22" s="7" t="e">
        <f t="shared" si="88"/>
        <v>#DIV/0!</v>
      </c>
      <c r="FH22" s="5">
        <f>+产品销售数量!J19+产品销售数量!K19+产品销售数量!L19+产品销售数量!M19+产品销售数量!O19+产品销售数量!P19+产品销售数量!S19+产品销售数量!T19+产品销售数量!BQ19+产品销售数量!BS19+产品销售数量!CC19+产品销售数量!CH19+产品销售数量!CI19+产品销售数量!CJ19+产品销售数量!CK19+产品销售数量!CL19+产品销售数量!BL19+产品销售数量!AU19++产品销售数量!AW19+产品销售数量!BQ19+产品销售数量!CN19+产品销售数量!CO19+产品销售数量!CQ19+产品销售数量!CX19+产品销售数量!CY19+产品销售数量!CM19</f>
        <v>0</v>
      </c>
      <c r="FI22" s="5" t="e">
        <f t="shared" si="89"/>
        <v>#DIV/0!</v>
      </c>
      <c r="FJ22" s="5">
        <f t="shared" si="90"/>
        <v>0</v>
      </c>
      <c r="FK22" s="5" t="e">
        <f t="shared" si="91"/>
        <v>#DIV/0!</v>
      </c>
      <c r="FL22" s="6">
        <f>应产率辅助表!AA19</f>
        <v>0</v>
      </c>
      <c r="FM22" s="6">
        <f>应产率辅助表!AA48</f>
        <v>0</v>
      </c>
      <c r="FN22" s="7" t="e">
        <f t="shared" si="92"/>
        <v>#DIV/0!</v>
      </c>
      <c r="FO22" s="5">
        <f>+产品销售数量!R19+产品销售数量!CE19</f>
        <v>0</v>
      </c>
      <c r="FP22" s="5" t="e">
        <f t="shared" si="93"/>
        <v>#DIV/0!</v>
      </c>
      <c r="FQ22" s="5">
        <f t="shared" si="94"/>
        <v>0</v>
      </c>
      <c r="FR22" s="5" t="e">
        <f t="shared" si="95"/>
        <v>#DIV/0!</v>
      </c>
      <c r="FS22" s="6">
        <f>应产率辅助表!AB19</f>
        <v>0</v>
      </c>
      <c r="FT22" s="5">
        <f t="shared" si="96"/>
        <v>0</v>
      </c>
      <c r="FU22" s="6">
        <f>应产率辅助表!AB48</f>
        <v>0</v>
      </c>
      <c r="FV22" s="7" t="e">
        <f t="shared" si="97"/>
        <v>#DIV/0!</v>
      </c>
      <c r="FW22" s="5" t="e">
        <f t="shared" si="98"/>
        <v>#DIV/0!</v>
      </c>
      <c r="FX22" s="6">
        <f>应产率辅助表!AC19</f>
        <v>0</v>
      </c>
      <c r="FY22" s="6">
        <f>应产率辅助表!AC48</f>
        <v>0</v>
      </c>
      <c r="FZ22" s="7" t="e">
        <f t="shared" si="99"/>
        <v>#DIV/0!</v>
      </c>
      <c r="GA22" s="5" t="e">
        <f t="shared" si="100"/>
        <v>#DIV/0!</v>
      </c>
      <c r="GB22" s="6">
        <f>应产率辅助表!AD19</f>
        <v>0</v>
      </c>
      <c r="GC22" s="6">
        <f>应产率辅助表!AD48</f>
        <v>0</v>
      </c>
      <c r="GD22" s="7" t="e">
        <f t="shared" si="101"/>
        <v>#DIV/0!</v>
      </c>
      <c r="GE22" s="6">
        <f>应产率辅助表!AE19</f>
        <v>0</v>
      </c>
      <c r="GF22" s="6">
        <f>应产率辅助表!AE48</f>
        <v>0</v>
      </c>
      <c r="GG22" s="7" t="e">
        <f t="shared" si="102"/>
        <v>#DIV/0!</v>
      </c>
      <c r="GH22" s="6">
        <f>应产率辅助表!AF19</f>
        <v>0</v>
      </c>
      <c r="GI22" s="6">
        <f>应产率辅助表!AF48</f>
        <v>0</v>
      </c>
      <c r="GJ22" s="7" t="e">
        <f t="shared" si="103"/>
        <v>#DIV/0!</v>
      </c>
      <c r="GK22" s="6">
        <f>应产率辅助表!AG19</f>
        <v>0</v>
      </c>
      <c r="GL22" s="6">
        <f>应产率辅助表!AG48</f>
        <v>0</v>
      </c>
      <c r="GM22" s="7" t="e">
        <f t="shared" si="104"/>
        <v>#DIV/0!</v>
      </c>
      <c r="GN22" s="6"/>
      <c r="GO22" s="6">
        <f>应产率辅助表!AH19</f>
        <v>0</v>
      </c>
      <c r="GP22" s="6">
        <f>应产率辅助表!AH48</f>
        <v>0</v>
      </c>
      <c r="GQ22" s="7" t="e">
        <f t="shared" si="105"/>
        <v>#DIV/0!</v>
      </c>
      <c r="GR22" s="6">
        <f>应产率辅助表!AI19</f>
        <v>0</v>
      </c>
      <c r="GS22" s="6">
        <f>应产率辅助表!AI48</f>
        <v>0</v>
      </c>
      <c r="GT22" s="7" t="e">
        <f t="shared" si="106"/>
        <v>#DIV/0!</v>
      </c>
      <c r="GU22" s="72">
        <f>应产率辅助表!AJ19</f>
        <v>0</v>
      </c>
      <c r="GV22" s="72">
        <f>应产率辅助表!AJ48</f>
        <v>0</v>
      </c>
      <c r="GW22" s="7" t="e">
        <f t="shared" si="107"/>
        <v>#DIV/0!</v>
      </c>
      <c r="GX22" s="72">
        <f>应产率辅助表!AK19</f>
        <v>0</v>
      </c>
      <c r="GY22" s="72">
        <f>应产率辅助表!AK48</f>
        <v>0</v>
      </c>
      <c r="GZ22" s="7" t="e">
        <f t="shared" si="108"/>
        <v>#DIV/0!</v>
      </c>
      <c r="HA22" s="72">
        <f>应产率辅助表!AL19</f>
        <v>0</v>
      </c>
      <c r="HB22" s="72">
        <f>应产率辅助表!AL48</f>
        <v>0</v>
      </c>
      <c r="HC22" s="7" t="e">
        <f t="shared" si="109"/>
        <v>#DIV/0!</v>
      </c>
      <c r="HD22" s="72">
        <f>应产率辅助表!AM19</f>
        <v>0</v>
      </c>
      <c r="HE22" s="72">
        <f>应产率辅助表!AM48</f>
        <v>0</v>
      </c>
      <c r="HF22" s="7" t="e">
        <f t="shared" si="110"/>
        <v>#DIV/0!</v>
      </c>
      <c r="HG22" s="72">
        <f>应产率辅助表!AN19</f>
        <v>0</v>
      </c>
      <c r="HH22" s="72">
        <f>应产率辅助表!AN48</f>
        <v>0</v>
      </c>
      <c r="HI22" s="7" t="e">
        <f t="shared" si="111"/>
        <v>#DIV/0!</v>
      </c>
      <c r="HJ22" s="72">
        <f>应产率辅助表!AO19</f>
        <v>0</v>
      </c>
      <c r="HK22" s="72">
        <f>应产率辅助表!AO48</f>
        <v>0</v>
      </c>
      <c r="HL22" s="7" t="e">
        <f t="shared" si="112"/>
        <v>#DIV/0!</v>
      </c>
      <c r="HM22" s="72">
        <f>应产率辅助表!AP19</f>
        <v>0</v>
      </c>
      <c r="HN22" s="72">
        <f>应产率辅助表!AP48</f>
        <v>0</v>
      </c>
      <c r="HO22" s="7" t="e">
        <f t="shared" si="113"/>
        <v>#DIV/0!</v>
      </c>
      <c r="HP22" s="6"/>
      <c r="HQ22" s="6">
        <f t="shared" si="175"/>
        <v>0</v>
      </c>
      <c r="HR22" s="5" t="e">
        <f t="shared" si="115"/>
        <v>#DIV/0!</v>
      </c>
      <c r="HS22" s="6">
        <v>0</v>
      </c>
      <c r="HT22" s="6">
        <v>0</v>
      </c>
      <c r="HU22" s="5" t="e">
        <f t="shared" si="116"/>
        <v>#DIV/0!</v>
      </c>
      <c r="HV22" s="6">
        <v>0</v>
      </c>
      <c r="HW22" s="6">
        <v>0</v>
      </c>
      <c r="HX22" s="5" t="e">
        <f t="shared" si="117"/>
        <v>#DIV/0!</v>
      </c>
      <c r="HY22" s="5"/>
      <c r="HZ22" s="5"/>
      <c r="IA22" s="5" t="e">
        <f t="shared" si="166"/>
        <v>#DIV/0!</v>
      </c>
      <c r="IB22" s="5">
        <f t="shared" si="118"/>
        <v>0</v>
      </c>
      <c r="IC22" s="5">
        <f t="shared" si="118"/>
        <v>0</v>
      </c>
      <c r="ID22" s="5" t="e">
        <f t="shared" si="119"/>
        <v>#DIV/0!</v>
      </c>
      <c r="IE22" s="7">
        <f t="shared" si="120"/>
        <v>0</v>
      </c>
      <c r="IF22" s="7">
        <f t="shared" si="120"/>
        <v>0</v>
      </c>
      <c r="IG22" s="5" t="e">
        <f t="shared" si="121"/>
        <v>#DIV/0!</v>
      </c>
      <c r="IH22" s="5" t="e">
        <f t="shared" si="122"/>
        <v>#DIV/0!</v>
      </c>
      <c r="II22" s="5" t="e">
        <f t="shared" si="123"/>
        <v>#DIV/0!</v>
      </c>
      <c r="IJ22" s="8" t="e">
        <f t="shared" si="124"/>
        <v>#DIV/0!</v>
      </c>
      <c r="IK22" s="8" t="e">
        <f t="shared" si="125"/>
        <v>#DIV/0!</v>
      </c>
      <c r="IL22" s="8" t="e">
        <f t="shared" si="126"/>
        <v>#DIV/0!</v>
      </c>
      <c r="IM22" s="8" t="e">
        <f t="shared" si="127"/>
        <v>#DIV/0!</v>
      </c>
      <c r="IN22" s="8" t="e">
        <f t="shared" si="128"/>
        <v>#DIV/0!</v>
      </c>
      <c r="IO22" s="8" t="e">
        <f t="shared" si="129"/>
        <v>#DIV/0!</v>
      </c>
      <c r="IP22" s="8" t="e">
        <f t="shared" si="130"/>
        <v>#DIV/0!</v>
      </c>
      <c r="IQ22" s="8" t="e">
        <f t="shared" si="131"/>
        <v>#DIV/0!</v>
      </c>
      <c r="IR22" s="8" t="e">
        <f t="shared" si="132"/>
        <v>#DIV/0!</v>
      </c>
      <c r="IS22" s="8" t="e">
        <f t="shared" si="133"/>
        <v>#DIV/0!</v>
      </c>
      <c r="IT22" s="8" t="e">
        <f t="shared" si="134"/>
        <v>#DIV/0!</v>
      </c>
      <c r="IU22" s="8" t="e">
        <f t="shared" si="135"/>
        <v>#DIV/0!</v>
      </c>
      <c r="IV22" s="8" t="e">
        <f t="shared" si="136"/>
        <v>#DIV/0!</v>
      </c>
      <c r="IW22" s="8" t="e">
        <f t="shared" si="137"/>
        <v>#DIV/0!</v>
      </c>
      <c r="IX22" s="8" t="e">
        <f t="shared" si="138"/>
        <v>#DIV/0!</v>
      </c>
      <c r="IY22" s="8" t="e">
        <f t="shared" si="139"/>
        <v>#DIV/0!</v>
      </c>
      <c r="IZ22" s="8" t="e">
        <f t="shared" si="140"/>
        <v>#DIV/0!</v>
      </c>
      <c r="JA22" s="8" t="e">
        <f t="shared" si="141"/>
        <v>#DIV/0!</v>
      </c>
      <c r="JB22" s="8" t="e">
        <f t="shared" si="142"/>
        <v>#DIV/0!</v>
      </c>
      <c r="JC22" s="8" t="e">
        <f t="shared" si="143"/>
        <v>#DIV/0!</v>
      </c>
      <c r="JD22" s="8" t="e">
        <f t="shared" si="144"/>
        <v>#DIV/0!</v>
      </c>
      <c r="JE22" s="8" t="e">
        <f t="shared" si="145"/>
        <v>#DIV/0!</v>
      </c>
      <c r="JF22" s="8" t="e">
        <f t="shared" si="146"/>
        <v>#DIV/0!</v>
      </c>
      <c r="JG22" s="8" t="e">
        <f t="shared" si="147"/>
        <v>#DIV/0!</v>
      </c>
      <c r="JH22" s="8" t="e">
        <f t="shared" si="148"/>
        <v>#DIV/0!</v>
      </c>
      <c r="JI22" s="8" t="e">
        <f t="shared" si="149"/>
        <v>#DIV/0!</v>
      </c>
      <c r="JJ22" s="8" t="e">
        <f t="shared" si="150"/>
        <v>#DIV/0!</v>
      </c>
      <c r="JK22" s="8" t="e">
        <f t="shared" si="151"/>
        <v>#DIV/0!</v>
      </c>
      <c r="JL22" s="8" t="e">
        <f t="shared" si="152"/>
        <v>#DIV/0!</v>
      </c>
      <c r="JM22" s="8" t="e">
        <f t="shared" si="153"/>
        <v>#DIV/0!</v>
      </c>
      <c r="JN22" s="8" t="e">
        <f t="shared" si="154"/>
        <v>#DIV/0!</v>
      </c>
      <c r="JO22" s="8" t="e">
        <f t="shared" si="155"/>
        <v>#DIV/0!</v>
      </c>
      <c r="JP22" s="9" t="e">
        <f t="shared" si="156"/>
        <v>#DIV/0!</v>
      </c>
      <c r="JQ22" s="9" t="e">
        <f t="shared" si="157"/>
        <v>#DIV/0!</v>
      </c>
      <c r="JR22" s="9" t="e">
        <f t="shared" si="158"/>
        <v>#DIV/0!</v>
      </c>
      <c r="JS22" s="9" t="e">
        <f t="shared" si="159"/>
        <v>#DIV/0!</v>
      </c>
      <c r="JT22" s="9" t="e">
        <f t="shared" si="160"/>
        <v>#DIV/0!</v>
      </c>
      <c r="JU22" s="9" t="e">
        <f t="shared" si="161"/>
        <v>#DIV/0!</v>
      </c>
      <c r="JV22" s="9" t="e">
        <f t="shared" si="162"/>
        <v>#DIV/0!</v>
      </c>
      <c r="JW22" s="9" t="e">
        <f t="shared" si="163"/>
        <v>#DIV/0!</v>
      </c>
    </row>
    <row r="23" spans="1:283" s="11" customFormat="1" ht="18" hidden="1" customHeight="1" x14ac:dyDescent="0.15">
      <c r="A23" s="10"/>
      <c r="B23" s="5"/>
      <c r="C23" s="5"/>
      <c r="D23" s="55"/>
      <c r="E23" s="56">
        <f>产品销售数量!D20</f>
        <v>0</v>
      </c>
      <c r="F23" s="6">
        <f>应产率辅助表!C20</f>
        <v>0</v>
      </c>
      <c r="G23" s="6">
        <f>应产率辅助表!C49</f>
        <v>0</v>
      </c>
      <c r="H23" s="7" t="e">
        <f t="shared" si="1"/>
        <v>#DIV/0!</v>
      </c>
      <c r="I23" s="5">
        <f>产品销售数量!E20+产品销售数量!F20*1.36</f>
        <v>0</v>
      </c>
      <c r="J23" s="5" t="e">
        <f t="shared" si="164"/>
        <v>#DIV/0!</v>
      </c>
      <c r="K23" s="5">
        <f t="shared" si="2"/>
        <v>0</v>
      </c>
      <c r="L23" s="5" t="e">
        <f t="shared" si="3"/>
        <v>#DIV/0!</v>
      </c>
      <c r="M23" s="6">
        <f>应产率辅助表!D20</f>
        <v>0</v>
      </c>
      <c r="N23" s="6">
        <f>应产率辅助表!D49</f>
        <v>0</v>
      </c>
      <c r="O23" s="7" t="e">
        <f t="shared" si="4"/>
        <v>#DIV/0!</v>
      </c>
      <c r="P23" s="5">
        <f>+产品销售数量!H20</f>
        <v>0</v>
      </c>
      <c r="Q23" s="5" t="e">
        <f t="shared" si="5"/>
        <v>#DIV/0!</v>
      </c>
      <c r="R23" s="5">
        <f t="shared" si="6"/>
        <v>0</v>
      </c>
      <c r="S23" s="5" t="e">
        <f t="shared" si="7"/>
        <v>#DIV/0!</v>
      </c>
      <c r="T23" s="6">
        <f>应产率辅助表!E20</f>
        <v>0</v>
      </c>
      <c r="U23" s="6">
        <f>应产率辅助表!E49</f>
        <v>0</v>
      </c>
      <c r="V23" s="7" t="e">
        <f t="shared" si="8"/>
        <v>#DIV/0!</v>
      </c>
      <c r="W23" s="5">
        <f>+产品销售数量!V20+产品销售数量!CP20</f>
        <v>0</v>
      </c>
      <c r="X23" s="5" t="e">
        <f t="shared" si="9"/>
        <v>#DIV/0!</v>
      </c>
      <c r="Y23" s="5">
        <f t="shared" si="10"/>
        <v>0</v>
      </c>
      <c r="Z23" s="5" t="e">
        <f t="shared" si="11"/>
        <v>#DIV/0!</v>
      </c>
      <c r="AA23" s="6">
        <f>应产率辅助表!F20</f>
        <v>0</v>
      </c>
      <c r="AB23" s="6">
        <f>应产率辅助表!F49</f>
        <v>0</v>
      </c>
      <c r="AC23" s="7" t="e">
        <f t="shared" si="12"/>
        <v>#DIV/0!</v>
      </c>
      <c r="AD23" s="5">
        <f>产品销售数量!J20*1.5+产品销售数量!K20*1.5+产品销售数量!L20*1.5+产品销售数量!O20*1.5+产品销售数量!P20*1.5+产品销售数量!S20*1.5+产品销售数量!T20*1.5+产品销售数量!CH20*1.35+产品销售数量!M20*1.5+产品销售数量!CK20*0.89*1.5+产品销售数量!BL20*1.35+产品销售数量!AU20*0.9+产品销售数量!AW20*0.9+产品销售数量!BB20*1.5+产品销售数量!CN20*1.35+产品销售数量!CO20*1.35+产品销售数量!CQ20*1.5+产品销售数量!CX20*1.5+产品销售数量!CY20*1.35+产品销售数量!CZ20*1.35</f>
        <v>0</v>
      </c>
      <c r="AE23" s="5" t="e">
        <f t="shared" si="13"/>
        <v>#DIV/0!</v>
      </c>
      <c r="AF23" s="5">
        <f t="shared" si="14"/>
        <v>0</v>
      </c>
      <c r="AG23" s="5" t="e">
        <f t="shared" si="15"/>
        <v>#DIV/0!</v>
      </c>
      <c r="AH23" s="6">
        <f t="shared" si="165"/>
        <v>0</v>
      </c>
      <c r="AI23" s="6">
        <f>应产率辅助表!G20</f>
        <v>0</v>
      </c>
      <c r="AJ23" s="6">
        <f>应产率辅助表!G49</f>
        <v>0</v>
      </c>
      <c r="AK23" s="7" t="e">
        <f t="shared" si="17"/>
        <v>#DIV/0!</v>
      </c>
      <c r="AL23" s="5" t="e">
        <f>+产品销售数量!J20*1.13+产品销售数量!K20*1.13+产品销售数量!O20*1.13+产品销售数量!U20+产品销售数量!V20*2.6+产品销售数量!W20*2.6+产品销售数量!X20*1.6+产品销售数量!Y20+产品销售数量!AB20*1.74+产品销售数量!BC20*1.19+产品销售数量!BL20*0.98+产品销售数量!BM20*0.74+产品销售数量!BN20*4.495+产品销售数量!BQ20*2.29+产品销售数量!BV20*2.56+产品销售数量!CG20*1.74+产品销售数量!CJ20*0.8+产品销售数量!CK20*1.13+产品销售数量!CM20*1.19+产品销售数量!CO20*0.98+产品销售数量!CP20*2.62+产品销售数量!CQ20*1.13+产品销售数量!CR20*1.4+产品销售数量!CS20*1.4+产品销售数量!CT20*1.4+产品销售数量!#REF!*5.29+产品销售数量!CV20*1.13+产品销售数量!CW20*0.98+产品销售数量!CX20*0.378+产品销售数量!CY20*1.19+产品销售数量!DA20*0.87+产品销售数量!DB20*1.5+产品销售数量!DI20*0.595+产品销售数量!DK20*1.74</f>
        <v>#REF!</v>
      </c>
      <c r="AM23" s="5" t="e">
        <f t="shared" si="18"/>
        <v>#REF!</v>
      </c>
      <c r="AN23" s="5" t="e">
        <f t="shared" si="19"/>
        <v>#REF!</v>
      </c>
      <c r="AO23" s="5" t="e">
        <f t="shared" si="20"/>
        <v>#DIV/0!</v>
      </c>
      <c r="AP23" s="6">
        <f>应产率辅助表!H20</f>
        <v>0</v>
      </c>
      <c r="AQ23" s="6">
        <f>应产率辅助表!H49</f>
        <v>0</v>
      </c>
      <c r="AR23" s="7" t="e">
        <f t="shared" si="21"/>
        <v>#DIV/0!</v>
      </c>
      <c r="AS23" s="5">
        <f>产品销售数量!I20*0.858+产品销售数量!Z20*0.686+产品销售数量!AA20*1.79+产品销售数量!CF20*1.79+产品销售数量!CL20*0.89</f>
        <v>0</v>
      </c>
      <c r="AT23" s="5" t="e">
        <f t="shared" si="22"/>
        <v>#DIV/0!</v>
      </c>
      <c r="AU23" s="5">
        <f t="shared" si="23"/>
        <v>0</v>
      </c>
      <c r="AV23" s="5" t="e">
        <f t="shared" si="24"/>
        <v>#DIV/0!</v>
      </c>
      <c r="AW23" s="6">
        <f>应产率辅助表!I20</f>
        <v>0</v>
      </c>
      <c r="AX23" s="6">
        <f>应产率辅助表!I49</f>
        <v>0</v>
      </c>
      <c r="AY23" s="7" t="e">
        <f t="shared" si="25"/>
        <v>#DIV/0!</v>
      </c>
      <c r="AZ23" s="5">
        <f>+产品销售数量!I20*0.857+产品销售数量!Z20*0.485+产品销售数量!AA20*1.88+产品销售数量!CF20*1.88+产品销售数量!CL20*0.89</f>
        <v>0</v>
      </c>
      <c r="BA23" s="5" t="e">
        <f t="shared" si="26"/>
        <v>#DIV/0!</v>
      </c>
      <c r="BB23" s="5">
        <f t="shared" si="27"/>
        <v>0</v>
      </c>
      <c r="BC23" s="5" t="e">
        <f t="shared" si="28"/>
        <v>#DIV/0!</v>
      </c>
      <c r="BD23" s="6">
        <f>应产率辅助表!J20</f>
        <v>0</v>
      </c>
      <c r="BE23" s="6">
        <f>应产率辅助表!J49</f>
        <v>0</v>
      </c>
      <c r="BF23" s="7" t="e">
        <f t="shared" si="167"/>
        <v>#DIV/0!</v>
      </c>
      <c r="BG23" s="5">
        <f>+产品销售数量!J20*2+产品销售数量!L20*0.93+产品销售数量!O20*2+产品销售数量!P20*0.93+产品销售数量!U20*1.93+产品销售数量!W20*2+产品销售数量!V20*3.79+产品销售数量!I20*2.678+产品销售数量!CK20*1.32+产品销售数量!CQ20*2</f>
        <v>0</v>
      </c>
      <c r="BH23" s="5" t="e">
        <f t="shared" si="168"/>
        <v>#DIV/0!</v>
      </c>
      <c r="BI23" s="5">
        <f t="shared" si="169"/>
        <v>0</v>
      </c>
      <c r="BJ23" s="5" t="e">
        <f t="shared" si="170"/>
        <v>#DIV/0!</v>
      </c>
      <c r="BK23" s="6">
        <f>应产率辅助表!K20</f>
        <v>0</v>
      </c>
      <c r="BL23" s="6">
        <f>应产率辅助表!K49</f>
        <v>0</v>
      </c>
      <c r="BM23" s="7" t="e">
        <f t="shared" si="33"/>
        <v>#DIV/0!</v>
      </c>
      <c r="BN23" s="5" t="e">
        <f>产品销售数量!K20*1.125+产品销售数量!Y20*4.12+产品销售数量!X20*5.5+产品销售数量!AA20*13.25+产品销售数量!AB20*13.25+产品销售数量!BN20*6.87+产品销售数量!BV20+产品销售数量!CF20*13.25+产品销售数量!CG20*13.25+产品销售数量!CJ20*6.63+产品销售数量!CL20*6.63+产品销售数量!CR20*2.25+产品销售数量!CS20*2.25+产品销售数量!CT20*2.25+产品销售数量!#REF!*6.87++产品销售数量!CV20*0.75+产品销售数量!DA20*6.63+产品销售数量!DJ20*13.25+产品销售数量!DK20*13.25</f>
        <v>#REF!</v>
      </c>
      <c r="BO23" s="5" t="e">
        <f t="shared" si="0"/>
        <v>#REF!</v>
      </c>
      <c r="BP23" s="5" t="e">
        <f t="shared" si="34"/>
        <v>#REF!</v>
      </c>
      <c r="BQ23" s="5" t="e">
        <f t="shared" si="35"/>
        <v>#DIV/0!</v>
      </c>
      <c r="BR23" s="6">
        <f>应产率辅助表!L20</f>
        <v>0</v>
      </c>
      <c r="BS23" s="6">
        <f>应产率辅助表!L49</f>
        <v>0</v>
      </c>
      <c r="BT23" s="7" t="e">
        <f t="shared" si="171"/>
        <v>#DIV/0!</v>
      </c>
      <c r="BU23" s="5">
        <f>产品销售数量!O20+产品销售数量!P20+产品销售数量!CI20*1.5+产品销售数量!CK20*0.89+产品销售数量!M20*1.34</f>
        <v>0</v>
      </c>
      <c r="BV23" s="5" t="e">
        <f t="shared" si="172"/>
        <v>#DIV/0!</v>
      </c>
      <c r="BW23" s="5">
        <f t="shared" si="173"/>
        <v>0</v>
      </c>
      <c r="BX23" s="5" t="e">
        <f t="shared" si="174"/>
        <v>#DIV/0!</v>
      </c>
      <c r="BY23" s="6">
        <f>应产率辅助表!M20</f>
        <v>0</v>
      </c>
      <c r="BZ23" s="6">
        <f>应产率辅助表!M49</f>
        <v>0</v>
      </c>
      <c r="CA23" s="7" t="e">
        <f t="shared" si="40"/>
        <v>#DIV/0!</v>
      </c>
      <c r="CB23" s="5">
        <f>+产品销售数量!J20+产品销售数量!K20+产品销售数量!L20+产品销售数量!O20+产品销售数量!P20+产品销售数量!S20+产品销售数量!T20+产品销售数量!AU20*0.9+产品销售数量!AW20*0.9+产品销售数量!BL20*0.9+产品销售数量!CH20*0.9+产品销售数量!CK20*0.9+产品销售数量!CN20*0.9+产品销售数量!CO20*0.9+产品销售数量!CQ20+产品销售数量!CV20+产品销售数量!CW20*0.9+产品销售数量!DB20</f>
        <v>0</v>
      </c>
      <c r="CC23" s="5" t="e">
        <f t="shared" si="41"/>
        <v>#DIV/0!</v>
      </c>
      <c r="CD23" s="5">
        <f t="shared" si="42"/>
        <v>0</v>
      </c>
      <c r="CE23" s="5" t="e">
        <f t="shared" si="43"/>
        <v>#DIV/0!</v>
      </c>
      <c r="CF23" s="6">
        <f>应产率辅助表!N20</f>
        <v>0</v>
      </c>
      <c r="CG23" s="6">
        <f>应产率辅助表!N49</f>
        <v>0</v>
      </c>
      <c r="CH23" s="7" t="e">
        <f t="shared" si="44"/>
        <v>#DIV/0!</v>
      </c>
      <c r="CI23" s="5">
        <f>产品销售数量!P20+产品销售数量!Z20*1.4+产品销售数量!L20</f>
        <v>0</v>
      </c>
      <c r="CJ23" s="5" t="e">
        <f t="shared" si="45"/>
        <v>#DIV/0!</v>
      </c>
      <c r="CK23" s="5">
        <f t="shared" si="46"/>
        <v>0</v>
      </c>
      <c r="CL23" s="5" t="e">
        <f t="shared" si="47"/>
        <v>#DIV/0!</v>
      </c>
      <c r="CM23" s="6">
        <f>应产率辅助表!O20</f>
        <v>0</v>
      </c>
      <c r="CN23" s="6">
        <f>应产率辅助表!O49</f>
        <v>0</v>
      </c>
      <c r="CO23" s="7" t="e">
        <f t="shared" si="48"/>
        <v>#DIV/0!</v>
      </c>
      <c r="CP23" s="5">
        <f>+产品销售数量!AE20*1.04+产品销售数量!AD20*1.279+产品销售数量!BW20*1.04+产品销售数量!BX20*1.279</f>
        <v>0</v>
      </c>
      <c r="CQ23" s="5" t="e">
        <f t="shared" si="49"/>
        <v>#DIV/0!</v>
      </c>
      <c r="CR23" s="5">
        <f t="shared" si="50"/>
        <v>0</v>
      </c>
      <c r="CS23" s="5" t="e">
        <f t="shared" si="51"/>
        <v>#DIV/0!</v>
      </c>
      <c r="CT23" s="6">
        <f>应产率辅助表!P20</f>
        <v>0</v>
      </c>
      <c r="CU23" s="6">
        <f>应产率辅助表!P49</f>
        <v>0</v>
      </c>
      <c r="CV23" s="7" t="e">
        <f t="shared" si="52"/>
        <v>#DIV/0!</v>
      </c>
      <c r="CW23" s="5">
        <f>+产品销售数量!AC20*1.08+产品销售数量!AH20*1+产品销售数量!AG20*1.45+产品销售数量!BG20*0.834+产品销售数量!CU20*0.834+产品销售数量!DM20*1.19</f>
        <v>0</v>
      </c>
      <c r="CX23" s="5" t="e">
        <f t="shared" si="53"/>
        <v>#DIV/0!</v>
      </c>
      <c r="CY23" s="5">
        <f t="shared" si="54"/>
        <v>0</v>
      </c>
      <c r="CZ23" s="5" t="e">
        <f t="shared" si="55"/>
        <v>#DIV/0!</v>
      </c>
      <c r="DA23" s="6">
        <f>应产率辅助表!Q20</f>
        <v>0</v>
      </c>
      <c r="DB23" s="6">
        <f>应产率辅助表!Q49</f>
        <v>0</v>
      </c>
      <c r="DC23" s="7" t="e">
        <f t="shared" si="56"/>
        <v>#DIV/0!</v>
      </c>
      <c r="DD23" s="5">
        <f>产品销售数量!AJ20*2+产品销售数量!AK20*1.38+产品销售数量!AL20+产品销售数量!BT20*1.38+产品销售数量!BU20*2</f>
        <v>0</v>
      </c>
      <c r="DE23" s="5" t="e">
        <f t="shared" si="57"/>
        <v>#DIV/0!</v>
      </c>
      <c r="DF23" s="5">
        <f t="shared" si="58"/>
        <v>0</v>
      </c>
      <c r="DG23" s="5" t="e">
        <f t="shared" si="59"/>
        <v>#DIV/0!</v>
      </c>
      <c r="DH23" s="6">
        <f>应产率辅助表!R20</f>
        <v>0</v>
      </c>
      <c r="DI23" s="6">
        <f>应产率辅助表!R49</f>
        <v>0</v>
      </c>
      <c r="DJ23" s="7" t="e">
        <f t="shared" si="60"/>
        <v>#DIV/0!</v>
      </c>
      <c r="DK23" s="5">
        <f>+产品销售数量!AM20*1.375+产品销售数量!AN20+产品销售数量!AO20*0.75+产品销售数量!BR20*0.57</f>
        <v>0</v>
      </c>
      <c r="DL23" s="5" t="e">
        <f t="shared" si="61"/>
        <v>#DIV/0!</v>
      </c>
      <c r="DM23" s="5">
        <f t="shared" si="62"/>
        <v>0</v>
      </c>
      <c r="DN23" s="5" t="e">
        <f t="shared" si="63"/>
        <v>#DIV/0!</v>
      </c>
      <c r="DO23" s="6">
        <f>应产率辅助表!S20+应产率辅助表!T20</f>
        <v>0</v>
      </c>
      <c r="DP23" s="6">
        <f>应产率辅助表!S49+应产率辅助表!T49</f>
        <v>0</v>
      </c>
      <c r="DQ23" s="7" t="e">
        <f t="shared" si="64"/>
        <v>#DIV/0!</v>
      </c>
      <c r="DR23" s="5" t="e">
        <f>+产品销售数量!Y20+产品销售数量!X20+产品销售数量!AB20*3+产品销售数量!CG20*3+产品销售数量!CJ20*2+产品销售数量!BN20*2+产品销售数量!CR20+产品销售数量!CS20+产品销售数量!CT20+产品销售数量!BM20+产品销售数量!#REF!*3+产品销售数量!AA20+产品销售数量!CF20</f>
        <v>#REF!</v>
      </c>
      <c r="DS23" s="5" t="e">
        <f t="shared" si="65"/>
        <v>#REF!</v>
      </c>
      <c r="DT23" s="5" t="e">
        <f t="shared" si="66"/>
        <v>#REF!</v>
      </c>
      <c r="DU23" s="5" t="e">
        <f t="shared" si="67"/>
        <v>#DIV/0!</v>
      </c>
      <c r="DV23" s="6">
        <f>应产率辅助表!U20</f>
        <v>0</v>
      </c>
      <c r="DW23" s="6">
        <f>应产率辅助表!U49</f>
        <v>0</v>
      </c>
      <c r="DX23" s="7" t="e">
        <f t="shared" si="68"/>
        <v>#DIV/0!</v>
      </c>
      <c r="DY23" s="5" t="e">
        <f>+产品销售数量!E20+产品销售数量!F20*2+产品销售数量!G20+产品销售数量!#REF!+产品销售数量!CY20+产品销售数量!DE20+产品销售数量!DH20</f>
        <v>#REF!</v>
      </c>
      <c r="DZ23" s="5" t="e">
        <f t="shared" si="69"/>
        <v>#REF!</v>
      </c>
      <c r="EA23" s="5" t="e">
        <f t="shared" si="70"/>
        <v>#REF!</v>
      </c>
      <c r="EB23" s="5" t="e">
        <f t="shared" si="71"/>
        <v>#DIV/0!</v>
      </c>
      <c r="EC23" s="6">
        <f>应产率辅助表!V20</f>
        <v>0</v>
      </c>
      <c r="ED23" s="6">
        <f>应产率辅助表!V49</f>
        <v>0</v>
      </c>
      <c r="EE23" s="7" t="e">
        <f t="shared" si="72"/>
        <v>#DIV/0!</v>
      </c>
      <c r="EF23" s="5">
        <f>+产品销售数量!AS20</f>
        <v>0</v>
      </c>
      <c r="EG23" s="5" t="e">
        <f t="shared" si="73"/>
        <v>#DIV/0!</v>
      </c>
      <c r="EH23" s="5">
        <f t="shared" si="74"/>
        <v>0</v>
      </c>
      <c r="EI23" s="5" t="e">
        <f t="shared" si="75"/>
        <v>#DIV/0!</v>
      </c>
      <c r="EJ23" s="6">
        <f>应产率辅助表!W20</f>
        <v>0</v>
      </c>
      <c r="EK23" s="6">
        <f>应产率辅助表!W49</f>
        <v>0</v>
      </c>
      <c r="EL23" s="7" t="e">
        <f t="shared" si="76"/>
        <v>#DIV/0!</v>
      </c>
      <c r="EM23" s="5">
        <f>+产品销售数量!AD20+产品销售数量!AE20+产品销售数量!AF20+产品销售数量!AG20+产品销售数量!AH20+产品销售数量!AI20+产品销售数量!AJ20+产品销售数量!AK20+产品销售数量!AL20+产品销售数量!AM20+产品销售数量!AN20+产品销售数量!AO20+产品销售数量!AQ20+产品销售数量!AP20+产品销售数量!AR20+产品销售数量!BR20+产品销售数量!AS20+产品销售数量!CA20+产品销售数量!BE20+产品销售数量!BF20</f>
        <v>0</v>
      </c>
      <c r="EN23" s="5" t="e">
        <f t="shared" si="77"/>
        <v>#DIV/0!</v>
      </c>
      <c r="EO23" s="5">
        <f t="shared" si="78"/>
        <v>0</v>
      </c>
      <c r="EP23" s="5" t="e">
        <f t="shared" si="79"/>
        <v>#DIV/0!</v>
      </c>
      <c r="EQ23" s="6">
        <f>应产率辅助表!X20</f>
        <v>0</v>
      </c>
      <c r="ER23" s="6">
        <f>应产率辅助表!X49</f>
        <v>0</v>
      </c>
      <c r="ES23" s="7" t="e">
        <f t="shared" si="80"/>
        <v>#DIV/0!</v>
      </c>
      <c r="ET23" s="5">
        <f>+产品销售数量!AQ20+产品销售数量!AP20+产品销售数量!AR20+产品销售数量!BR20+产品销售数量!AS20+产品销售数量!CA20+产品销售数量!BE20+产品销售数量!BF20</f>
        <v>0</v>
      </c>
      <c r="EU23" s="5" t="e">
        <f t="shared" si="81"/>
        <v>#DIV/0!</v>
      </c>
      <c r="EV23" s="5">
        <f t="shared" si="82"/>
        <v>0</v>
      </c>
      <c r="EW23" s="5" t="e">
        <f t="shared" si="83"/>
        <v>#DIV/0!</v>
      </c>
      <c r="EX23" s="6">
        <f>应产率辅助表!Y20</f>
        <v>0</v>
      </c>
      <c r="EY23" s="6">
        <f>应产率辅助表!Y49</f>
        <v>0</v>
      </c>
      <c r="EZ23" s="7" t="e">
        <f t="shared" si="84"/>
        <v>#DIV/0!</v>
      </c>
      <c r="FA23" s="5">
        <f>产品销售数量!H20</f>
        <v>0</v>
      </c>
      <c r="FB23" s="5" t="e">
        <f t="shared" si="85"/>
        <v>#DIV/0!</v>
      </c>
      <c r="FC23" s="5">
        <f t="shared" si="86"/>
        <v>0</v>
      </c>
      <c r="FD23" s="5" t="e">
        <f t="shared" si="87"/>
        <v>#DIV/0!</v>
      </c>
      <c r="FE23" s="6">
        <f>应产率辅助表!Z20</f>
        <v>0</v>
      </c>
      <c r="FF23" s="6">
        <f>应产率辅助表!Z49</f>
        <v>0</v>
      </c>
      <c r="FG23" s="7" t="e">
        <f t="shared" si="88"/>
        <v>#DIV/0!</v>
      </c>
      <c r="FH23" s="5">
        <f>+产品销售数量!J20+产品销售数量!K20+产品销售数量!L20+产品销售数量!M20+产品销售数量!O20+产品销售数量!P20+产品销售数量!S20+产品销售数量!T20+产品销售数量!BQ20+产品销售数量!BS20+产品销售数量!CC20+产品销售数量!CH20+产品销售数量!CI20+产品销售数量!CJ20+产品销售数量!CK20+产品销售数量!CL20+产品销售数量!BL20+产品销售数量!AU20++产品销售数量!AW20+产品销售数量!BQ20+产品销售数量!CN20+产品销售数量!CO20+产品销售数量!CQ20+产品销售数量!CX20+产品销售数量!CY20+产品销售数量!CM20</f>
        <v>0</v>
      </c>
      <c r="FI23" s="5" t="e">
        <f t="shared" si="89"/>
        <v>#DIV/0!</v>
      </c>
      <c r="FJ23" s="5">
        <f t="shared" si="90"/>
        <v>0</v>
      </c>
      <c r="FK23" s="5" t="e">
        <f t="shared" si="91"/>
        <v>#DIV/0!</v>
      </c>
      <c r="FL23" s="6">
        <f>应产率辅助表!AA20</f>
        <v>0</v>
      </c>
      <c r="FM23" s="6">
        <f>应产率辅助表!AA49</f>
        <v>0</v>
      </c>
      <c r="FN23" s="7" t="e">
        <f t="shared" si="92"/>
        <v>#DIV/0!</v>
      </c>
      <c r="FO23" s="5">
        <f>+产品销售数量!R20+产品销售数量!CE20</f>
        <v>0</v>
      </c>
      <c r="FP23" s="5" t="e">
        <f t="shared" si="93"/>
        <v>#DIV/0!</v>
      </c>
      <c r="FQ23" s="5">
        <f t="shared" si="94"/>
        <v>0</v>
      </c>
      <c r="FR23" s="5" t="e">
        <f t="shared" si="95"/>
        <v>#DIV/0!</v>
      </c>
      <c r="FS23" s="6">
        <f>应产率辅助表!AB20</f>
        <v>0</v>
      </c>
      <c r="FT23" s="5">
        <f t="shared" si="96"/>
        <v>0</v>
      </c>
      <c r="FU23" s="6">
        <f>应产率辅助表!AB49</f>
        <v>0</v>
      </c>
      <c r="FV23" s="7" t="e">
        <f t="shared" si="97"/>
        <v>#DIV/0!</v>
      </c>
      <c r="FW23" s="5" t="e">
        <f t="shared" si="98"/>
        <v>#DIV/0!</v>
      </c>
      <c r="FX23" s="6">
        <f>应产率辅助表!AC20</f>
        <v>0</v>
      </c>
      <c r="FY23" s="6">
        <f>应产率辅助表!AC49</f>
        <v>0</v>
      </c>
      <c r="FZ23" s="7" t="e">
        <f t="shared" si="99"/>
        <v>#DIV/0!</v>
      </c>
      <c r="GA23" s="5" t="e">
        <f t="shared" si="100"/>
        <v>#DIV/0!</v>
      </c>
      <c r="GB23" s="6">
        <f>应产率辅助表!AD20</f>
        <v>0</v>
      </c>
      <c r="GC23" s="6">
        <f>应产率辅助表!AD49</f>
        <v>0</v>
      </c>
      <c r="GD23" s="7" t="e">
        <f t="shared" si="101"/>
        <v>#DIV/0!</v>
      </c>
      <c r="GE23" s="6">
        <f>应产率辅助表!AE20</f>
        <v>0</v>
      </c>
      <c r="GF23" s="6">
        <f>应产率辅助表!AE49</f>
        <v>0</v>
      </c>
      <c r="GG23" s="7" t="e">
        <f t="shared" si="102"/>
        <v>#DIV/0!</v>
      </c>
      <c r="GH23" s="6">
        <f>应产率辅助表!AF20</f>
        <v>0</v>
      </c>
      <c r="GI23" s="6">
        <f>应产率辅助表!AF49</f>
        <v>0</v>
      </c>
      <c r="GJ23" s="7" t="e">
        <f t="shared" si="103"/>
        <v>#DIV/0!</v>
      </c>
      <c r="GK23" s="6">
        <f>应产率辅助表!AG20</f>
        <v>0</v>
      </c>
      <c r="GL23" s="6">
        <f>应产率辅助表!AG49</f>
        <v>0</v>
      </c>
      <c r="GM23" s="7" t="e">
        <f t="shared" si="104"/>
        <v>#DIV/0!</v>
      </c>
      <c r="GN23" s="6"/>
      <c r="GO23" s="6">
        <f>应产率辅助表!AH20</f>
        <v>0</v>
      </c>
      <c r="GP23" s="6">
        <f>应产率辅助表!AH49</f>
        <v>0</v>
      </c>
      <c r="GQ23" s="7" t="e">
        <f t="shared" si="105"/>
        <v>#DIV/0!</v>
      </c>
      <c r="GR23" s="6">
        <f>应产率辅助表!AI20</f>
        <v>0</v>
      </c>
      <c r="GS23" s="6">
        <f>应产率辅助表!AI49</f>
        <v>0</v>
      </c>
      <c r="GT23" s="7" t="e">
        <f t="shared" si="106"/>
        <v>#DIV/0!</v>
      </c>
      <c r="GU23" s="72">
        <f>应产率辅助表!AJ20</f>
        <v>0</v>
      </c>
      <c r="GV23" s="72">
        <f>应产率辅助表!AJ49</f>
        <v>0</v>
      </c>
      <c r="GW23" s="7" t="e">
        <f t="shared" si="107"/>
        <v>#DIV/0!</v>
      </c>
      <c r="GX23" s="72">
        <f>应产率辅助表!AK20</f>
        <v>0</v>
      </c>
      <c r="GY23" s="72">
        <f>应产率辅助表!AK49</f>
        <v>0</v>
      </c>
      <c r="GZ23" s="7" t="e">
        <f t="shared" si="108"/>
        <v>#DIV/0!</v>
      </c>
      <c r="HA23" s="72">
        <f>应产率辅助表!AL20</f>
        <v>0</v>
      </c>
      <c r="HB23" s="72">
        <f>应产率辅助表!AL49</f>
        <v>0</v>
      </c>
      <c r="HC23" s="7" t="e">
        <f t="shared" si="109"/>
        <v>#DIV/0!</v>
      </c>
      <c r="HD23" s="72">
        <f>应产率辅助表!AM20</f>
        <v>0</v>
      </c>
      <c r="HE23" s="72">
        <f>应产率辅助表!AM49</f>
        <v>0</v>
      </c>
      <c r="HF23" s="7" t="e">
        <f t="shared" si="110"/>
        <v>#DIV/0!</v>
      </c>
      <c r="HG23" s="72">
        <f>应产率辅助表!AN20</f>
        <v>0</v>
      </c>
      <c r="HH23" s="72">
        <f>应产率辅助表!AN49</f>
        <v>0</v>
      </c>
      <c r="HI23" s="7" t="e">
        <f t="shared" si="111"/>
        <v>#DIV/0!</v>
      </c>
      <c r="HJ23" s="72">
        <f>应产率辅助表!AO20</f>
        <v>0</v>
      </c>
      <c r="HK23" s="72">
        <f>应产率辅助表!AO49</f>
        <v>0</v>
      </c>
      <c r="HL23" s="7" t="e">
        <f t="shared" si="112"/>
        <v>#DIV/0!</v>
      </c>
      <c r="HM23" s="72">
        <f>应产率辅助表!AP20</f>
        <v>0</v>
      </c>
      <c r="HN23" s="72">
        <f>应产率辅助表!AP49</f>
        <v>0</v>
      </c>
      <c r="HO23" s="7" t="e">
        <f t="shared" si="113"/>
        <v>#DIV/0!</v>
      </c>
      <c r="HP23" s="6"/>
      <c r="HQ23" s="6">
        <f t="shared" si="175"/>
        <v>0</v>
      </c>
      <c r="HR23" s="5" t="e">
        <f t="shared" si="115"/>
        <v>#DIV/0!</v>
      </c>
      <c r="HS23" s="6">
        <v>0</v>
      </c>
      <c r="HT23" s="6">
        <v>0</v>
      </c>
      <c r="HU23" s="5" t="e">
        <f t="shared" si="116"/>
        <v>#DIV/0!</v>
      </c>
      <c r="HV23" s="6">
        <v>0</v>
      </c>
      <c r="HW23" s="6">
        <v>0</v>
      </c>
      <c r="HX23" s="5" t="e">
        <f t="shared" si="117"/>
        <v>#DIV/0!</v>
      </c>
      <c r="HY23" s="5"/>
      <c r="HZ23" s="5"/>
      <c r="IA23" s="5" t="e">
        <f t="shared" si="166"/>
        <v>#DIV/0!</v>
      </c>
      <c r="IB23" s="5">
        <f t="shared" si="118"/>
        <v>0</v>
      </c>
      <c r="IC23" s="5">
        <f t="shared" si="118"/>
        <v>0</v>
      </c>
      <c r="ID23" s="5" t="e">
        <f t="shared" si="119"/>
        <v>#DIV/0!</v>
      </c>
      <c r="IE23" s="7">
        <f t="shared" si="120"/>
        <v>0</v>
      </c>
      <c r="IF23" s="7">
        <f t="shared" si="120"/>
        <v>0</v>
      </c>
      <c r="IG23" s="5" t="e">
        <f t="shared" si="121"/>
        <v>#DIV/0!</v>
      </c>
      <c r="IH23" s="5" t="e">
        <f t="shared" si="122"/>
        <v>#DIV/0!</v>
      </c>
      <c r="II23" s="5" t="e">
        <f t="shared" si="123"/>
        <v>#DIV/0!</v>
      </c>
      <c r="IJ23" s="8" t="e">
        <f t="shared" si="124"/>
        <v>#DIV/0!</v>
      </c>
      <c r="IK23" s="8" t="e">
        <f t="shared" si="125"/>
        <v>#DIV/0!</v>
      </c>
      <c r="IL23" s="8" t="e">
        <f t="shared" si="126"/>
        <v>#DIV/0!</v>
      </c>
      <c r="IM23" s="8" t="e">
        <f t="shared" si="127"/>
        <v>#DIV/0!</v>
      </c>
      <c r="IN23" s="8" t="e">
        <f t="shared" si="128"/>
        <v>#DIV/0!</v>
      </c>
      <c r="IO23" s="8" t="e">
        <f t="shared" si="129"/>
        <v>#DIV/0!</v>
      </c>
      <c r="IP23" s="8" t="e">
        <f t="shared" si="130"/>
        <v>#DIV/0!</v>
      </c>
      <c r="IQ23" s="8" t="e">
        <f t="shared" si="131"/>
        <v>#DIV/0!</v>
      </c>
      <c r="IR23" s="8" t="e">
        <f t="shared" si="132"/>
        <v>#DIV/0!</v>
      </c>
      <c r="IS23" s="8" t="e">
        <f t="shared" si="133"/>
        <v>#DIV/0!</v>
      </c>
      <c r="IT23" s="8" t="e">
        <f t="shared" si="134"/>
        <v>#DIV/0!</v>
      </c>
      <c r="IU23" s="8" t="e">
        <f t="shared" si="135"/>
        <v>#DIV/0!</v>
      </c>
      <c r="IV23" s="8" t="e">
        <f t="shared" si="136"/>
        <v>#DIV/0!</v>
      </c>
      <c r="IW23" s="8" t="e">
        <f t="shared" si="137"/>
        <v>#DIV/0!</v>
      </c>
      <c r="IX23" s="8" t="e">
        <f t="shared" si="138"/>
        <v>#DIV/0!</v>
      </c>
      <c r="IY23" s="8" t="e">
        <f t="shared" si="139"/>
        <v>#DIV/0!</v>
      </c>
      <c r="IZ23" s="8" t="e">
        <f t="shared" si="140"/>
        <v>#DIV/0!</v>
      </c>
      <c r="JA23" s="8" t="e">
        <f t="shared" si="141"/>
        <v>#DIV/0!</v>
      </c>
      <c r="JB23" s="8" t="e">
        <f t="shared" si="142"/>
        <v>#DIV/0!</v>
      </c>
      <c r="JC23" s="8" t="e">
        <f t="shared" si="143"/>
        <v>#DIV/0!</v>
      </c>
      <c r="JD23" s="8" t="e">
        <f t="shared" si="144"/>
        <v>#DIV/0!</v>
      </c>
      <c r="JE23" s="8" t="e">
        <f t="shared" si="145"/>
        <v>#DIV/0!</v>
      </c>
      <c r="JF23" s="8" t="e">
        <f t="shared" si="146"/>
        <v>#DIV/0!</v>
      </c>
      <c r="JG23" s="8" t="e">
        <f t="shared" si="147"/>
        <v>#DIV/0!</v>
      </c>
      <c r="JH23" s="8" t="e">
        <f t="shared" si="148"/>
        <v>#DIV/0!</v>
      </c>
      <c r="JI23" s="8" t="e">
        <f t="shared" si="149"/>
        <v>#DIV/0!</v>
      </c>
      <c r="JJ23" s="8" t="e">
        <f t="shared" si="150"/>
        <v>#DIV/0!</v>
      </c>
      <c r="JK23" s="8" t="e">
        <f t="shared" si="151"/>
        <v>#DIV/0!</v>
      </c>
      <c r="JL23" s="8" t="e">
        <f t="shared" si="152"/>
        <v>#DIV/0!</v>
      </c>
      <c r="JM23" s="8" t="e">
        <f t="shared" si="153"/>
        <v>#DIV/0!</v>
      </c>
      <c r="JN23" s="8" t="e">
        <f t="shared" si="154"/>
        <v>#DIV/0!</v>
      </c>
      <c r="JO23" s="8" t="e">
        <f t="shared" si="155"/>
        <v>#DIV/0!</v>
      </c>
      <c r="JP23" s="9" t="e">
        <f t="shared" si="156"/>
        <v>#DIV/0!</v>
      </c>
      <c r="JQ23" s="9" t="e">
        <f t="shared" si="157"/>
        <v>#DIV/0!</v>
      </c>
      <c r="JR23" s="9" t="e">
        <f t="shared" si="158"/>
        <v>#DIV/0!</v>
      </c>
      <c r="JS23" s="9" t="e">
        <f t="shared" si="159"/>
        <v>#DIV/0!</v>
      </c>
      <c r="JT23" s="9" t="e">
        <f t="shared" si="160"/>
        <v>#DIV/0!</v>
      </c>
      <c r="JU23" s="9" t="e">
        <f t="shared" si="161"/>
        <v>#DIV/0!</v>
      </c>
      <c r="JV23" s="9" t="e">
        <f t="shared" si="162"/>
        <v>#DIV/0!</v>
      </c>
      <c r="JW23" s="9" t="e">
        <f t="shared" si="163"/>
        <v>#DIV/0!</v>
      </c>
    </row>
    <row r="24" spans="1:283" s="11" customFormat="1" ht="18" hidden="1" customHeight="1" x14ac:dyDescent="0.15">
      <c r="A24" s="10"/>
      <c r="B24" s="5"/>
      <c r="C24" s="5"/>
      <c r="D24" s="55"/>
      <c r="E24" s="56">
        <f>产品销售数量!D21</f>
        <v>0</v>
      </c>
      <c r="F24" s="6">
        <f>应产率辅助表!C21</f>
        <v>0</v>
      </c>
      <c r="G24" s="6">
        <f>应产率辅助表!C50</f>
        <v>0</v>
      </c>
      <c r="H24" s="7" t="e">
        <f t="shared" si="1"/>
        <v>#DIV/0!</v>
      </c>
      <c r="I24" s="5">
        <f>产品销售数量!E21+产品销售数量!F21*1.36</f>
        <v>0</v>
      </c>
      <c r="J24" s="5" t="e">
        <f t="shared" si="164"/>
        <v>#DIV/0!</v>
      </c>
      <c r="K24" s="5">
        <f t="shared" si="2"/>
        <v>0</v>
      </c>
      <c r="L24" s="5" t="e">
        <f t="shared" si="3"/>
        <v>#DIV/0!</v>
      </c>
      <c r="M24" s="6">
        <f>应产率辅助表!D21</f>
        <v>0</v>
      </c>
      <c r="N24" s="6">
        <f>应产率辅助表!D50</f>
        <v>0</v>
      </c>
      <c r="O24" s="7" t="e">
        <f t="shared" si="4"/>
        <v>#DIV/0!</v>
      </c>
      <c r="P24" s="5">
        <f>+产品销售数量!H21</f>
        <v>0</v>
      </c>
      <c r="Q24" s="5" t="e">
        <f t="shared" si="5"/>
        <v>#DIV/0!</v>
      </c>
      <c r="R24" s="5">
        <f t="shared" si="6"/>
        <v>0</v>
      </c>
      <c r="S24" s="5" t="e">
        <f t="shared" si="7"/>
        <v>#DIV/0!</v>
      </c>
      <c r="T24" s="6">
        <f>应产率辅助表!E21</f>
        <v>0</v>
      </c>
      <c r="U24" s="6">
        <f>应产率辅助表!E50</f>
        <v>0</v>
      </c>
      <c r="V24" s="7" t="e">
        <f t="shared" si="8"/>
        <v>#DIV/0!</v>
      </c>
      <c r="W24" s="5">
        <f>+产品销售数量!V21+产品销售数量!CP21</f>
        <v>0</v>
      </c>
      <c r="X24" s="5" t="e">
        <f t="shared" si="9"/>
        <v>#DIV/0!</v>
      </c>
      <c r="Y24" s="5">
        <f t="shared" si="10"/>
        <v>0</v>
      </c>
      <c r="Z24" s="5" t="e">
        <f t="shared" si="11"/>
        <v>#DIV/0!</v>
      </c>
      <c r="AA24" s="6">
        <f>应产率辅助表!F21</f>
        <v>0</v>
      </c>
      <c r="AB24" s="6">
        <f>应产率辅助表!F50</f>
        <v>0</v>
      </c>
      <c r="AC24" s="7" t="e">
        <f t="shared" si="12"/>
        <v>#DIV/0!</v>
      </c>
      <c r="AD24" s="5">
        <f>产品销售数量!J21*1.5+产品销售数量!K21*1.5+产品销售数量!L21*1.5+产品销售数量!O21*1.5+产品销售数量!P21*1.5+产品销售数量!S21*1.5+产品销售数量!T21*1.5+产品销售数量!CH21*1.35+产品销售数量!M21*1.5+产品销售数量!CK21*0.89*1.5+产品销售数量!BL21*1.35+产品销售数量!AU21*0.9+产品销售数量!AW21*0.9+产品销售数量!BB21*1.5+产品销售数量!CN21*1.35+产品销售数量!CO21*1.35+产品销售数量!CQ21*1.5+产品销售数量!CX21*1.5+产品销售数量!CY21*1.35+产品销售数量!CZ21*1.35</f>
        <v>0</v>
      </c>
      <c r="AE24" s="5" t="e">
        <f t="shared" si="13"/>
        <v>#DIV/0!</v>
      </c>
      <c r="AF24" s="5">
        <f t="shared" si="14"/>
        <v>0</v>
      </c>
      <c r="AG24" s="5" t="e">
        <f t="shared" si="15"/>
        <v>#DIV/0!</v>
      </c>
      <c r="AH24" s="6">
        <f t="shared" si="165"/>
        <v>0</v>
      </c>
      <c r="AI24" s="6">
        <f>应产率辅助表!G21</f>
        <v>0</v>
      </c>
      <c r="AJ24" s="6">
        <f>应产率辅助表!G50</f>
        <v>0</v>
      </c>
      <c r="AK24" s="7" t="e">
        <f t="shared" si="17"/>
        <v>#DIV/0!</v>
      </c>
      <c r="AL24" s="5" t="e">
        <f>+产品销售数量!J21*1.13+产品销售数量!K21*1.13+产品销售数量!O21*1.13+产品销售数量!U21+产品销售数量!V21*2.6+产品销售数量!W21*2.6+产品销售数量!X21*1.6+产品销售数量!Y21+产品销售数量!AB21*1.74+产品销售数量!BC21*1.19+产品销售数量!BL21*0.98+产品销售数量!BM21*0.74+产品销售数量!BN21*4.495+产品销售数量!BQ21*2.29+产品销售数量!BV21*2.56+产品销售数量!CG21*1.74+产品销售数量!CJ21*0.8+产品销售数量!CK21*1.13+产品销售数量!CM21*1.19+产品销售数量!CO21*0.98+产品销售数量!CP21*2.62+产品销售数量!CQ21*1.13+产品销售数量!CR21*1.4+产品销售数量!CS21*1.4+产品销售数量!CT21*1.4+产品销售数量!#REF!*5.29+产品销售数量!CV21*1.13+产品销售数量!CW21*0.98+产品销售数量!CX21*0.378+产品销售数量!CY21*1.19+产品销售数量!DA21*0.87+产品销售数量!DB21*1.5+产品销售数量!DI21*0.595+产品销售数量!DK21*1.74</f>
        <v>#REF!</v>
      </c>
      <c r="AM24" s="5" t="e">
        <f t="shared" si="18"/>
        <v>#REF!</v>
      </c>
      <c r="AN24" s="5" t="e">
        <f t="shared" si="19"/>
        <v>#REF!</v>
      </c>
      <c r="AO24" s="5" t="e">
        <f t="shared" si="20"/>
        <v>#DIV/0!</v>
      </c>
      <c r="AP24" s="6">
        <f>应产率辅助表!H21</f>
        <v>0</v>
      </c>
      <c r="AQ24" s="6">
        <f>应产率辅助表!H50</f>
        <v>0</v>
      </c>
      <c r="AR24" s="7" t="e">
        <f t="shared" si="21"/>
        <v>#DIV/0!</v>
      </c>
      <c r="AS24" s="5">
        <f>产品销售数量!I21*0.858+产品销售数量!Z21*0.686+产品销售数量!AA21*1.79+产品销售数量!CF21*1.79+产品销售数量!CL21*0.89</f>
        <v>0</v>
      </c>
      <c r="AT24" s="5" t="e">
        <f t="shared" si="22"/>
        <v>#DIV/0!</v>
      </c>
      <c r="AU24" s="5">
        <f t="shared" si="23"/>
        <v>0</v>
      </c>
      <c r="AV24" s="5" t="e">
        <f t="shared" si="24"/>
        <v>#DIV/0!</v>
      </c>
      <c r="AW24" s="6">
        <f>应产率辅助表!I21</f>
        <v>0</v>
      </c>
      <c r="AX24" s="6">
        <f>应产率辅助表!I50</f>
        <v>0</v>
      </c>
      <c r="AY24" s="7" t="e">
        <f t="shared" si="25"/>
        <v>#DIV/0!</v>
      </c>
      <c r="AZ24" s="5">
        <f>+产品销售数量!I21*0.857+产品销售数量!Z21*0.485+产品销售数量!AA21*1.88+产品销售数量!CF21*1.88+产品销售数量!CL21*0.89</f>
        <v>0</v>
      </c>
      <c r="BA24" s="5" t="e">
        <f t="shared" si="26"/>
        <v>#DIV/0!</v>
      </c>
      <c r="BB24" s="5">
        <f t="shared" si="27"/>
        <v>0</v>
      </c>
      <c r="BC24" s="5" t="e">
        <f t="shared" si="28"/>
        <v>#DIV/0!</v>
      </c>
      <c r="BD24" s="6">
        <f>应产率辅助表!J21</f>
        <v>0</v>
      </c>
      <c r="BE24" s="6">
        <f>应产率辅助表!J50</f>
        <v>0</v>
      </c>
      <c r="BF24" s="7" t="e">
        <f t="shared" si="167"/>
        <v>#DIV/0!</v>
      </c>
      <c r="BG24" s="5">
        <f>+产品销售数量!J21*2+产品销售数量!L21*0.93+产品销售数量!O21*2+产品销售数量!P21*0.93+产品销售数量!U21*1.93+产品销售数量!W21*2+产品销售数量!V21*3.79+产品销售数量!I21*2.678+产品销售数量!CK21*1.32+产品销售数量!CQ21*2</f>
        <v>0</v>
      </c>
      <c r="BH24" s="5" t="e">
        <f t="shared" si="168"/>
        <v>#DIV/0!</v>
      </c>
      <c r="BI24" s="5">
        <f t="shared" si="169"/>
        <v>0</v>
      </c>
      <c r="BJ24" s="5" t="e">
        <f t="shared" si="170"/>
        <v>#DIV/0!</v>
      </c>
      <c r="BK24" s="6">
        <f>应产率辅助表!K21</f>
        <v>0</v>
      </c>
      <c r="BL24" s="6">
        <f>应产率辅助表!K50</f>
        <v>0</v>
      </c>
      <c r="BM24" s="7" t="e">
        <f t="shared" si="33"/>
        <v>#DIV/0!</v>
      </c>
      <c r="BN24" s="5" t="e">
        <f>产品销售数量!K21*1.125+产品销售数量!Y21*4.12+产品销售数量!X21*5.5+产品销售数量!AA21*13.25+产品销售数量!AB21*13.25+产品销售数量!BN21*6.87+产品销售数量!BV21+产品销售数量!CF21*13.25+产品销售数量!CG21*13.25+产品销售数量!CJ21*6.63+产品销售数量!CL21*6.63+产品销售数量!CR21*2.25+产品销售数量!CS21*2.25+产品销售数量!CT21*2.25+产品销售数量!#REF!*6.87++产品销售数量!CV21*0.75+产品销售数量!DA21*6.63+产品销售数量!DJ21*13.25+产品销售数量!DK21*13.25</f>
        <v>#REF!</v>
      </c>
      <c r="BO24" s="5" t="e">
        <f t="shared" si="0"/>
        <v>#REF!</v>
      </c>
      <c r="BP24" s="5" t="e">
        <f t="shared" si="34"/>
        <v>#REF!</v>
      </c>
      <c r="BQ24" s="5" t="e">
        <f t="shared" si="35"/>
        <v>#DIV/0!</v>
      </c>
      <c r="BR24" s="6">
        <f>应产率辅助表!L21</f>
        <v>0</v>
      </c>
      <c r="BS24" s="6">
        <f>应产率辅助表!L50</f>
        <v>0</v>
      </c>
      <c r="BT24" s="7" t="e">
        <f t="shared" si="171"/>
        <v>#DIV/0!</v>
      </c>
      <c r="BU24" s="5">
        <f>产品销售数量!O21+产品销售数量!P21+产品销售数量!CI21*1.5+产品销售数量!CK21*0.89+产品销售数量!M21*1.34</f>
        <v>0</v>
      </c>
      <c r="BV24" s="5" t="e">
        <f t="shared" si="172"/>
        <v>#DIV/0!</v>
      </c>
      <c r="BW24" s="5">
        <f t="shared" si="173"/>
        <v>0</v>
      </c>
      <c r="BX24" s="5" t="e">
        <f t="shared" si="174"/>
        <v>#DIV/0!</v>
      </c>
      <c r="BY24" s="6">
        <f>应产率辅助表!M21</f>
        <v>0</v>
      </c>
      <c r="BZ24" s="6">
        <f>应产率辅助表!M50</f>
        <v>0</v>
      </c>
      <c r="CA24" s="7" t="e">
        <f t="shared" si="40"/>
        <v>#DIV/0!</v>
      </c>
      <c r="CB24" s="5">
        <f>+产品销售数量!J21+产品销售数量!K21+产品销售数量!L21+产品销售数量!O21+产品销售数量!P21+产品销售数量!S21+产品销售数量!T21+产品销售数量!AU21*0.9+产品销售数量!AW21*0.9+产品销售数量!BL21*0.9+产品销售数量!CH21*0.9+产品销售数量!CK21*0.9+产品销售数量!CN21*0.9+产品销售数量!CO21*0.9+产品销售数量!CQ21+产品销售数量!CV21+产品销售数量!CW21*0.9+产品销售数量!DB21</f>
        <v>0</v>
      </c>
      <c r="CC24" s="5" t="e">
        <f t="shared" si="41"/>
        <v>#DIV/0!</v>
      </c>
      <c r="CD24" s="5">
        <f t="shared" si="42"/>
        <v>0</v>
      </c>
      <c r="CE24" s="5" t="e">
        <f t="shared" si="43"/>
        <v>#DIV/0!</v>
      </c>
      <c r="CF24" s="6">
        <f>应产率辅助表!N21</f>
        <v>0</v>
      </c>
      <c r="CG24" s="6">
        <f>应产率辅助表!N50</f>
        <v>0</v>
      </c>
      <c r="CH24" s="7" t="e">
        <f t="shared" si="44"/>
        <v>#DIV/0!</v>
      </c>
      <c r="CI24" s="5">
        <f>产品销售数量!P21+产品销售数量!Z21*1.4+产品销售数量!L21</f>
        <v>0</v>
      </c>
      <c r="CJ24" s="5" t="e">
        <f t="shared" si="45"/>
        <v>#DIV/0!</v>
      </c>
      <c r="CK24" s="5">
        <f t="shared" si="46"/>
        <v>0</v>
      </c>
      <c r="CL24" s="5" t="e">
        <f t="shared" si="47"/>
        <v>#DIV/0!</v>
      </c>
      <c r="CM24" s="6">
        <f>应产率辅助表!O21</f>
        <v>0</v>
      </c>
      <c r="CN24" s="6">
        <f>应产率辅助表!O50</f>
        <v>0</v>
      </c>
      <c r="CO24" s="7" t="e">
        <f t="shared" si="48"/>
        <v>#DIV/0!</v>
      </c>
      <c r="CP24" s="5">
        <f>+产品销售数量!AE21*1.04+产品销售数量!AD21*1.279+产品销售数量!BW21*1.04+产品销售数量!BX21*1.279</f>
        <v>0</v>
      </c>
      <c r="CQ24" s="5" t="e">
        <f t="shared" si="49"/>
        <v>#DIV/0!</v>
      </c>
      <c r="CR24" s="5">
        <f t="shared" si="50"/>
        <v>0</v>
      </c>
      <c r="CS24" s="5" t="e">
        <f t="shared" si="51"/>
        <v>#DIV/0!</v>
      </c>
      <c r="CT24" s="6">
        <f>应产率辅助表!P21</f>
        <v>0</v>
      </c>
      <c r="CU24" s="6">
        <f>应产率辅助表!P50</f>
        <v>0</v>
      </c>
      <c r="CV24" s="7" t="e">
        <f t="shared" si="52"/>
        <v>#DIV/0!</v>
      </c>
      <c r="CW24" s="5">
        <f>+产品销售数量!AC21*1.08+产品销售数量!AH21*1+产品销售数量!AG21*1.45+产品销售数量!BG21*0.834+产品销售数量!CU21*0.834+产品销售数量!DM21*1.19</f>
        <v>0</v>
      </c>
      <c r="CX24" s="5" t="e">
        <f t="shared" si="53"/>
        <v>#DIV/0!</v>
      </c>
      <c r="CY24" s="5">
        <f t="shared" si="54"/>
        <v>0</v>
      </c>
      <c r="CZ24" s="5" t="e">
        <f t="shared" si="55"/>
        <v>#DIV/0!</v>
      </c>
      <c r="DA24" s="6">
        <f>应产率辅助表!Q21</f>
        <v>0</v>
      </c>
      <c r="DB24" s="6">
        <f>应产率辅助表!Q50</f>
        <v>0</v>
      </c>
      <c r="DC24" s="7" t="e">
        <f t="shared" si="56"/>
        <v>#DIV/0!</v>
      </c>
      <c r="DD24" s="5">
        <f>产品销售数量!AJ21*2+产品销售数量!AK21*1.38+产品销售数量!AL21+产品销售数量!BT21*1.38+产品销售数量!BU21*2</f>
        <v>0</v>
      </c>
      <c r="DE24" s="5" t="e">
        <f t="shared" si="57"/>
        <v>#DIV/0!</v>
      </c>
      <c r="DF24" s="5">
        <f t="shared" si="58"/>
        <v>0</v>
      </c>
      <c r="DG24" s="5" t="e">
        <f t="shared" si="59"/>
        <v>#DIV/0!</v>
      </c>
      <c r="DH24" s="6">
        <f>应产率辅助表!R21</f>
        <v>0</v>
      </c>
      <c r="DI24" s="6">
        <f>应产率辅助表!R50</f>
        <v>0</v>
      </c>
      <c r="DJ24" s="7" t="e">
        <f t="shared" si="60"/>
        <v>#DIV/0!</v>
      </c>
      <c r="DK24" s="5">
        <f>+产品销售数量!AM21*1.375+产品销售数量!AN21+产品销售数量!AO21*0.75+产品销售数量!BR21*0.57</f>
        <v>0</v>
      </c>
      <c r="DL24" s="5" t="e">
        <f t="shared" si="61"/>
        <v>#DIV/0!</v>
      </c>
      <c r="DM24" s="5">
        <f t="shared" si="62"/>
        <v>0</v>
      </c>
      <c r="DN24" s="5" t="e">
        <f t="shared" si="63"/>
        <v>#DIV/0!</v>
      </c>
      <c r="DO24" s="6">
        <f>应产率辅助表!S21+应产率辅助表!T21</f>
        <v>0</v>
      </c>
      <c r="DP24" s="6">
        <f>应产率辅助表!S50+应产率辅助表!T50</f>
        <v>0</v>
      </c>
      <c r="DQ24" s="7" t="e">
        <f t="shared" si="64"/>
        <v>#DIV/0!</v>
      </c>
      <c r="DR24" s="5" t="e">
        <f>+产品销售数量!Y21+产品销售数量!X21+产品销售数量!AB21*3+产品销售数量!CG21*3+产品销售数量!CJ21*2+产品销售数量!BN21*2+产品销售数量!CR21+产品销售数量!CS21+产品销售数量!CT21+产品销售数量!BM21+产品销售数量!#REF!*3+产品销售数量!AA21+产品销售数量!CF21</f>
        <v>#REF!</v>
      </c>
      <c r="DS24" s="5" t="e">
        <f t="shared" si="65"/>
        <v>#REF!</v>
      </c>
      <c r="DT24" s="5" t="e">
        <f t="shared" si="66"/>
        <v>#REF!</v>
      </c>
      <c r="DU24" s="5" t="e">
        <f t="shared" si="67"/>
        <v>#DIV/0!</v>
      </c>
      <c r="DV24" s="6">
        <f>应产率辅助表!U21</f>
        <v>0</v>
      </c>
      <c r="DW24" s="6">
        <f>应产率辅助表!U50</f>
        <v>0</v>
      </c>
      <c r="DX24" s="7" t="e">
        <f t="shared" si="68"/>
        <v>#DIV/0!</v>
      </c>
      <c r="DY24" s="5" t="e">
        <f>+产品销售数量!E21+产品销售数量!F21*2+产品销售数量!G21+产品销售数量!#REF!+产品销售数量!CY21+产品销售数量!DE21+产品销售数量!DH21</f>
        <v>#REF!</v>
      </c>
      <c r="DZ24" s="5" t="e">
        <f t="shared" si="69"/>
        <v>#REF!</v>
      </c>
      <c r="EA24" s="5" t="e">
        <f t="shared" si="70"/>
        <v>#REF!</v>
      </c>
      <c r="EB24" s="5" t="e">
        <f t="shared" si="71"/>
        <v>#DIV/0!</v>
      </c>
      <c r="EC24" s="6">
        <f>应产率辅助表!V21</f>
        <v>0</v>
      </c>
      <c r="ED24" s="6">
        <f>应产率辅助表!V50</f>
        <v>0</v>
      </c>
      <c r="EE24" s="7" t="e">
        <f t="shared" si="72"/>
        <v>#DIV/0!</v>
      </c>
      <c r="EF24" s="5">
        <f>+产品销售数量!AS21</f>
        <v>0</v>
      </c>
      <c r="EG24" s="5" t="e">
        <f t="shared" si="73"/>
        <v>#DIV/0!</v>
      </c>
      <c r="EH24" s="5">
        <f t="shared" si="74"/>
        <v>0</v>
      </c>
      <c r="EI24" s="5" t="e">
        <f t="shared" si="75"/>
        <v>#DIV/0!</v>
      </c>
      <c r="EJ24" s="6">
        <f>应产率辅助表!W21</f>
        <v>0</v>
      </c>
      <c r="EK24" s="6">
        <f>应产率辅助表!W50</f>
        <v>0</v>
      </c>
      <c r="EL24" s="7" t="e">
        <f t="shared" si="76"/>
        <v>#DIV/0!</v>
      </c>
      <c r="EM24" s="5">
        <f>+产品销售数量!AD21+产品销售数量!AE21+产品销售数量!AF21+产品销售数量!AG21+产品销售数量!AH21+产品销售数量!AI21+产品销售数量!AJ21+产品销售数量!AK21+产品销售数量!AL21+产品销售数量!AM21+产品销售数量!AN21+产品销售数量!AO21+产品销售数量!AQ21+产品销售数量!AP21+产品销售数量!AR21+产品销售数量!BR21+产品销售数量!AS21+产品销售数量!CA21+产品销售数量!BE21+产品销售数量!BF21</f>
        <v>0</v>
      </c>
      <c r="EN24" s="5" t="e">
        <f t="shared" si="77"/>
        <v>#DIV/0!</v>
      </c>
      <c r="EO24" s="5">
        <f t="shared" si="78"/>
        <v>0</v>
      </c>
      <c r="EP24" s="5" t="e">
        <f t="shared" si="79"/>
        <v>#DIV/0!</v>
      </c>
      <c r="EQ24" s="6">
        <f>应产率辅助表!X21</f>
        <v>0</v>
      </c>
      <c r="ER24" s="6">
        <f>应产率辅助表!X50</f>
        <v>0</v>
      </c>
      <c r="ES24" s="7" t="e">
        <f t="shared" si="80"/>
        <v>#DIV/0!</v>
      </c>
      <c r="ET24" s="5">
        <f>+产品销售数量!AQ21+产品销售数量!AP21+产品销售数量!AR21+产品销售数量!BR21+产品销售数量!AS21+产品销售数量!CA21+产品销售数量!BE21+产品销售数量!BF21</f>
        <v>0</v>
      </c>
      <c r="EU24" s="5" t="e">
        <f t="shared" si="81"/>
        <v>#DIV/0!</v>
      </c>
      <c r="EV24" s="5">
        <f t="shared" si="82"/>
        <v>0</v>
      </c>
      <c r="EW24" s="5" t="e">
        <f t="shared" si="83"/>
        <v>#DIV/0!</v>
      </c>
      <c r="EX24" s="6">
        <f>应产率辅助表!Y21</f>
        <v>0</v>
      </c>
      <c r="EY24" s="6">
        <f>应产率辅助表!Y50</f>
        <v>0</v>
      </c>
      <c r="EZ24" s="7" t="e">
        <f t="shared" si="84"/>
        <v>#DIV/0!</v>
      </c>
      <c r="FA24" s="5">
        <f>产品销售数量!H21</f>
        <v>0</v>
      </c>
      <c r="FB24" s="5" t="e">
        <f t="shared" si="85"/>
        <v>#DIV/0!</v>
      </c>
      <c r="FC24" s="5">
        <f t="shared" si="86"/>
        <v>0</v>
      </c>
      <c r="FD24" s="5" t="e">
        <f t="shared" si="87"/>
        <v>#DIV/0!</v>
      </c>
      <c r="FE24" s="6">
        <f>应产率辅助表!Z21</f>
        <v>0</v>
      </c>
      <c r="FF24" s="6">
        <f>应产率辅助表!Z50</f>
        <v>0</v>
      </c>
      <c r="FG24" s="7" t="e">
        <f t="shared" si="88"/>
        <v>#DIV/0!</v>
      </c>
      <c r="FH24" s="5">
        <f>+产品销售数量!J21+产品销售数量!K21+产品销售数量!L21+产品销售数量!M21+产品销售数量!O21+产品销售数量!P21+产品销售数量!S21+产品销售数量!T21+产品销售数量!BQ21+产品销售数量!BS21+产品销售数量!CC21+产品销售数量!CH21+产品销售数量!CI21+产品销售数量!CJ21+产品销售数量!CK21+产品销售数量!CL21+产品销售数量!BL21+产品销售数量!AU21++产品销售数量!AW21+产品销售数量!BQ21+产品销售数量!CN21+产品销售数量!CO21+产品销售数量!CQ21+产品销售数量!CX21+产品销售数量!CY21+产品销售数量!CM21</f>
        <v>0</v>
      </c>
      <c r="FI24" s="5" t="e">
        <f t="shared" si="89"/>
        <v>#DIV/0!</v>
      </c>
      <c r="FJ24" s="5">
        <f t="shared" si="90"/>
        <v>0</v>
      </c>
      <c r="FK24" s="5" t="e">
        <f t="shared" si="91"/>
        <v>#DIV/0!</v>
      </c>
      <c r="FL24" s="6">
        <f>应产率辅助表!AA21</f>
        <v>0</v>
      </c>
      <c r="FM24" s="6">
        <f>应产率辅助表!AA50</f>
        <v>0</v>
      </c>
      <c r="FN24" s="7" t="e">
        <f t="shared" si="92"/>
        <v>#DIV/0!</v>
      </c>
      <c r="FO24" s="5">
        <f>+产品销售数量!R21+产品销售数量!CE21</f>
        <v>0</v>
      </c>
      <c r="FP24" s="5" t="e">
        <f t="shared" si="93"/>
        <v>#DIV/0!</v>
      </c>
      <c r="FQ24" s="5">
        <f t="shared" si="94"/>
        <v>0</v>
      </c>
      <c r="FR24" s="5" t="e">
        <f t="shared" si="95"/>
        <v>#DIV/0!</v>
      </c>
      <c r="FS24" s="6">
        <f>应产率辅助表!AB21</f>
        <v>0</v>
      </c>
      <c r="FT24" s="5">
        <f t="shared" si="96"/>
        <v>0</v>
      </c>
      <c r="FU24" s="6">
        <f>应产率辅助表!AB50</f>
        <v>0</v>
      </c>
      <c r="FV24" s="7" t="e">
        <f t="shared" si="97"/>
        <v>#DIV/0!</v>
      </c>
      <c r="FW24" s="5" t="e">
        <f t="shared" si="98"/>
        <v>#DIV/0!</v>
      </c>
      <c r="FX24" s="6">
        <f>应产率辅助表!AC21</f>
        <v>0</v>
      </c>
      <c r="FY24" s="6">
        <f>应产率辅助表!AC50</f>
        <v>0</v>
      </c>
      <c r="FZ24" s="7" t="e">
        <f t="shared" si="99"/>
        <v>#DIV/0!</v>
      </c>
      <c r="GA24" s="5" t="e">
        <f t="shared" si="100"/>
        <v>#DIV/0!</v>
      </c>
      <c r="GB24" s="6">
        <f>应产率辅助表!AD21</f>
        <v>0</v>
      </c>
      <c r="GC24" s="6">
        <f>应产率辅助表!AD50</f>
        <v>0</v>
      </c>
      <c r="GD24" s="7" t="e">
        <f t="shared" si="101"/>
        <v>#DIV/0!</v>
      </c>
      <c r="GE24" s="6">
        <f>应产率辅助表!AE21</f>
        <v>0</v>
      </c>
      <c r="GF24" s="6">
        <f>应产率辅助表!AE50</f>
        <v>0</v>
      </c>
      <c r="GG24" s="7" t="e">
        <f t="shared" si="102"/>
        <v>#DIV/0!</v>
      </c>
      <c r="GH24" s="6">
        <f>应产率辅助表!AF21</f>
        <v>0</v>
      </c>
      <c r="GI24" s="6">
        <f>应产率辅助表!AF50</f>
        <v>0</v>
      </c>
      <c r="GJ24" s="7" t="e">
        <f t="shared" si="103"/>
        <v>#DIV/0!</v>
      </c>
      <c r="GK24" s="6">
        <f>应产率辅助表!AG21</f>
        <v>0</v>
      </c>
      <c r="GL24" s="6">
        <f>应产率辅助表!AG50</f>
        <v>0</v>
      </c>
      <c r="GM24" s="7" t="e">
        <f t="shared" si="104"/>
        <v>#DIV/0!</v>
      </c>
      <c r="GN24" s="6"/>
      <c r="GO24" s="6">
        <f>应产率辅助表!AH21</f>
        <v>0</v>
      </c>
      <c r="GP24" s="6">
        <f>应产率辅助表!AH50</f>
        <v>0</v>
      </c>
      <c r="GQ24" s="7" t="e">
        <f t="shared" si="105"/>
        <v>#DIV/0!</v>
      </c>
      <c r="GR24" s="6">
        <f>应产率辅助表!AI21</f>
        <v>0</v>
      </c>
      <c r="GS24" s="6">
        <f>应产率辅助表!AI50</f>
        <v>0</v>
      </c>
      <c r="GT24" s="7" t="e">
        <f t="shared" si="106"/>
        <v>#DIV/0!</v>
      </c>
      <c r="GU24" s="72">
        <f>应产率辅助表!AJ21</f>
        <v>0</v>
      </c>
      <c r="GV24" s="72">
        <f>应产率辅助表!AJ50</f>
        <v>0</v>
      </c>
      <c r="GW24" s="7" t="e">
        <f t="shared" si="107"/>
        <v>#DIV/0!</v>
      </c>
      <c r="GX24" s="72">
        <f>应产率辅助表!AK21</f>
        <v>0</v>
      </c>
      <c r="GY24" s="72">
        <f>应产率辅助表!AK50</f>
        <v>0</v>
      </c>
      <c r="GZ24" s="7" t="e">
        <f t="shared" si="108"/>
        <v>#DIV/0!</v>
      </c>
      <c r="HA24" s="72">
        <f>应产率辅助表!AL21</f>
        <v>0</v>
      </c>
      <c r="HB24" s="72">
        <f>应产率辅助表!AL50</f>
        <v>0</v>
      </c>
      <c r="HC24" s="7" t="e">
        <f t="shared" si="109"/>
        <v>#DIV/0!</v>
      </c>
      <c r="HD24" s="72">
        <f>应产率辅助表!AM21</f>
        <v>0</v>
      </c>
      <c r="HE24" s="72">
        <f>应产率辅助表!AM50</f>
        <v>0</v>
      </c>
      <c r="HF24" s="7" t="e">
        <f t="shared" si="110"/>
        <v>#DIV/0!</v>
      </c>
      <c r="HG24" s="72">
        <f>应产率辅助表!AN21</f>
        <v>0</v>
      </c>
      <c r="HH24" s="72">
        <f>应产率辅助表!AN50</f>
        <v>0</v>
      </c>
      <c r="HI24" s="7" t="e">
        <f t="shared" si="111"/>
        <v>#DIV/0!</v>
      </c>
      <c r="HJ24" s="72">
        <f>应产率辅助表!AO21</f>
        <v>0</v>
      </c>
      <c r="HK24" s="72">
        <f>应产率辅助表!AO50</f>
        <v>0</v>
      </c>
      <c r="HL24" s="7" t="e">
        <f t="shared" si="112"/>
        <v>#DIV/0!</v>
      </c>
      <c r="HM24" s="72">
        <f>应产率辅助表!AP21</f>
        <v>0</v>
      </c>
      <c r="HN24" s="72">
        <f>应产率辅助表!AP50</f>
        <v>0</v>
      </c>
      <c r="HO24" s="7" t="e">
        <f t="shared" si="113"/>
        <v>#DIV/0!</v>
      </c>
      <c r="HP24" s="6"/>
      <c r="HQ24" s="6">
        <f t="shared" si="175"/>
        <v>0</v>
      </c>
      <c r="HR24" s="5" t="e">
        <f t="shared" si="115"/>
        <v>#DIV/0!</v>
      </c>
      <c r="HS24" s="6">
        <v>0</v>
      </c>
      <c r="HT24" s="6">
        <v>0</v>
      </c>
      <c r="HU24" s="5" t="e">
        <f t="shared" si="116"/>
        <v>#DIV/0!</v>
      </c>
      <c r="HV24" s="6">
        <v>0</v>
      </c>
      <c r="HW24" s="6">
        <v>0</v>
      </c>
      <c r="HX24" s="5" t="e">
        <f t="shared" si="117"/>
        <v>#DIV/0!</v>
      </c>
      <c r="HY24" s="5"/>
      <c r="HZ24" s="5"/>
      <c r="IA24" s="5" t="e">
        <f t="shared" si="166"/>
        <v>#DIV/0!</v>
      </c>
      <c r="IB24" s="5">
        <f t="shared" si="118"/>
        <v>0</v>
      </c>
      <c r="IC24" s="5">
        <f t="shared" si="118"/>
        <v>0</v>
      </c>
      <c r="ID24" s="5" t="e">
        <f t="shared" si="119"/>
        <v>#DIV/0!</v>
      </c>
      <c r="IE24" s="7">
        <f t="shared" si="120"/>
        <v>0</v>
      </c>
      <c r="IF24" s="7">
        <f t="shared" si="120"/>
        <v>0</v>
      </c>
      <c r="IG24" s="5" t="e">
        <f t="shared" si="121"/>
        <v>#DIV/0!</v>
      </c>
      <c r="IH24" s="5" t="e">
        <f t="shared" si="122"/>
        <v>#DIV/0!</v>
      </c>
      <c r="II24" s="5" t="e">
        <f t="shared" si="123"/>
        <v>#DIV/0!</v>
      </c>
      <c r="IJ24" s="8" t="e">
        <f t="shared" si="124"/>
        <v>#DIV/0!</v>
      </c>
      <c r="IK24" s="8" t="e">
        <f t="shared" si="125"/>
        <v>#DIV/0!</v>
      </c>
      <c r="IL24" s="8" t="e">
        <f t="shared" si="126"/>
        <v>#DIV/0!</v>
      </c>
      <c r="IM24" s="8" t="e">
        <f t="shared" si="127"/>
        <v>#DIV/0!</v>
      </c>
      <c r="IN24" s="8" t="e">
        <f t="shared" si="128"/>
        <v>#DIV/0!</v>
      </c>
      <c r="IO24" s="8" t="e">
        <f t="shared" si="129"/>
        <v>#DIV/0!</v>
      </c>
      <c r="IP24" s="8" t="e">
        <f t="shared" si="130"/>
        <v>#DIV/0!</v>
      </c>
      <c r="IQ24" s="8" t="e">
        <f t="shared" si="131"/>
        <v>#DIV/0!</v>
      </c>
      <c r="IR24" s="8" t="e">
        <f t="shared" si="132"/>
        <v>#DIV/0!</v>
      </c>
      <c r="IS24" s="8" t="e">
        <f t="shared" si="133"/>
        <v>#DIV/0!</v>
      </c>
      <c r="IT24" s="8" t="e">
        <f t="shared" si="134"/>
        <v>#DIV/0!</v>
      </c>
      <c r="IU24" s="8" t="e">
        <f t="shared" si="135"/>
        <v>#DIV/0!</v>
      </c>
      <c r="IV24" s="8" t="e">
        <f t="shared" si="136"/>
        <v>#DIV/0!</v>
      </c>
      <c r="IW24" s="8" t="e">
        <f t="shared" si="137"/>
        <v>#DIV/0!</v>
      </c>
      <c r="IX24" s="8" t="e">
        <f t="shared" si="138"/>
        <v>#DIV/0!</v>
      </c>
      <c r="IY24" s="8" t="e">
        <f t="shared" si="139"/>
        <v>#DIV/0!</v>
      </c>
      <c r="IZ24" s="8" t="e">
        <f t="shared" si="140"/>
        <v>#DIV/0!</v>
      </c>
      <c r="JA24" s="8" t="e">
        <f t="shared" si="141"/>
        <v>#DIV/0!</v>
      </c>
      <c r="JB24" s="8" t="e">
        <f t="shared" si="142"/>
        <v>#DIV/0!</v>
      </c>
      <c r="JC24" s="8" t="e">
        <f t="shared" si="143"/>
        <v>#DIV/0!</v>
      </c>
      <c r="JD24" s="8" t="e">
        <f t="shared" si="144"/>
        <v>#DIV/0!</v>
      </c>
      <c r="JE24" s="8" t="e">
        <f t="shared" si="145"/>
        <v>#DIV/0!</v>
      </c>
      <c r="JF24" s="8" t="e">
        <f t="shared" si="146"/>
        <v>#DIV/0!</v>
      </c>
      <c r="JG24" s="8" t="e">
        <f t="shared" si="147"/>
        <v>#DIV/0!</v>
      </c>
      <c r="JH24" s="8" t="e">
        <f t="shared" si="148"/>
        <v>#DIV/0!</v>
      </c>
      <c r="JI24" s="8" t="e">
        <f t="shared" si="149"/>
        <v>#DIV/0!</v>
      </c>
      <c r="JJ24" s="8" t="e">
        <f t="shared" si="150"/>
        <v>#DIV/0!</v>
      </c>
      <c r="JK24" s="8" t="e">
        <f t="shared" si="151"/>
        <v>#DIV/0!</v>
      </c>
      <c r="JL24" s="8" t="e">
        <f t="shared" si="152"/>
        <v>#DIV/0!</v>
      </c>
      <c r="JM24" s="8" t="e">
        <f t="shared" si="153"/>
        <v>#DIV/0!</v>
      </c>
      <c r="JN24" s="8" t="e">
        <f t="shared" si="154"/>
        <v>#DIV/0!</v>
      </c>
      <c r="JO24" s="8" t="e">
        <f t="shared" si="155"/>
        <v>#DIV/0!</v>
      </c>
      <c r="JP24" s="9" t="e">
        <f t="shared" si="156"/>
        <v>#DIV/0!</v>
      </c>
      <c r="JQ24" s="9" t="e">
        <f t="shared" si="157"/>
        <v>#DIV/0!</v>
      </c>
      <c r="JR24" s="9" t="e">
        <f t="shared" si="158"/>
        <v>#DIV/0!</v>
      </c>
      <c r="JS24" s="9" t="e">
        <f t="shared" si="159"/>
        <v>#DIV/0!</v>
      </c>
      <c r="JT24" s="9" t="e">
        <f t="shared" si="160"/>
        <v>#DIV/0!</v>
      </c>
      <c r="JU24" s="9" t="e">
        <f t="shared" si="161"/>
        <v>#DIV/0!</v>
      </c>
      <c r="JV24" s="9" t="e">
        <f t="shared" si="162"/>
        <v>#DIV/0!</v>
      </c>
      <c r="JW24" s="9" t="e">
        <f t="shared" si="163"/>
        <v>#DIV/0!</v>
      </c>
    </row>
    <row r="25" spans="1:283" s="11" customFormat="1" ht="18" hidden="1" customHeight="1" x14ac:dyDescent="0.15">
      <c r="A25" s="10"/>
      <c r="B25" s="5"/>
      <c r="C25" s="5"/>
      <c r="D25" s="55"/>
      <c r="E25" s="56">
        <f>产品销售数量!D22</f>
        <v>0</v>
      </c>
      <c r="F25" s="6">
        <f>应产率辅助表!C22</f>
        <v>0</v>
      </c>
      <c r="G25" s="6">
        <f>应产率辅助表!C51</f>
        <v>0</v>
      </c>
      <c r="H25" s="7" t="e">
        <f t="shared" si="1"/>
        <v>#DIV/0!</v>
      </c>
      <c r="I25" s="5">
        <f>产品销售数量!E22+产品销售数量!F22*1.36</f>
        <v>0</v>
      </c>
      <c r="J25" s="5" t="e">
        <f t="shared" si="164"/>
        <v>#DIV/0!</v>
      </c>
      <c r="K25" s="5">
        <f t="shared" si="2"/>
        <v>0</v>
      </c>
      <c r="L25" s="5" t="e">
        <f t="shared" si="3"/>
        <v>#DIV/0!</v>
      </c>
      <c r="M25" s="6">
        <f>应产率辅助表!D22</f>
        <v>0</v>
      </c>
      <c r="N25" s="6">
        <f>应产率辅助表!D51</f>
        <v>0</v>
      </c>
      <c r="O25" s="7" t="e">
        <f t="shared" si="4"/>
        <v>#DIV/0!</v>
      </c>
      <c r="P25" s="5">
        <f>+产品销售数量!H22</f>
        <v>0</v>
      </c>
      <c r="Q25" s="5" t="e">
        <f t="shared" si="5"/>
        <v>#DIV/0!</v>
      </c>
      <c r="R25" s="5">
        <f t="shared" si="6"/>
        <v>0</v>
      </c>
      <c r="S25" s="5" t="e">
        <f t="shared" si="7"/>
        <v>#DIV/0!</v>
      </c>
      <c r="T25" s="6">
        <f>应产率辅助表!E22</f>
        <v>0</v>
      </c>
      <c r="U25" s="6">
        <f>应产率辅助表!E51</f>
        <v>0</v>
      </c>
      <c r="V25" s="7" t="e">
        <f t="shared" si="8"/>
        <v>#DIV/0!</v>
      </c>
      <c r="W25" s="5">
        <f>+产品销售数量!V22+产品销售数量!CP22</f>
        <v>0</v>
      </c>
      <c r="X25" s="5" t="e">
        <f t="shared" si="9"/>
        <v>#DIV/0!</v>
      </c>
      <c r="Y25" s="5">
        <f t="shared" si="10"/>
        <v>0</v>
      </c>
      <c r="Z25" s="5" t="e">
        <f t="shared" si="11"/>
        <v>#DIV/0!</v>
      </c>
      <c r="AA25" s="6">
        <f>应产率辅助表!F22</f>
        <v>0</v>
      </c>
      <c r="AB25" s="6">
        <f>应产率辅助表!F51</f>
        <v>0</v>
      </c>
      <c r="AC25" s="7" t="e">
        <f t="shared" si="12"/>
        <v>#DIV/0!</v>
      </c>
      <c r="AD25" s="5">
        <f>产品销售数量!J22*1.5+产品销售数量!K22*1.5+产品销售数量!L22*1.5+产品销售数量!O22*1.5+产品销售数量!P22*1.5+产品销售数量!S22*1.5+产品销售数量!T22*1.5+产品销售数量!CH22*1.35+产品销售数量!M22*1.5+产品销售数量!CK22*0.89*1.5+产品销售数量!BL22*1.35+产品销售数量!AU22*0.9+产品销售数量!AW22*0.9+产品销售数量!BB22*1.5+产品销售数量!CN22*1.35+产品销售数量!CO22*1.35+产品销售数量!CQ22*1.5+产品销售数量!CX22*1.5+产品销售数量!CY22*1.35+产品销售数量!CZ22*1.35</f>
        <v>0</v>
      </c>
      <c r="AE25" s="5" t="e">
        <f t="shared" si="13"/>
        <v>#DIV/0!</v>
      </c>
      <c r="AF25" s="5">
        <f t="shared" si="14"/>
        <v>0</v>
      </c>
      <c r="AG25" s="5" t="e">
        <f t="shared" si="15"/>
        <v>#DIV/0!</v>
      </c>
      <c r="AH25" s="6">
        <f t="shared" si="165"/>
        <v>0</v>
      </c>
      <c r="AI25" s="6">
        <f>应产率辅助表!G22</f>
        <v>0</v>
      </c>
      <c r="AJ25" s="6">
        <f>应产率辅助表!G51</f>
        <v>0</v>
      </c>
      <c r="AK25" s="7" t="e">
        <f t="shared" si="17"/>
        <v>#DIV/0!</v>
      </c>
      <c r="AL25" s="5" t="e">
        <f>+产品销售数量!J22*1.13+产品销售数量!K22*1.13+产品销售数量!O22*1.13+产品销售数量!U22+产品销售数量!V22*2.6+产品销售数量!W22*2.6+产品销售数量!X22*1.6+产品销售数量!Y22+产品销售数量!AB22*1.74+产品销售数量!BC22*1.19+产品销售数量!BL22*0.98+产品销售数量!BM22*0.74+产品销售数量!BN22*4.495+产品销售数量!BQ22*2.29+产品销售数量!BV22*2.56+产品销售数量!CG22*1.74+产品销售数量!CJ22*0.8+产品销售数量!CK22*1.13+产品销售数量!CM22*1.19+产品销售数量!CO22*0.98+产品销售数量!CP22*2.62+产品销售数量!CQ22*1.13+产品销售数量!CR22*1.4+产品销售数量!CS22*1.4+产品销售数量!CT22*1.4+产品销售数量!#REF!*5.29+产品销售数量!CV22*1.13+产品销售数量!CW22*0.98+产品销售数量!CX22*0.378+产品销售数量!CY22*1.19+产品销售数量!DA22*0.87+产品销售数量!DB22*1.5+产品销售数量!DI22*0.595+产品销售数量!DK22*1.74</f>
        <v>#REF!</v>
      </c>
      <c r="AM25" s="5" t="e">
        <f t="shared" si="18"/>
        <v>#REF!</v>
      </c>
      <c r="AN25" s="5" t="e">
        <f t="shared" si="19"/>
        <v>#REF!</v>
      </c>
      <c r="AO25" s="5" t="e">
        <f t="shared" si="20"/>
        <v>#DIV/0!</v>
      </c>
      <c r="AP25" s="6">
        <f>应产率辅助表!H22</f>
        <v>0</v>
      </c>
      <c r="AQ25" s="6">
        <f>应产率辅助表!H51</f>
        <v>0</v>
      </c>
      <c r="AR25" s="7" t="e">
        <f t="shared" si="21"/>
        <v>#DIV/0!</v>
      </c>
      <c r="AS25" s="5">
        <f>产品销售数量!I22*0.858+产品销售数量!Z22*0.686+产品销售数量!AA22*1.79+产品销售数量!CF22*1.79+产品销售数量!CL22*0.89</f>
        <v>0</v>
      </c>
      <c r="AT25" s="5" t="e">
        <f t="shared" si="22"/>
        <v>#DIV/0!</v>
      </c>
      <c r="AU25" s="5">
        <f t="shared" si="23"/>
        <v>0</v>
      </c>
      <c r="AV25" s="5" t="e">
        <f t="shared" si="24"/>
        <v>#DIV/0!</v>
      </c>
      <c r="AW25" s="6">
        <f>应产率辅助表!I22</f>
        <v>0</v>
      </c>
      <c r="AX25" s="6">
        <f>应产率辅助表!I51</f>
        <v>0</v>
      </c>
      <c r="AY25" s="7" t="e">
        <f t="shared" si="25"/>
        <v>#DIV/0!</v>
      </c>
      <c r="AZ25" s="5">
        <f>+产品销售数量!I22*0.857+产品销售数量!Z22*0.485+产品销售数量!AA22*1.88+产品销售数量!CF22*1.88+产品销售数量!CL22*0.89</f>
        <v>0</v>
      </c>
      <c r="BA25" s="5" t="e">
        <f t="shared" si="26"/>
        <v>#DIV/0!</v>
      </c>
      <c r="BB25" s="5">
        <f t="shared" si="27"/>
        <v>0</v>
      </c>
      <c r="BC25" s="5" t="e">
        <f t="shared" si="28"/>
        <v>#DIV/0!</v>
      </c>
      <c r="BD25" s="6">
        <f>应产率辅助表!J22</f>
        <v>0</v>
      </c>
      <c r="BE25" s="6">
        <f>应产率辅助表!J51</f>
        <v>0</v>
      </c>
      <c r="BF25" s="7" t="e">
        <f t="shared" si="167"/>
        <v>#DIV/0!</v>
      </c>
      <c r="BG25" s="5">
        <f>+产品销售数量!J22*2+产品销售数量!L22*0.93+产品销售数量!O22*2+产品销售数量!P22*0.93+产品销售数量!U22*1.93+产品销售数量!W22*2+产品销售数量!V22*3.79+产品销售数量!I22*2.678+产品销售数量!CK22*1.32+产品销售数量!CQ22*2</f>
        <v>0</v>
      </c>
      <c r="BH25" s="5" t="e">
        <f t="shared" si="168"/>
        <v>#DIV/0!</v>
      </c>
      <c r="BI25" s="5">
        <f t="shared" si="169"/>
        <v>0</v>
      </c>
      <c r="BJ25" s="5" t="e">
        <f t="shared" si="170"/>
        <v>#DIV/0!</v>
      </c>
      <c r="BK25" s="6">
        <f>应产率辅助表!K22</f>
        <v>0</v>
      </c>
      <c r="BL25" s="6">
        <f>应产率辅助表!K51</f>
        <v>0</v>
      </c>
      <c r="BM25" s="7" t="e">
        <f t="shared" si="33"/>
        <v>#DIV/0!</v>
      </c>
      <c r="BN25" s="5" t="e">
        <f>产品销售数量!K22*1.125+产品销售数量!Y22*4.12+产品销售数量!X22*5.5+产品销售数量!AA22*13.25+产品销售数量!AB22*13.25+产品销售数量!BN22*6.87+产品销售数量!BV22+产品销售数量!CF22*13.25+产品销售数量!CG22*13.25+产品销售数量!CJ22*6.63+产品销售数量!CL22*6.63+产品销售数量!CR22*2.25+产品销售数量!CS22*2.25+产品销售数量!CT22*2.25+产品销售数量!#REF!*6.87++产品销售数量!CV22*0.75+产品销售数量!DA22*6.63+产品销售数量!DJ22*13.25+产品销售数量!DK22*13.25</f>
        <v>#REF!</v>
      </c>
      <c r="BO25" s="5" t="e">
        <f t="shared" si="0"/>
        <v>#REF!</v>
      </c>
      <c r="BP25" s="5" t="e">
        <f t="shared" si="34"/>
        <v>#REF!</v>
      </c>
      <c r="BQ25" s="5" t="e">
        <f t="shared" si="35"/>
        <v>#DIV/0!</v>
      </c>
      <c r="BR25" s="6">
        <f>应产率辅助表!L22</f>
        <v>0</v>
      </c>
      <c r="BS25" s="6">
        <f>应产率辅助表!L51</f>
        <v>0</v>
      </c>
      <c r="BT25" s="7" t="e">
        <f t="shared" si="171"/>
        <v>#DIV/0!</v>
      </c>
      <c r="BU25" s="5">
        <f>产品销售数量!O22+产品销售数量!P22+产品销售数量!CI22*1.5+产品销售数量!CK22*0.89+产品销售数量!M22*1.34</f>
        <v>0</v>
      </c>
      <c r="BV25" s="5" t="e">
        <f t="shared" si="172"/>
        <v>#DIV/0!</v>
      </c>
      <c r="BW25" s="5">
        <f t="shared" si="173"/>
        <v>0</v>
      </c>
      <c r="BX25" s="5" t="e">
        <f t="shared" si="174"/>
        <v>#DIV/0!</v>
      </c>
      <c r="BY25" s="6">
        <f>应产率辅助表!M22</f>
        <v>0</v>
      </c>
      <c r="BZ25" s="6">
        <f>应产率辅助表!M51</f>
        <v>0</v>
      </c>
      <c r="CA25" s="7" t="e">
        <f t="shared" si="40"/>
        <v>#DIV/0!</v>
      </c>
      <c r="CB25" s="5">
        <f>+产品销售数量!J22+产品销售数量!K22+产品销售数量!L22+产品销售数量!O22+产品销售数量!P22+产品销售数量!S22+产品销售数量!T22+产品销售数量!AU22*0.9+产品销售数量!AW22*0.9+产品销售数量!BL22*0.9+产品销售数量!CH22*0.9+产品销售数量!CK22*0.9+产品销售数量!CN22*0.9+产品销售数量!CO22*0.9+产品销售数量!CQ22+产品销售数量!CV22+产品销售数量!CW22*0.9+产品销售数量!DB22</f>
        <v>0</v>
      </c>
      <c r="CC25" s="5" t="e">
        <f t="shared" si="41"/>
        <v>#DIV/0!</v>
      </c>
      <c r="CD25" s="5">
        <f t="shared" si="42"/>
        <v>0</v>
      </c>
      <c r="CE25" s="5" t="e">
        <f t="shared" si="43"/>
        <v>#DIV/0!</v>
      </c>
      <c r="CF25" s="6">
        <f>应产率辅助表!N22</f>
        <v>0</v>
      </c>
      <c r="CG25" s="6">
        <f>应产率辅助表!N51</f>
        <v>0</v>
      </c>
      <c r="CH25" s="7" t="e">
        <f t="shared" si="44"/>
        <v>#DIV/0!</v>
      </c>
      <c r="CI25" s="5">
        <f>产品销售数量!P22+产品销售数量!Z22*1.4+产品销售数量!L22</f>
        <v>0</v>
      </c>
      <c r="CJ25" s="5" t="e">
        <f t="shared" si="45"/>
        <v>#DIV/0!</v>
      </c>
      <c r="CK25" s="5">
        <f t="shared" si="46"/>
        <v>0</v>
      </c>
      <c r="CL25" s="5" t="e">
        <f t="shared" si="47"/>
        <v>#DIV/0!</v>
      </c>
      <c r="CM25" s="6">
        <f>应产率辅助表!O22</f>
        <v>0</v>
      </c>
      <c r="CN25" s="6">
        <f>应产率辅助表!O51</f>
        <v>0</v>
      </c>
      <c r="CO25" s="7" t="e">
        <f t="shared" si="48"/>
        <v>#DIV/0!</v>
      </c>
      <c r="CP25" s="5">
        <f>+产品销售数量!AE22*1.04+产品销售数量!AD22*1.279+产品销售数量!BW22*1.04+产品销售数量!BX22*1.279</f>
        <v>0</v>
      </c>
      <c r="CQ25" s="5" t="e">
        <f t="shared" si="49"/>
        <v>#DIV/0!</v>
      </c>
      <c r="CR25" s="5">
        <f t="shared" si="50"/>
        <v>0</v>
      </c>
      <c r="CS25" s="5" t="e">
        <f t="shared" si="51"/>
        <v>#DIV/0!</v>
      </c>
      <c r="CT25" s="6">
        <f>应产率辅助表!P22</f>
        <v>0</v>
      </c>
      <c r="CU25" s="6">
        <f>应产率辅助表!P51</f>
        <v>0</v>
      </c>
      <c r="CV25" s="7" t="e">
        <f t="shared" si="52"/>
        <v>#DIV/0!</v>
      </c>
      <c r="CW25" s="5">
        <f>+产品销售数量!AC22*1.08+产品销售数量!AH22*1+产品销售数量!AG22*1.45+产品销售数量!BG22*0.834+产品销售数量!CU22*0.834+产品销售数量!DM22*1.19</f>
        <v>0</v>
      </c>
      <c r="CX25" s="5" t="e">
        <f t="shared" si="53"/>
        <v>#DIV/0!</v>
      </c>
      <c r="CY25" s="5">
        <f t="shared" si="54"/>
        <v>0</v>
      </c>
      <c r="CZ25" s="5" t="e">
        <f t="shared" si="55"/>
        <v>#DIV/0!</v>
      </c>
      <c r="DA25" s="6">
        <f>应产率辅助表!Q22</f>
        <v>0</v>
      </c>
      <c r="DB25" s="6">
        <f>应产率辅助表!Q51</f>
        <v>0</v>
      </c>
      <c r="DC25" s="7" t="e">
        <f t="shared" si="56"/>
        <v>#DIV/0!</v>
      </c>
      <c r="DD25" s="5">
        <f>产品销售数量!AJ22*2+产品销售数量!AK22*1.38+产品销售数量!AL22+产品销售数量!BT22*1.38+产品销售数量!BU22*2</f>
        <v>0</v>
      </c>
      <c r="DE25" s="5" t="e">
        <f t="shared" si="57"/>
        <v>#DIV/0!</v>
      </c>
      <c r="DF25" s="5">
        <f t="shared" si="58"/>
        <v>0</v>
      </c>
      <c r="DG25" s="5" t="e">
        <f t="shared" si="59"/>
        <v>#DIV/0!</v>
      </c>
      <c r="DH25" s="6">
        <f>应产率辅助表!R22</f>
        <v>0</v>
      </c>
      <c r="DI25" s="6">
        <f>应产率辅助表!R51</f>
        <v>0</v>
      </c>
      <c r="DJ25" s="7" t="e">
        <f t="shared" si="60"/>
        <v>#DIV/0!</v>
      </c>
      <c r="DK25" s="5">
        <f>+产品销售数量!AM22*1.375+产品销售数量!AN22+产品销售数量!AO22*0.75+产品销售数量!BR22*0.57</f>
        <v>0</v>
      </c>
      <c r="DL25" s="5" t="e">
        <f t="shared" si="61"/>
        <v>#DIV/0!</v>
      </c>
      <c r="DM25" s="5">
        <f t="shared" si="62"/>
        <v>0</v>
      </c>
      <c r="DN25" s="5" t="e">
        <f t="shared" si="63"/>
        <v>#DIV/0!</v>
      </c>
      <c r="DO25" s="6">
        <f>应产率辅助表!S22+应产率辅助表!T22</f>
        <v>0</v>
      </c>
      <c r="DP25" s="6">
        <f>应产率辅助表!S51+应产率辅助表!T51</f>
        <v>0</v>
      </c>
      <c r="DQ25" s="7" t="e">
        <f t="shared" si="64"/>
        <v>#DIV/0!</v>
      </c>
      <c r="DR25" s="5" t="e">
        <f>+产品销售数量!Y22+产品销售数量!X22+产品销售数量!AB22*3+产品销售数量!CG22*3+产品销售数量!CJ22*2+产品销售数量!BN22*2+产品销售数量!CR22+产品销售数量!CS22+产品销售数量!CT22+产品销售数量!BM22+产品销售数量!#REF!*3+产品销售数量!AA22+产品销售数量!CF22</f>
        <v>#REF!</v>
      </c>
      <c r="DS25" s="5" t="e">
        <f t="shared" si="65"/>
        <v>#REF!</v>
      </c>
      <c r="DT25" s="5" t="e">
        <f t="shared" si="66"/>
        <v>#REF!</v>
      </c>
      <c r="DU25" s="5" t="e">
        <f t="shared" si="67"/>
        <v>#DIV/0!</v>
      </c>
      <c r="DV25" s="6">
        <f>应产率辅助表!U22</f>
        <v>0</v>
      </c>
      <c r="DW25" s="6">
        <f>应产率辅助表!U51</f>
        <v>0</v>
      </c>
      <c r="DX25" s="7" t="e">
        <f t="shared" si="68"/>
        <v>#DIV/0!</v>
      </c>
      <c r="DY25" s="5" t="e">
        <f>+产品销售数量!E22+产品销售数量!F22*2+产品销售数量!G22+产品销售数量!#REF!+产品销售数量!CY22+产品销售数量!DE22+产品销售数量!DH22</f>
        <v>#REF!</v>
      </c>
      <c r="DZ25" s="5" t="e">
        <f t="shared" si="69"/>
        <v>#REF!</v>
      </c>
      <c r="EA25" s="5" t="e">
        <f t="shared" si="70"/>
        <v>#REF!</v>
      </c>
      <c r="EB25" s="5" t="e">
        <f t="shared" si="71"/>
        <v>#DIV/0!</v>
      </c>
      <c r="EC25" s="6">
        <f>应产率辅助表!V22</f>
        <v>0</v>
      </c>
      <c r="ED25" s="6">
        <f>应产率辅助表!V51</f>
        <v>0</v>
      </c>
      <c r="EE25" s="7" t="e">
        <f t="shared" si="72"/>
        <v>#DIV/0!</v>
      </c>
      <c r="EF25" s="5">
        <f>+产品销售数量!AS22</f>
        <v>0</v>
      </c>
      <c r="EG25" s="5" t="e">
        <f t="shared" si="73"/>
        <v>#DIV/0!</v>
      </c>
      <c r="EH25" s="5">
        <f t="shared" si="74"/>
        <v>0</v>
      </c>
      <c r="EI25" s="5" t="e">
        <f t="shared" si="75"/>
        <v>#DIV/0!</v>
      </c>
      <c r="EJ25" s="6">
        <f>应产率辅助表!W22</f>
        <v>0</v>
      </c>
      <c r="EK25" s="6">
        <f>应产率辅助表!W51</f>
        <v>0</v>
      </c>
      <c r="EL25" s="7" t="e">
        <f t="shared" si="76"/>
        <v>#DIV/0!</v>
      </c>
      <c r="EM25" s="5">
        <f>+产品销售数量!AD22+产品销售数量!AE22+产品销售数量!AF22+产品销售数量!AG22+产品销售数量!AH22+产品销售数量!AI22+产品销售数量!AJ22+产品销售数量!AK22+产品销售数量!AL22+产品销售数量!AM22+产品销售数量!AN22+产品销售数量!AO22+产品销售数量!AQ22+产品销售数量!AP22+产品销售数量!AR22+产品销售数量!BR22+产品销售数量!AS22+产品销售数量!CA22+产品销售数量!BE22+产品销售数量!BF22</f>
        <v>0</v>
      </c>
      <c r="EN25" s="5" t="e">
        <f t="shared" si="77"/>
        <v>#DIV/0!</v>
      </c>
      <c r="EO25" s="5">
        <f t="shared" si="78"/>
        <v>0</v>
      </c>
      <c r="EP25" s="5" t="e">
        <f t="shared" si="79"/>
        <v>#DIV/0!</v>
      </c>
      <c r="EQ25" s="6">
        <f>应产率辅助表!X22</f>
        <v>0</v>
      </c>
      <c r="ER25" s="6">
        <f>应产率辅助表!X51</f>
        <v>0</v>
      </c>
      <c r="ES25" s="7" t="e">
        <f t="shared" si="80"/>
        <v>#DIV/0!</v>
      </c>
      <c r="ET25" s="5">
        <f>+产品销售数量!AQ22+产品销售数量!AP22+产品销售数量!AR22+产品销售数量!BR22+产品销售数量!AS22+产品销售数量!CA22+产品销售数量!BE22+产品销售数量!BF22</f>
        <v>0</v>
      </c>
      <c r="EU25" s="5" t="e">
        <f t="shared" si="81"/>
        <v>#DIV/0!</v>
      </c>
      <c r="EV25" s="5">
        <f t="shared" si="82"/>
        <v>0</v>
      </c>
      <c r="EW25" s="5" t="e">
        <f t="shared" si="83"/>
        <v>#DIV/0!</v>
      </c>
      <c r="EX25" s="6">
        <f>应产率辅助表!Y22</f>
        <v>0</v>
      </c>
      <c r="EY25" s="6">
        <f>应产率辅助表!Y51</f>
        <v>0</v>
      </c>
      <c r="EZ25" s="7" t="e">
        <f t="shared" si="84"/>
        <v>#DIV/0!</v>
      </c>
      <c r="FA25" s="5">
        <f>产品销售数量!H22</f>
        <v>0</v>
      </c>
      <c r="FB25" s="5" t="e">
        <f t="shared" si="85"/>
        <v>#DIV/0!</v>
      </c>
      <c r="FC25" s="5">
        <f t="shared" si="86"/>
        <v>0</v>
      </c>
      <c r="FD25" s="5" t="e">
        <f t="shared" si="87"/>
        <v>#DIV/0!</v>
      </c>
      <c r="FE25" s="6">
        <f>应产率辅助表!Z22</f>
        <v>0</v>
      </c>
      <c r="FF25" s="6">
        <f>应产率辅助表!Z51</f>
        <v>0</v>
      </c>
      <c r="FG25" s="7" t="e">
        <f t="shared" si="88"/>
        <v>#DIV/0!</v>
      </c>
      <c r="FH25" s="5">
        <f>+产品销售数量!J22+产品销售数量!K22+产品销售数量!L22+产品销售数量!M22+产品销售数量!O22+产品销售数量!P22+产品销售数量!S22+产品销售数量!T22+产品销售数量!BQ22+产品销售数量!BS22+产品销售数量!CC22+产品销售数量!CH22+产品销售数量!CI22+产品销售数量!CJ22+产品销售数量!CK22+产品销售数量!CL22+产品销售数量!BL22+产品销售数量!AU22++产品销售数量!AW22+产品销售数量!BQ22+产品销售数量!CN22+产品销售数量!CO22+产品销售数量!CQ22+产品销售数量!CX22+产品销售数量!CY22+产品销售数量!CM22</f>
        <v>0</v>
      </c>
      <c r="FI25" s="5" t="e">
        <f t="shared" si="89"/>
        <v>#DIV/0!</v>
      </c>
      <c r="FJ25" s="5">
        <f t="shared" si="90"/>
        <v>0</v>
      </c>
      <c r="FK25" s="5" t="e">
        <f t="shared" si="91"/>
        <v>#DIV/0!</v>
      </c>
      <c r="FL25" s="6">
        <f>应产率辅助表!AA22</f>
        <v>0</v>
      </c>
      <c r="FM25" s="6">
        <f>应产率辅助表!AA51</f>
        <v>0</v>
      </c>
      <c r="FN25" s="7" t="e">
        <f t="shared" si="92"/>
        <v>#DIV/0!</v>
      </c>
      <c r="FO25" s="5">
        <f>+产品销售数量!R22+产品销售数量!CE22</f>
        <v>0</v>
      </c>
      <c r="FP25" s="5" t="e">
        <f t="shared" si="93"/>
        <v>#DIV/0!</v>
      </c>
      <c r="FQ25" s="5">
        <f t="shared" si="94"/>
        <v>0</v>
      </c>
      <c r="FR25" s="5" t="e">
        <f t="shared" si="95"/>
        <v>#DIV/0!</v>
      </c>
      <c r="FS25" s="6">
        <f>应产率辅助表!AB22</f>
        <v>0</v>
      </c>
      <c r="FT25" s="5">
        <f t="shared" si="96"/>
        <v>0</v>
      </c>
      <c r="FU25" s="6">
        <f>应产率辅助表!AB51</f>
        <v>0</v>
      </c>
      <c r="FV25" s="7" t="e">
        <f t="shared" si="97"/>
        <v>#DIV/0!</v>
      </c>
      <c r="FW25" s="5" t="e">
        <f t="shared" si="98"/>
        <v>#DIV/0!</v>
      </c>
      <c r="FX25" s="6">
        <f>应产率辅助表!AC22</f>
        <v>0</v>
      </c>
      <c r="FY25" s="6">
        <f>应产率辅助表!AC51</f>
        <v>0</v>
      </c>
      <c r="FZ25" s="7" t="e">
        <f t="shared" si="99"/>
        <v>#DIV/0!</v>
      </c>
      <c r="GA25" s="5" t="e">
        <f t="shared" si="100"/>
        <v>#DIV/0!</v>
      </c>
      <c r="GB25" s="6">
        <f>应产率辅助表!AD22</f>
        <v>0</v>
      </c>
      <c r="GC25" s="6">
        <f>应产率辅助表!AD51</f>
        <v>0</v>
      </c>
      <c r="GD25" s="7" t="e">
        <f t="shared" si="101"/>
        <v>#DIV/0!</v>
      </c>
      <c r="GE25" s="6">
        <f>应产率辅助表!AE22</f>
        <v>0</v>
      </c>
      <c r="GF25" s="6">
        <f>应产率辅助表!AE51</f>
        <v>0</v>
      </c>
      <c r="GG25" s="7" t="e">
        <f t="shared" si="102"/>
        <v>#DIV/0!</v>
      </c>
      <c r="GH25" s="6">
        <f>应产率辅助表!AF22</f>
        <v>0</v>
      </c>
      <c r="GI25" s="6">
        <f>应产率辅助表!AF51</f>
        <v>0</v>
      </c>
      <c r="GJ25" s="7" t="e">
        <f t="shared" si="103"/>
        <v>#DIV/0!</v>
      </c>
      <c r="GK25" s="6">
        <f>应产率辅助表!AG22</f>
        <v>0</v>
      </c>
      <c r="GL25" s="6">
        <f>应产率辅助表!AG51</f>
        <v>0</v>
      </c>
      <c r="GM25" s="7" t="e">
        <f t="shared" si="104"/>
        <v>#DIV/0!</v>
      </c>
      <c r="GN25" s="6"/>
      <c r="GO25" s="6">
        <f>应产率辅助表!AH22</f>
        <v>0</v>
      </c>
      <c r="GP25" s="6">
        <f>应产率辅助表!AH51</f>
        <v>0</v>
      </c>
      <c r="GQ25" s="7" t="e">
        <f t="shared" si="105"/>
        <v>#DIV/0!</v>
      </c>
      <c r="GR25" s="6">
        <f>应产率辅助表!AI22</f>
        <v>0</v>
      </c>
      <c r="GS25" s="6">
        <f>应产率辅助表!AI51</f>
        <v>0</v>
      </c>
      <c r="GT25" s="7" t="e">
        <f t="shared" si="106"/>
        <v>#DIV/0!</v>
      </c>
      <c r="GU25" s="72">
        <f>应产率辅助表!AJ22</f>
        <v>0</v>
      </c>
      <c r="GV25" s="72">
        <f>应产率辅助表!AJ51</f>
        <v>0</v>
      </c>
      <c r="GW25" s="7" t="e">
        <f t="shared" si="107"/>
        <v>#DIV/0!</v>
      </c>
      <c r="GX25" s="72">
        <f>应产率辅助表!AK22</f>
        <v>0</v>
      </c>
      <c r="GY25" s="72">
        <f>应产率辅助表!AK51</f>
        <v>0</v>
      </c>
      <c r="GZ25" s="7" t="e">
        <f t="shared" si="108"/>
        <v>#DIV/0!</v>
      </c>
      <c r="HA25" s="72">
        <f>应产率辅助表!AL22</f>
        <v>0</v>
      </c>
      <c r="HB25" s="72">
        <f>应产率辅助表!AL51</f>
        <v>0</v>
      </c>
      <c r="HC25" s="7" t="e">
        <f t="shared" si="109"/>
        <v>#DIV/0!</v>
      </c>
      <c r="HD25" s="72">
        <f>应产率辅助表!AM22</f>
        <v>0</v>
      </c>
      <c r="HE25" s="72">
        <f>应产率辅助表!AM51</f>
        <v>0</v>
      </c>
      <c r="HF25" s="7" t="e">
        <f t="shared" si="110"/>
        <v>#DIV/0!</v>
      </c>
      <c r="HG25" s="72">
        <f>应产率辅助表!AN22</f>
        <v>0</v>
      </c>
      <c r="HH25" s="72">
        <f>应产率辅助表!AN51</f>
        <v>0</v>
      </c>
      <c r="HI25" s="7" t="e">
        <f t="shared" si="111"/>
        <v>#DIV/0!</v>
      </c>
      <c r="HJ25" s="72">
        <f>应产率辅助表!AO22</f>
        <v>0</v>
      </c>
      <c r="HK25" s="72">
        <f>应产率辅助表!AO51</f>
        <v>0</v>
      </c>
      <c r="HL25" s="7" t="e">
        <f t="shared" si="112"/>
        <v>#DIV/0!</v>
      </c>
      <c r="HM25" s="72">
        <f>应产率辅助表!AP22</f>
        <v>0</v>
      </c>
      <c r="HN25" s="72">
        <f>应产率辅助表!AP51</f>
        <v>0</v>
      </c>
      <c r="HO25" s="7" t="e">
        <f t="shared" si="113"/>
        <v>#DIV/0!</v>
      </c>
      <c r="HP25" s="6"/>
      <c r="HQ25" s="6">
        <f t="shared" si="175"/>
        <v>0</v>
      </c>
      <c r="HR25" s="5" t="e">
        <f t="shared" si="115"/>
        <v>#DIV/0!</v>
      </c>
      <c r="HS25" s="6">
        <v>0</v>
      </c>
      <c r="HT25" s="6">
        <v>0</v>
      </c>
      <c r="HU25" s="5" t="e">
        <f t="shared" si="116"/>
        <v>#DIV/0!</v>
      </c>
      <c r="HV25" s="6">
        <v>0</v>
      </c>
      <c r="HW25" s="6">
        <v>0</v>
      </c>
      <c r="HX25" s="5" t="e">
        <f t="shared" si="117"/>
        <v>#DIV/0!</v>
      </c>
      <c r="HY25" s="5"/>
      <c r="HZ25" s="5"/>
      <c r="IA25" s="5" t="e">
        <f t="shared" si="166"/>
        <v>#DIV/0!</v>
      </c>
      <c r="IB25" s="5">
        <f t="shared" si="118"/>
        <v>0</v>
      </c>
      <c r="IC25" s="5">
        <f t="shared" si="118"/>
        <v>0</v>
      </c>
      <c r="ID25" s="5" t="e">
        <f t="shared" si="119"/>
        <v>#DIV/0!</v>
      </c>
      <c r="IE25" s="7">
        <f t="shared" si="120"/>
        <v>0</v>
      </c>
      <c r="IF25" s="7">
        <f t="shared" si="120"/>
        <v>0</v>
      </c>
      <c r="IG25" s="5" t="e">
        <f t="shared" si="121"/>
        <v>#DIV/0!</v>
      </c>
      <c r="IH25" s="5" t="e">
        <f t="shared" si="122"/>
        <v>#DIV/0!</v>
      </c>
      <c r="II25" s="5" t="e">
        <f t="shared" si="123"/>
        <v>#DIV/0!</v>
      </c>
      <c r="IJ25" s="8" t="e">
        <f t="shared" si="124"/>
        <v>#DIV/0!</v>
      </c>
      <c r="IK25" s="8" t="e">
        <f t="shared" si="125"/>
        <v>#DIV/0!</v>
      </c>
      <c r="IL25" s="8" t="e">
        <f t="shared" si="126"/>
        <v>#DIV/0!</v>
      </c>
      <c r="IM25" s="8" t="e">
        <f t="shared" si="127"/>
        <v>#DIV/0!</v>
      </c>
      <c r="IN25" s="8" t="e">
        <f t="shared" si="128"/>
        <v>#DIV/0!</v>
      </c>
      <c r="IO25" s="8" t="e">
        <f t="shared" si="129"/>
        <v>#DIV/0!</v>
      </c>
      <c r="IP25" s="8" t="e">
        <f t="shared" si="130"/>
        <v>#DIV/0!</v>
      </c>
      <c r="IQ25" s="8" t="e">
        <f t="shared" si="131"/>
        <v>#DIV/0!</v>
      </c>
      <c r="IR25" s="8" t="e">
        <f t="shared" si="132"/>
        <v>#DIV/0!</v>
      </c>
      <c r="IS25" s="8" t="e">
        <f t="shared" si="133"/>
        <v>#DIV/0!</v>
      </c>
      <c r="IT25" s="8" t="e">
        <f t="shared" si="134"/>
        <v>#DIV/0!</v>
      </c>
      <c r="IU25" s="8" t="e">
        <f t="shared" si="135"/>
        <v>#DIV/0!</v>
      </c>
      <c r="IV25" s="8" t="e">
        <f t="shared" si="136"/>
        <v>#DIV/0!</v>
      </c>
      <c r="IW25" s="8" t="e">
        <f t="shared" si="137"/>
        <v>#DIV/0!</v>
      </c>
      <c r="IX25" s="8" t="e">
        <f t="shared" si="138"/>
        <v>#DIV/0!</v>
      </c>
      <c r="IY25" s="8" t="e">
        <f t="shared" si="139"/>
        <v>#DIV/0!</v>
      </c>
      <c r="IZ25" s="8" t="e">
        <f t="shared" si="140"/>
        <v>#DIV/0!</v>
      </c>
      <c r="JA25" s="8" t="e">
        <f t="shared" si="141"/>
        <v>#DIV/0!</v>
      </c>
      <c r="JB25" s="8" t="e">
        <f t="shared" si="142"/>
        <v>#DIV/0!</v>
      </c>
      <c r="JC25" s="8" t="e">
        <f t="shared" si="143"/>
        <v>#DIV/0!</v>
      </c>
      <c r="JD25" s="8" t="e">
        <f t="shared" si="144"/>
        <v>#DIV/0!</v>
      </c>
      <c r="JE25" s="8" t="e">
        <f t="shared" si="145"/>
        <v>#DIV/0!</v>
      </c>
      <c r="JF25" s="8" t="e">
        <f t="shared" si="146"/>
        <v>#DIV/0!</v>
      </c>
      <c r="JG25" s="8" t="e">
        <f t="shared" si="147"/>
        <v>#DIV/0!</v>
      </c>
      <c r="JH25" s="8" t="e">
        <f t="shared" si="148"/>
        <v>#DIV/0!</v>
      </c>
      <c r="JI25" s="8" t="e">
        <f t="shared" si="149"/>
        <v>#DIV/0!</v>
      </c>
      <c r="JJ25" s="8" t="e">
        <f t="shared" si="150"/>
        <v>#DIV/0!</v>
      </c>
      <c r="JK25" s="8" t="e">
        <f t="shared" si="151"/>
        <v>#DIV/0!</v>
      </c>
      <c r="JL25" s="8" t="e">
        <f t="shared" si="152"/>
        <v>#DIV/0!</v>
      </c>
      <c r="JM25" s="8" t="e">
        <f t="shared" si="153"/>
        <v>#DIV/0!</v>
      </c>
      <c r="JN25" s="8" t="e">
        <f t="shared" si="154"/>
        <v>#DIV/0!</v>
      </c>
      <c r="JO25" s="8" t="e">
        <f t="shared" si="155"/>
        <v>#DIV/0!</v>
      </c>
      <c r="JP25" s="9" t="e">
        <f t="shared" si="156"/>
        <v>#DIV/0!</v>
      </c>
      <c r="JQ25" s="9" t="e">
        <f t="shared" si="157"/>
        <v>#DIV/0!</v>
      </c>
      <c r="JR25" s="9" t="e">
        <f t="shared" si="158"/>
        <v>#DIV/0!</v>
      </c>
      <c r="JS25" s="9" t="e">
        <f t="shared" si="159"/>
        <v>#DIV/0!</v>
      </c>
      <c r="JT25" s="9" t="e">
        <f t="shared" si="160"/>
        <v>#DIV/0!</v>
      </c>
      <c r="JU25" s="9" t="e">
        <f t="shared" si="161"/>
        <v>#DIV/0!</v>
      </c>
      <c r="JV25" s="9" t="e">
        <f t="shared" si="162"/>
        <v>#DIV/0!</v>
      </c>
      <c r="JW25" s="9" t="e">
        <f t="shared" si="163"/>
        <v>#DIV/0!</v>
      </c>
    </row>
    <row r="26" spans="1:283" s="11" customFormat="1" ht="18" hidden="1" customHeight="1" x14ac:dyDescent="0.15">
      <c r="A26" s="10"/>
      <c r="B26" s="5"/>
      <c r="C26" s="5"/>
      <c r="D26" s="55"/>
      <c r="E26" s="56">
        <f>产品销售数量!D23</f>
        <v>0</v>
      </c>
      <c r="F26" s="6">
        <f>应产率辅助表!C23</f>
        <v>0</v>
      </c>
      <c r="G26" s="6">
        <f>应产率辅助表!C52</f>
        <v>0</v>
      </c>
      <c r="H26" s="7" t="e">
        <f t="shared" si="1"/>
        <v>#DIV/0!</v>
      </c>
      <c r="I26" s="5">
        <f>产品销售数量!E23+产品销售数量!F23*1.36</f>
        <v>0</v>
      </c>
      <c r="J26" s="5" t="e">
        <f t="shared" si="164"/>
        <v>#DIV/0!</v>
      </c>
      <c r="K26" s="5">
        <f t="shared" si="2"/>
        <v>0</v>
      </c>
      <c r="L26" s="5" t="e">
        <f t="shared" si="3"/>
        <v>#DIV/0!</v>
      </c>
      <c r="M26" s="6">
        <f>应产率辅助表!D23</f>
        <v>0</v>
      </c>
      <c r="N26" s="6">
        <f>应产率辅助表!D52</f>
        <v>0</v>
      </c>
      <c r="O26" s="7" t="e">
        <f t="shared" si="4"/>
        <v>#DIV/0!</v>
      </c>
      <c r="P26" s="5">
        <f>+产品销售数量!H23</f>
        <v>0</v>
      </c>
      <c r="Q26" s="5" t="e">
        <f t="shared" si="5"/>
        <v>#DIV/0!</v>
      </c>
      <c r="R26" s="5">
        <f t="shared" si="6"/>
        <v>0</v>
      </c>
      <c r="S26" s="5" t="e">
        <f t="shared" si="7"/>
        <v>#DIV/0!</v>
      </c>
      <c r="T26" s="6">
        <f>应产率辅助表!E23</f>
        <v>0</v>
      </c>
      <c r="U26" s="6">
        <f>应产率辅助表!E52</f>
        <v>0</v>
      </c>
      <c r="V26" s="7" t="e">
        <f t="shared" si="8"/>
        <v>#DIV/0!</v>
      </c>
      <c r="W26" s="5">
        <f>+产品销售数量!V23+产品销售数量!CP23</f>
        <v>0</v>
      </c>
      <c r="X26" s="5" t="e">
        <f t="shared" si="9"/>
        <v>#DIV/0!</v>
      </c>
      <c r="Y26" s="5">
        <f t="shared" si="10"/>
        <v>0</v>
      </c>
      <c r="Z26" s="5" t="e">
        <f t="shared" si="11"/>
        <v>#DIV/0!</v>
      </c>
      <c r="AA26" s="6">
        <f>应产率辅助表!F23</f>
        <v>0</v>
      </c>
      <c r="AB26" s="6">
        <f>应产率辅助表!F52</f>
        <v>0</v>
      </c>
      <c r="AC26" s="7" t="e">
        <f t="shared" si="12"/>
        <v>#DIV/0!</v>
      </c>
      <c r="AD26" s="5">
        <f>产品销售数量!J23*1.5+产品销售数量!K23*1.5+产品销售数量!L23*1.5+产品销售数量!O23*1.5+产品销售数量!P23*1.5+产品销售数量!S23*1.5+产品销售数量!T23*1.5+产品销售数量!CH23*1.35+产品销售数量!M23*1.5+产品销售数量!CK23*0.89*1.5+产品销售数量!BL23*1.35+产品销售数量!AU23*0.9+产品销售数量!AW23*0.9+产品销售数量!BB23*1.5+产品销售数量!CN23*1.35+产品销售数量!CO23*1.35+产品销售数量!CQ23*1.5+产品销售数量!CX23*1.5+产品销售数量!CY23*1.35+产品销售数量!CZ23*1.35</f>
        <v>0</v>
      </c>
      <c r="AE26" s="5" t="e">
        <f t="shared" si="13"/>
        <v>#DIV/0!</v>
      </c>
      <c r="AF26" s="5">
        <f t="shared" si="14"/>
        <v>0</v>
      </c>
      <c r="AG26" s="5" t="e">
        <f t="shared" si="15"/>
        <v>#DIV/0!</v>
      </c>
      <c r="AH26" s="6">
        <f t="shared" si="165"/>
        <v>0</v>
      </c>
      <c r="AI26" s="6">
        <f>应产率辅助表!G23</f>
        <v>0</v>
      </c>
      <c r="AJ26" s="6">
        <f>应产率辅助表!G52</f>
        <v>0</v>
      </c>
      <c r="AK26" s="7" t="e">
        <f t="shared" si="17"/>
        <v>#DIV/0!</v>
      </c>
      <c r="AL26" s="5" t="e">
        <f>+产品销售数量!J23*1.13+产品销售数量!K23*1.13+产品销售数量!O23*1.13+产品销售数量!U23+产品销售数量!V23*2.6+产品销售数量!W23*2.6+产品销售数量!X23*1.6+产品销售数量!Y23+产品销售数量!AB23*1.74+产品销售数量!BC23*1.19+产品销售数量!BL23*0.98+产品销售数量!BM23*0.74+产品销售数量!BN23*4.495+产品销售数量!BQ23*2.29+产品销售数量!BV23*2.56+产品销售数量!CG23*1.74+产品销售数量!CJ23*0.8+产品销售数量!CK23*1.13+产品销售数量!CM23*1.19+产品销售数量!CO23*0.98+产品销售数量!CP23*2.62+产品销售数量!CQ23*1.13+产品销售数量!CR23*1.4+产品销售数量!CS23*1.4+产品销售数量!CT23*1.4+产品销售数量!#REF!*5.29+产品销售数量!CV23*1.13+产品销售数量!CW23*0.98+产品销售数量!CX23*0.378+产品销售数量!CY23*1.19+产品销售数量!DA23*0.87+产品销售数量!DB23*1.5+产品销售数量!DI23*0.595+产品销售数量!DK23*1.74</f>
        <v>#REF!</v>
      </c>
      <c r="AM26" s="5" t="e">
        <f t="shared" si="18"/>
        <v>#REF!</v>
      </c>
      <c r="AN26" s="5" t="e">
        <f t="shared" si="19"/>
        <v>#REF!</v>
      </c>
      <c r="AO26" s="5" t="e">
        <f t="shared" si="20"/>
        <v>#DIV/0!</v>
      </c>
      <c r="AP26" s="6">
        <f>应产率辅助表!H23</f>
        <v>0</v>
      </c>
      <c r="AQ26" s="6">
        <f>应产率辅助表!H52</f>
        <v>0</v>
      </c>
      <c r="AR26" s="7" t="e">
        <f t="shared" si="21"/>
        <v>#DIV/0!</v>
      </c>
      <c r="AS26" s="5">
        <f>产品销售数量!I23*0.858+产品销售数量!Z23*0.686+产品销售数量!AA23*1.79+产品销售数量!CF23*1.79+产品销售数量!CL23*0.89</f>
        <v>0</v>
      </c>
      <c r="AT26" s="5" t="e">
        <f t="shared" si="22"/>
        <v>#DIV/0!</v>
      </c>
      <c r="AU26" s="5">
        <f t="shared" si="23"/>
        <v>0</v>
      </c>
      <c r="AV26" s="5" t="e">
        <f t="shared" si="24"/>
        <v>#DIV/0!</v>
      </c>
      <c r="AW26" s="6">
        <f>应产率辅助表!I23</f>
        <v>0</v>
      </c>
      <c r="AX26" s="6">
        <f>应产率辅助表!I52</f>
        <v>0</v>
      </c>
      <c r="AY26" s="7" t="e">
        <f t="shared" si="25"/>
        <v>#DIV/0!</v>
      </c>
      <c r="AZ26" s="5">
        <f>+产品销售数量!I23*0.857+产品销售数量!Z23*0.485+产品销售数量!AA23*1.88+产品销售数量!CF23*1.88+产品销售数量!CL23*0.89</f>
        <v>0</v>
      </c>
      <c r="BA26" s="5" t="e">
        <f t="shared" si="26"/>
        <v>#DIV/0!</v>
      </c>
      <c r="BB26" s="5">
        <f t="shared" si="27"/>
        <v>0</v>
      </c>
      <c r="BC26" s="5" t="e">
        <f t="shared" si="28"/>
        <v>#DIV/0!</v>
      </c>
      <c r="BD26" s="6">
        <f>应产率辅助表!J23</f>
        <v>0</v>
      </c>
      <c r="BE26" s="6">
        <f>应产率辅助表!J52</f>
        <v>0</v>
      </c>
      <c r="BF26" s="7" t="e">
        <f t="shared" si="167"/>
        <v>#DIV/0!</v>
      </c>
      <c r="BG26" s="5">
        <f>+产品销售数量!J23*2+产品销售数量!L23*0.93+产品销售数量!O23*2+产品销售数量!P23*0.93+产品销售数量!U23*1.93+产品销售数量!W23*2+产品销售数量!V23*3.79+产品销售数量!I23*2.678+产品销售数量!CK23*1.32+产品销售数量!CQ23*2</f>
        <v>0</v>
      </c>
      <c r="BH26" s="5" t="e">
        <f t="shared" si="168"/>
        <v>#DIV/0!</v>
      </c>
      <c r="BI26" s="5">
        <f t="shared" si="169"/>
        <v>0</v>
      </c>
      <c r="BJ26" s="5" t="e">
        <f t="shared" si="170"/>
        <v>#DIV/0!</v>
      </c>
      <c r="BK26" s="6">
        <f>应产率辅助表!K23</f>
        <v>0</v>
      </c>
      <c r="BL26" s="6">
        <f>应产率辅助表!K52</f>
        <v>0</v>
      </c>
      <c r="BM26" s="7" t="e">
        <f t="shared" si="33"/>
        <v>#DIV/0!</v>
      </c>
      <c r="BN26" s="5" t="e">
        <f>产品销售数量!K23*1.125+产品销售数量!Y23*4.12+产品销售数量!X23*5.5+产品销售数量!AA23*13.25+产品销售数量!AB23*13.25+产品销售数量!BN23*6.87+产品销售数量!BV23+产品销售数量!CF23*13.25+产品销售数量!CG23*13.25+产品销售数量!CJ23*6.63+产品销售数量!CL23*6.63+产品销售数量!CR23*2.25+产品销售数量!CS23*2.25+产品销售数量!CT23*2.25+产品销售数量!#REF!*6.87++产品销售数量!CV23*0.75+产品销售数量!DA23*6.63+产品销售数量!DJ23*13.25+产品销售数量!DK23*13.25</f>
        <v>#REF!</v>
      </c>
      <c r="BO26" s="5" t="e">
        <f t="shared" si="0"/>
        <v>#REF!</v>
      </c>
      <c r="BP26" s="5" t="e">
        <f t="shared" si="34"/>
        <v>#REF!</v>
      </c>
      <c r="BQ26" s="5" t="e">
        <f t="shared" si="35"/>
        <v>#DIV/0!</v>
      </c>
      <c r="BR26" s="6">
        <f>应产率辅助表!L23</f>
        <v>0</v>
      </c>
      <c r="BS26" s="6">
        <f>应产率辅助表!L52</f>
        <v>0</v>
      </c>
      <c r="BT26" s="7" t="e">
        <f t="shared" si="171"/>
        <v>#DIV/0!</v>
      </c>
      <c r="BU26" s="5">
        <f>产品销售数量!O23+产品销售数量!P23+产品销售数量!CI23*1.5+产品销售数量!CK23*0.89+产品销售数量!M23*1.34</f>
        <v>0</v>
      </c>
      <c r="BV26" s="5" t="e">
        <f t="shared" si="172"/>
        <v>#DIV/0!</v>
      </c>
      <c r="BW26" s="5">
        <f t="shared" si="173"/>
        <v>0</v>
      </c>
      <c r="BX26" s="5" t="e">
        <f t="shared" si="174"/>
        <v>#DIV/0!</v>
      </c>
      <c r="BY26" s="6">
        <f>应产率辅助表!M23</f>
        <v>0</v>
      </c>
      <c r="BZ26" s="6">
        <f>应产率辅助表!M52</f>
        <v>0</v>
      </c>
      <c r="CA26" s="7" t="e">
        <f t="shared" si="40"/>
        <v>#DIV/0!</v>
      </c>
      <c r="CB26" s="5">
        <f>+产品销售数量!J23+产品销售数量!K23+产品销售数量!L23+产品销售数量!O23+产品销售数量!P23+产品销售数量!S23+产品销售数量!T23+产品销售数量!AU23*0.9+产品销售数量!AW23*0.9+产品销售数量!BL23*0.9+产品销售数量!CH23*0.9+产品销售数量!CK23*0.9+产品销售数量!CN23*0.9+产品销售数量!CO23*0.9+产品销售数量!CQ23+产品销售数量!CV23+产品销售数量!CW23*0.9+产品销售数量!DB23</f>
        <v>0</v>
      </c>
      <c r="CC26" s="5" t="e">
        <f t="shared" si="41"/>
        <v>#DIV/0!</v>
      </c>
      <c r="CD26" s="5">
        <f t="shared" si="42"/>
        <v>0</v>
      </c>
      <c r="CE26" s="5" t="e">
        <f t="shared" si="43"/>
        <v>#DIV/0!</v>
      </c>
      <c r="CF26" s="6">
        <f>应产率辅助表!N23</f>
        <v>0</v>
      </c>
      <c r="CG26" s="6">
        <f>应产率辅助表!N52</f>
        <v>0</v>
      </c>
      <c r="CH26" s="7" t="e">
        <f t="shared" si="44"/>
        <v>#DIV/0!</v>
      </c>
      <c r="CI26" s="5">
        <f>产品销售数量!P23+产品销售数量!Z23*1.4+产品销售数量!L23</f>
        <v>0</v>
      </c>
      <c r="CJ26" s="5" t="e">
        <f t="shared" si="45"/>
        <v>#DIV/0!</v>
      </c>
      <c r="CK26" s="5">
        <f t="shared" si="46"/>
        <v>0</v>
      </c>
      <c r="CL26" s="5" t="e">
        <f t="shared" si="47"/>
        <v>#DIV/0!</v>
      </c>
      <c r="CM26" s="6">
        <f>应产率辅助表!O23</f>
        <v>0</v>
      </c>
      <c r="CN26" s="6">
        <f>应产率辅助表!O52</f>
        <v>0</v>
      </c>
      <c r="CO26" s="7" t="e">
        <f t="shared" si="48"/>
        <v>#DIV/0!</v>
      </c>
      <c r="CP26" s="5">
        <f>+产品销售数量!AE23*1.04+产品销售数量!AD23*1.279+产品销售数量!BW23*1.04+产品销售数量!BX23*1.279</f>
        <v>0</v>
      </c>
      <c r="CQ26" s="5" t="e">
        <f t="shared" si="49"/>
        <v>#DIV/0!</v>
      </c>
      <c r="CR26" s="5">
        <f t="shared" si="50"/>
        <v>0</v>
      </c>
      <c r="CS26" s="5" t="e">
        <f t="shared" si="51"/>
        <v>#DIV/0!</v>
      </c>
      <c r="CT26" s="6">
        <f>应产率辅助表!P23</f>
        <v>0</v>
      </c>
      <c r="CU26" s="6">
        <f>应产率辅助表!P52</f>
        <v>0</v>
      </c>
      <c r="CV26" s="7" t="e">
        <f t="shared" si="52"/>
        <v>#DIV/0!</v>
      </c>
      <c r="CW26" s="5">
        <f>+产品销售数量!AC23*1.08+产品销售数量!AH23*1+产品销售数量!AG23*1.45+产品销售数量!BG23*0.834+产品销售数量!CU23*0.834+产品销售数量!DM23*1.19</f>
        <v>0</v>
      </c>
      <c r="CX26" s="5" t="e">
        <f t="shared" si="53"/>
        <v>#DIV/0!</v>
      </c>
      <c r="CY26" s="5">
        <f t="shared" si="54"/>
        <v>0</v>
      </c>
      <c r="CZ26" s="5" t="e">
        <f t="shared" si="55"/>
        <v>#DIV/0!</v>
      </c>
      <c r="DA26" s="6">
        <f>应产率辅助表!Q23</f>
        <v>0</v>
      </c>
      <c r="DB26" s="6">
        <f>应产率辅助表!Q52</f>
        <v>0</v>
      </c>
      <c r="DC26" s="7" t="e">
        <f t="shared" si="56"/>
        <v>#DIV/0!</v>
      </c>
      <c r="DD26" s="5">
        <f>产品销售数量!AJ23*2+产品销售数量!AK23*1.38+产品销售数量!AL23+产品销售数量!BT23*1.38+产品销售数量!BU23*2</f>
        <v>0</v>
      </c>
      <c r="DE26" s="5" t="e">
        <f t="shared" si="57"/>
        <v>#DIV/0!</v>
      </c>
      <c r="DF26" s="5">
        <f t="shared" si="58"/>
        <v>0</v>
      </c>
      <c r="DG26" s="5" t="e">
        <f t="shared" si="59"/>
        <v>#DIV/0!</v>
      </c>
      <c r="DH26" s="6">
        <f>应产率辅助表!R23</f>
        <v>0</v>
      </c>
      <c r="DI26" s="6">
        <f>应产率辅助表!R52</f>
        <v>0</v>
      </c>
      <c r="DJ26" s="7" t="e">
        <f t="shared" si="60"/>
        <v>#DIV/0!</v>
      </c>
      <c r="DK26" s="5">
        <f>+产品销售数量!AM23*1.375+产品销售数量!AN23+产品销售数量!AO23*0.75+产品销售数量!BR23*0.57</f>
        <v>0</v>
      </c>
      <c r="DL26" s="5" t="e">
        <f t="shared" si="61"/>
        <v>#DIV/0!</v>
      </c>
      <c r="DM26" s="5">
        <f t="shared" si="62"/>
        <v>0</v>
      </c>
      <c r="DN26" s="5" t="e">
        <f t="shared" si="63"/>
        <v>#DIV/0!</v>
      </c>
      <c r="DO26" s="6">
        <f>应产率辅助表!S23+应产率辅助表!T23</f>
        <v>0</v>
      </c>
      <c r="DP26" s="6">
        <f>应产率辅助表!S52+应产率辅助表!T52</f>
        <v>0</v>
      </c>
      <c r="DQ26" s="7" t="e">
        <f t="shared" si="64"/>
        <v>#DIV/0!</v>
      </c>
      <c r="DR26" s="5" t="e">
        <f>+产品销售数量!Y23+产品销售数量!X23+产品销售数量!AB23*3+产品销售数量!CG23*3+产品销售数量!CJ23*2+产品销售数量!BN23*2+产品销售数量!CR23+产品销售数量!CS23+产品销售数量!CT23+产品销售数量!BM23+产品销售数量!#REF!*3+产品销售数量!AA23+产品销售数量!CF23</f>
        <v>#REF!</v>
      </c>
      <c r="DS26" s="5" t="e">
        <f t="shared" si="65"/>
        <v>#REF!</v>
      </c>
      <c r="DT26" s="5" t="e">
        <f t="shared" si="66"/>
        <v>#REF!</v>
      </c>
      <c r="DU26" s="5" t="e">
        <f t="shared" si="67"/>
        <v>#DIV/0!</v>
      </c>
      <c r="DV26" s="6">
        <f>应产率辅助表!U23</f>
        <v>0</v>
      </c>
      <c r="DW26" s="6">
        <f>应产率辅助表!U52</f>
        <v>0</v>
      </c>
      <c r="DX26" s="7" t="e">
        <f t="shared" si="68"/>
        <v>#DIV/0!</v>
      </c>
      <c r="DY26" s="5" t="e">
        <f>+产品销售数量!E23+产品销售数量!F23*2+产品销售数量!G23+产品销售数量!#REF!+产品销售数量!CY23+产品销售数量!DE23+产品销售数量!DH23</f>
        <v>#REF!</v>
      </c>
      <c r="DZ26" s="5" t="e">
        <f t="shared" si="69"/>
        <v>#REF!</v>
      </c>
      <c r="EA26" s="5" t="e">
        <f t="shared" si="70"/>
        <v>#REF!</v>
      </c>
      <c r="EB26" s="5" t="e">
        <f t="shared" si="71"/>
        <v>#DIV/0!</v>
      </c>
      <c r="EC26" s="6">
        <f>应产率辅助表!V23</f>
        <v>0</v>
      </c>
      <c r="ED26" s="6">
        <f>应产率辅助表!V52</f>
        <v>0</v>
      </c>
      <c r="EE26" s="7" t="e">
        <f t="shared" si="72"/>
        <v>#DIV/0!</v>
      </c>
      <c r="EF26" s="5">
        <f>+产品销售数量!AS23</f>
        <v>0</v>
      </c>
      <c r="EG26" s="5" t="e">
        <f t="shared" si="73"/>
        <v>#DIV/0!</v>
      </c>
      <c r="EH26" s="5">
        <f t="shared" si="74"/>
        <v>0</v>
      </c>
      <c r="EI26" s="5" t="e">
        <f t="shared" si="75"/>
        <v>#DIV/0!</v>
      </c>
      <c r="EJ26" s="6">
        <f>应产率辅助表!W23</f>
        <v>0</v>
      </c>
      <c r="EK26" s="6">
        <f>应产率辅助表!W52</f>
        <v>0</v>
      </c>
      <c r="EL26" s="7" t="e">
        <f t="shared" si="76"/>
        <v>#DIV/0!</v>
      </c>
      <c r="EM26" s="5">
        <f>+产品销售数量!AD23+产品销售数量!AE23+产品销售数量!AF23+产品销售数量!AG23+产品销售数量!AH23+产品销售数量!AI23+产品销售数量!AJ23+产品销售数量!AK23+产品销售数量!AL23+产品销售数量!AM23+产品销售数量!AN23+产品销售数量!AO23+产品销售数量!AQ23+产品销售数量!AP23+产品销售数量!AR23+产品销售数量!BR23+产品销售数量!AS23+产品销售数量!CA23+产品销售数量!BE23+产品销售数量!BF23</f>
        <v>0</v>
      </c>
      <c r="EN26" s="5" t="e">
        <f t="shared" si="77"/>
        <v>#DIV/0!</v>
      </c>
      <c r="EO26" s="5">
        <f t="shared" si="78"/>
        <v>0</v>
      </c>
      <c r="EP26" s="5" t="e">
        <f t="shared" si="79"/>
        <v>#DIV/0!</v>
      </c>
      <c r="EQ26" s="6">
        <f>应产率辅助表!X23</f>
        <v>0</v>
      </c>
      <c r="ER26" s="6">
        <f>应产率辅助表!X52</f>
        <v>0</v>
      </c>
      <c r="ES26" s="7" t="e">
        <f t="shared" si="80"/>
        <v>#DIV/0!</v>
      </c>
      <c r="ET26" s="5">
        <f>+产品销售数量!AQ23+产品销售数量!AP23+产品销售数量!AR23+产品销售数量!BR23+产品销售数量!AS23+产品销售数量!CA23+产品销售数量!BE23+产品销售数量!BF23</f>
        <v>0</v>
      </c>
      <c r="EU26" s="5" t="e">
        <f t="shared" si="81"/>
        <v>#DIV/0!</v>
      </c>
      <c r="EV26" s="5">
        <f t="shared" si="82"/>
        <v>0</v>
      </c>
      <c r="EW26" s="5" t="e">
        <f t="shared" si="83"/>
        <v>#DIV/0!</v>
      </c>
      <c r="EX26" s="6">
        <f>应产率辅助表!Y23</f>
        <v>0</v>
      </c>
      <c r="EY26" s="6">
        <f>应产率辅助表!Y52</f>
        <v>0</v>
      </c>
      <c r="EZ26" s="7" t="e">
        <f t="shared" si="84"/>
        <v>#DIV/0!</v>
      </c>
      <c r="FA26" s="5">
        <f>产品销售数量!H23</f>
        <v>0</v>
      </c>
      <c r="FB26" s="5" t="e">
        <f t="shared" si="85"/>
        <v>#DIV/0!</v>
      </c>
      <c r="FC26" s="5">
        <f t="shared" si="86"/>
        <v>0</v>
      </c>
      <c r="FD26" s="5" t="e">
        <f t="shared" si="87"/>
        <v>#DIV/0!</v>
      </c>
      <c r="FE26" s="6">
        <f>应产率辅助表!Z23</f>
        <v>0</v>
      </c>
      <c r="FF26" s="6">
        <f>应产率辅助表!Z52</f>
        <v>0</v>
      </c>
      <c r="FG26" s="7" t="e">
        <f t="shared" si="88"/>
        <v>#DIV/0!</v>
      </c>
      <c r="FH26" s="5">
        <f>+产品销售数量!J23+产品销售数量!K23+产品销售数量!L23+产品销售数量!M23+产品销售数量!O23+产品销售数量!P23+产品销售数量!S23+产品销售数量!T23+产品销售数量!BQ23+产品销售数量!BS23+产品销售数量!CC23+产品销售数量!CH23+产品销售数量!CI23+产品销售数量!CJ23+产品销售数量!CK23+产品销售数量!CL23+产品销售数量!BL23+产品销售数量!AU23++产品销售数量!AW23+产品销售数量!BQ23+产品销售数量!CN23+产品销售数量!CO23+产品销售数量!CQ23+产品销售数量!CX23+产品销售数量!CY23+产品销售数量!CM23</f>
        <v>0</v>
      </c>
      <c r="FI26" s="5" t="e">
        <f t="shared" si="89"/>
        <v>#DIV/0!</v>
      </c>
      <c r="FJ26" s="5">
        <f t="shared" si="90"/>
        <v>0</v>
      </c>
      <c r="FK26" s="5" t="e">
        <f t="shared" si="91"/>
        <v>#DIV/0!</v>
      </c>
      <c r="FL26" s="6">
        <f>应产率辅助表!AA23</f>
        <v>0</v>
      </c>
      <c r="FM26" s="6">
        <f>应产率辅助表!AA52</f>
        <v>0</v>
      </c>
      <c r="FN26" s="7" t="e">
        <f t="shared" si="92"/>
        <v>#DIV/0!</v>
      </c>
      <c r="FO26" s="5">
        <f>+产品销售数量!R23+产品销售数量!CE23</f>
        <v>0</v>
      </c>
      <c r="FP26" s="5" t="e">
        <f t="shared" si="93"/>
        <v>#DIV/0!</v>
      </c>
      <c r="FQ26" s="5">
        <f t="shared" si="94"/>
        <v>0</v>
      </c>
      <c r="FR26" s="5" t="e">
        <f t="shared" si="95"/>
        <v>#DIV/0!</v>
      </c>
      <c r="FS26" s="6">
        <f>应产率辅助表!AB23</f>
        <v>0</v>
      </c>
      <c r="FT26" s="5">
        <f t="shared" si="96"/>
        <v>0</v>
      </c>
      <c r="FU26" s="6">
        <f>应产率辅助表!AB52</f>
        <v>0</v>
      </c>
      <c r="FV26" s="7" t="e">
        <f t="shared" si="97"/>
        <v>#DIV/0!</v>
      </c>
      <c r="FW26" s="5" t="e">
        <f t="shared" si="98"/>
        <v>#DIV/0!</v>
      </c>
      <c r="FX26" s="6">
        <f>应产率辅助表!AC23</f>
        <v>0</v>
      </c>
      <c r="FY26" s="6">
        <f>应产率辅助表!AC52</f>
        <v>0</v>
      </c>
      <c r="FZ26" s="7" t="e">
        <f t="shared" si="99"/>
        <v>#DIV/0!</v>
      </c>
      <c r="GA26" s="5" t="e">
        <f t="shared" si="100"/>
        <v>#DIV/0!</v>
      </c>
      <c r="GB26" s="6">
        <f>应产率辅助表!AD23</f>
        <v>0</v>
      </c>
      <c r="GC26" s="6">
        <f>应产率辅助表!AD52</f>
        <v>0</v>
      </c>
      <c r="GD26" s="7" t="e">
        <f t="shared" si="101"/>
        <v>#DIV/0!</v>
      </c>
      <c r="GE26" s="6">
        <f>应产率辅助表!AE23</f>
        <v>0</v>
      </c>
      <c r="GF26" s="6">
        <f>应产率辅助表!AE52</f>
        <v>0</v>
      </c>
      <c r="GG26" s="7" t="e">
        <f t="shared" si="102"/>
        <v>#DIV/0!</v>
      </c>
      <c r="GH26" s="6">
        <f>应产率辅助表!AF23</f>
        <v>0</v>
      </c>
      <c r="GI26" s="6">
        <f>应产率辅助表!AF52</f>
        <v>0</v>
      </c>
      <c r="GJ26" s="7" t="e">
        <f t="shared" si="103"/>
        <v>#DIV/0!</v>
      </c>
      <c r="GK26" s="6">
        <f>应产率辅助表!AG23</f>
        <v>0</v>
      </c>
      <c r="GL26" s="6">
        <f>应产率辅助表!AG52</f>
        <v>0</v>
      </c>
      <c r="GM26" s="7" t="e">
        <f t="shared" si="104"/>
        <v>#DIV/0!</v>
      </c>
      <c r="GN26" s="6"/>
      <c r="GO26" s="6">
        <f>应产率辅助表!AH23</f>
        <v>0</v>
      </c>
      <c r="GP26" s="6">
        <f>应产率辅助表!AH52</f>
        <v>0</v>
      </c>
      <c r="GQ26" s="7" t="e">
        <f t="shared" si="105"/>
        <v>#DIV/0!</v>
      </c>
      <c r="GR26" s="6">
        <f>应产率辅助表!AI23</f>
        <v>0</v>
      </c>
      <c r="GS26" s="6">
        <f>应产率辅助表!AI52</f>
        <v>0</v>
      </c>
      <c r="GT26" s="7" t="e">
        <f t="shared" si="106"/>
        <v>#DIV/0!</v>
      </c>
      <c r="GU26" s="72">
        <f>应产率辅助表!AJ23</f>
        <v>0</v>
      </c>
      <c r="GV26" s="72">
        <f>应产率辅助表!AJ52</f>
        <v>0</v>
      </c>
      <c r="GW26" s="7" t="e">
        <f t="shared" si="107"/>
        <v>#DIV/0!</v>
      </c>
      <c r="GX26" s="72">
        <f>应产率辅助表!AK23</f>
        <v>0</v>
      </c>
      <c r="GY26" s="72">
        <f>应产率辅助表!AK52</f>
        <v>0</v>
      </c>
      <c r="GZ26" s="7" t="e">
        <f t="shared" si="108"/>
        <v>#DIV/0!</v>
      </c>
      <c r="HA26" s="72">
        <f>应产率辅助表!AL23</f>
        <v>0</v>
      </c>
      <c r="HB26" s="72">
        <f>应产率辅助表!AL52</f>
        <v>0</v>
      </c>
      <c r="HC26" s="7" t="e">
        <f t="shared" si="109"/>
        <v>#DIV/0!</v>
      </c>
      <c r="HD26" s="72">
        <f>应产率辅助表!AM23</f>
        <v>0</v>
      </c>
      <c r="HE26" s="72">
        <f>应产率辅助表!AM52</f>
        <v>0</v>
      </c>
      <c r="HF26" s="7" t="e">
        <f t="shared" si="110"/>
        <v>#DIV/0!</v>
      </c>
      <c r="HG26" s="72">
        <f>应产率辅助表!AN23</f>
        <v>0</v>
      </c>
      <c r="HH26" s="72">
        <f>应产率辅助表!AN52</f>
        <v>0</v>
      </c>
      <c r="HI26" s="7" t="e">
        <f t="shared" si="111"/>
        <v>#DIV/0!</v>
      </c>
      <c r="HJ26" s="72">
        <f>应产率辅助表!AO23</f>
        <v>0</v>
      </c>
      <c r="HK26" s="72">
        <f>应产率辅助表!AO52</f>
        <v>0</v>
      </c>
      <c r="HL26" s="7" t="e">
        <f t="shared" si="112"/>
        <v>#DIV/0!</v>
      </c>
      <c r="HM26" s="72">
        <f>应产率辅助表!AP23</f>
        <v>0</v>
      </c>
      <c r="HN26" s="72">
        <f>应产率辅助表!AP52</f>
        <v>0</v>
      </c>
      <c r="HO26" s="7" t="e">
        <f t="shared" si="113"/>
        <v>#DIV/0!</v>
      </c>
      <c r="HP26" s="6"/>
      <c r="HQ26" s="6">
        <f t="shared" si="175"/>
        <v>0</v>
      </c>
      <c r="HR26" s="5" t="e">
        <f t="shared" si="115"/>
        <v>#DIV/0!</v>
      </c>
      <c r="HS26" s="6">
        <v>0</v>
      </c>
      <c r="HT26" s="6">
        <v>0</v>
      </c>
      <c r="HU26" s="5" t="e">
        <f t="shared" si="116"/>
        <v>#DIV/0!</v>
      </c>
      <c r="HV26" s="6">
        <v>0</v>
      </c>
      <c r="HW26" s="6">
        <v>0</v>
      </c>
      <c r="HX26" s="5" t="e">
        <f t="shared" si="117"/>
        <v>#DIV/0!</v>
      </c>
      <c r="HY26" s="5"/>
      <c r="HZ26" s="5"/>
      <c r="IA26" s="5" t="e">
        <f t="shared" si="166"/>
        <v>#DIV/0!</v>
      </c>
      <c r="IB26" s="5">
        <f t="shared" si="118"/>
        <v>0</v>
      </c>
      <c r="IC26" s="5">
        <f t="shared" si="118"/>
        <v>0</v>
      </c>
      <c r="ID26" s="5" t="e">
        <f t="shared" si="119"/>
        <v>#DIV/0!</v>
      </c>
      <c r="IE26" s="7">
        <f t="shared" si="120"/>
        <v>0</v>
      </c>
      <c r="IF26" s="7">
        <f t="shared" si="120"/>
        <v>0</v>
      </c>
      <c r="IG26" s="5" t="e">
        <f t="shared" si="121"/>
        <v>#DIV/0!</v>
      </c>
      <c r="IH26" s="5" t="e">
        <f t="shared" si="122"/>
        <v>#DIV/0!</v>
      </c>
      <c r="II26" s="5" t="e">
        <f t="shared" si="123"/>
        <v>#DIV/0!</v>
      </c>
      <c r="IJ26" s="8" t="e">
        <f t="shared" si="124"/>
        <v>#DIV/0!</v>
      </c>
      <c r="IK26" s="8" t="e">
        <f t="shared" si="125"/>
        <v>#DIV/0!</v>
      </c>
      <c r="IL26" s="8" t="e">
        <f t="shared" si="126"/>
        <v>#DIV/0!</v>
      </c>
      <c r="IM26" s="8" t="e">
        <f t="shared" si="127"/>
        <v>#DIV/0!</v>
      </c>
      <c r="IN26" s="8" t="e">
        <f t="shared" si="128"/>
        <v>#DIV/0!</v>
      </c>
      <c r="IO26" s="8" t="e">
        <f t="shared" si="129"/>
        <v>#DIV/0!</v>
      </c>
      <c r="IP26" s="8" t="e">
        <f t="shared" si="130"/>
        <v>#DIV/0!</v>
      </c>
      <c r="IQ26" s="8" t="e">
        <f t="shared" si="131"/>
        <v>#DIV/0!</v>
      </c>
      <c r="IR26" s="8" t="e">
        <f t="shared" si="132"/>
        <v>#DIV/0!</v>
      </c>
      <c r="IS26" s="8" t="e">
        <f t="shared" si="133"/>
        <v>#DIV/0!</v>
      </c>
      <c r="IT26" s="8" t="e">
        <f t="shared" si="134"/>
        <v>#DIV/0!</v>
      </c>
      <c r="IU26" s="8" t="e">
        <f t="shared" si="135"/>
        <v>#DIV/0!</v>
      </c>
      <c r="IV26" s="8" t="e">
        <f t="shared" si="136"/>
        <v>#DIV/0!</v>
      </c>
      <c r="IW26" s="8" t="e">
        <f t="shared" si="137"/>
        <v>#DIV/0!</v>
      </c>
      <c r="IX26" s="8" t="e">
        <f t="shared" si="138"/>
        <v>#DIV/0!</v>
      </c>
      <c r="IY26" s="8" t="e">
        <f t="shared" si="139"/>
        <v>#DIV/0!</v>
      </c>
      <c r="IZ26" s="8" t="e">
        <f t="shared" si="140"/>
        <v>#DIV/0!</v>
      </c>
      <c r="JA26" s="8" t="e">
        <f t="shared" si="141"/>
        <v>#DIV/0!</v>
      </c>
      <c r="JB26" s="8" t="e">
        <f t="shared" si="142"/>
        <v>#DIV/0!</v>
      </c>
      <c r="JC26" s="8" t="e">
        <f t="shared" si="143"/>
        <v>#DIV/0!</v>
      </c>
      <c r="JD26" s="8" t="e">
        <f t="shared" si="144"/>
        <v>#DIV/0!</v>
      </c>
      <c r="JE26" s="8" t="e">
        <f t="shared" si="145"/>
        <v>#DIV/0!</v>
      </c>
      <c r="JF26" s="8" t="e">
        <f t="shared" si="146"/>
        <v>#DIV/0!</v>
      </c>
      <c r="JG26" s="8" t="e">
        <f t="shared" si="147"/>
        <v>#DIV/0!</v>
      </c>
      <c r="JH26" s="8" t="e">
        <f t="shared" si="148"/>
        <v>#DIV/0!</v>
      </c>
      <c r="JI26" s="8" t="e">
        <f t="shared" si="149"/>
        <v>#DIV/0!</v>
      </c>
      <c r="JJ26" s="8" t="e">
        <f t="shared" si="150"/>
        <v>#DIV/0!</v>
      </c>
      <c r="JK26" s="8" t="e">
        <f t="shared" si="151"/>
        <v>#DIV/0!</v>
      </c>
      <c r="JL26" s="8" t="e">
        <f t="shared" si="152"/>
        <v>#DIV/0!</v>
      </c>
      <c r="JM26" s="8" t="e">
        <f t="shared" si="153"/>
        <v>#DIV/0!</v>
      </c>
      <c r="JN26" s="8" t="e">
        <f t="shared" si="154"/>
        <v>#DIV/0!</v>
      </c>
      <c r="JO26" s="8" t="e">
        <f t="shared" si="155"/>
        <v>#DIV/0!</v>
      </c>
      <c r="JP26" s="9" t="e">
        <f t="shared" si="156"/>
        <v>#DIV/0!</v>
      </c>
      <c r="JQ26" s="9" t="e">
        <f t="shared" si="157"/>
        <v>#DIV/0!</v>
      </c>
      <c r="JR26" s="9" t="e">
        <f t="shared" si="158"/>
        <v>#DIV/0!</v>
      </c>
      <c r="JS26" s="9" t="e">
        <f t="shared" si="159"/>
        <v>#DIV/0!</v>
      </c>
      <c r="JT26" s="9" t="e">
        <f t="shared" si="160"/>
        <v>#DIV/0!</v>
      </c>
      <c r="JU26" s="9" t="e">
        <f t="shared" si="161"/>
        <v>#DIV/0!</v>
      </c>
      <c r="JV26" s="9" t="e">
        <f t="shared" si="162"/>
        <v>#DIV/0!</v>
      </c>
      <c r="JW26" s="9" t="e">
        <f t="shared" si="163"/>
        <v>#DIV/0!</v>
      </c>
    </row>
    <row r="27" spans="1:283" s="11" customFormat="1" ht="18" hidden="1" customHeight="1" x14ac:dyDescent="0.15">
      <c r="A27" s="10"/>
      <c r="B27" s="5"/>
      <c r="C27" s="5"/>
      <c r="D27" s="55"/>
      <c r="E27" s="56">
        <f>产品销售数量!D24</f>
        <v>0</v>
      </c>
      <c r="F27" s="6">
        <f>应产率辅助表!C24</f>
        <v>0</v>
      </c>
      <c r="G27" s="6">
        <f>应产率辅助表!C53</f>
        <v>0</v>
      </c>
      <c r="H27" s="7" t="e">
        <f t="shared" si="1"/>
        <v>#DIV/0!</v>
      </c>
      <c r="I27" s="5">
        <f>产品销售数量!E24+产品销售数量!F24*1.36</f>
        <v>0</v>
      </c>
      <c r="J27" s="5" t="e">
        <f t="shared" si="164"/>
        <v>#DIV/0!</v>
      </c>
      <c r="K27" s="5">
        <f t="shared" si="2"/>
        <v>0</v>
      </c>
      <c r="L27" s="5" t="e">
        <f t="shared" si="3"/>
        <v>#DIV/0!</v>
      </c>
      <c r="M27" s="6">
        <f>应产率辅助表!D24</f>
        <v>0</v>
      </c>
      <c r="N27" s="6">
        <f>应产率辅助表!D53</f>
        <v>0</v>
      </c>
      <c r="O27" s="7" t="e">
        <f t="shared" si="4"/>
        <v>#DIV/0!</v>
      </c>
      <c r="P27" s="5">
        <f>+产品销售数量!H24</f>
        <v>0</v>
      </c>
      <c r="Q27" s="5" t="e">
        <f t="shared" si="5"/>
        <v>#DIV/0!</v>
      </c>
      <c r="R27" s="5">
        <f t="shared" si="6"/>
        <v>0</v>
      </c>
      <c r="S27" s="5" t="e">
        <f t="shared" si="7"/>
        <v>#DIV/0!</v>
      </c>
      <c r="T27" s="6">
        <f>应产率辅助表!E24</f>
        <v>0</v>
      </c>
      <c r="U27" s="6">
        <f>应产率辅助表!E53</f>
        <v>0</v>
      </c>
      <c r="V27" s="7" t="e">
        <f t="shared" si="8"/>
        <v>#DIV/0!</v>
      </c>
      <c r="W27" s="5">
        <f>+产品销售数量!V24+产品销售数量!CP24</f>
        <v>0</v>
      </c>
      <c r="X27" s="5" t="e">
        <f t="shared" si="9"/>
        <v>#DIV/0!</v>
      </c>
      <c r="Y27" s="5">
        <f t="shared" si="10"/>
        <v>0</v>
      </c>
      <c r="Z27" s="5" t="e">
        <f t="shared" si="11"/>
        <v>#DIV/0!</v>
      </c>
      <c r="AA27" s="6">
        <f>应产率辅助表!F24</f>
        <v>0</v>
      </c>
      <c r="AB27" s="6">
        <f>应产率辅助表!F53</f>
        <v>0</v>
      </c>
      <c r="AC27" s="7" t="e">
        <f t="shared" si="12"/>
        <v>#DIV/0!</v>
      </c>
      <c r="AD27" s="5">
        <f>产品销售数量!J24*1.5+产品销售数量!K24*1.5+产品销售数量!L24*1.5+产品销售数量!O24*1.5+产品销售数量!P24*1.5+产品销售数量!S24*1.5+产品销售数量!T24*1.5+产品销售数量!CH24*1.35+产品销售数量!M24*1.5+产品销售数量!CK24*0.89*1.5+产品销售数量!BL24*1.35+产品销售数量!AU24*0.9+产品销售数量!AW24*0.9+产品销售数量!BB24*1.5+产品销售数量!CN24*1.35+产品销售数量!CO24*1.35+产品销售数量!CQ24*1.5+产品销售数量!CX24*1.5+产品销售数量!CY24*1.35+产品销售数量!CZ24*1.35</f>
        <v>0</v>
      </c>
      <c r="AE27" s="5" t="e">
        <f t="shared" si="13"/>
        <v>#DIV/0!</v>
      </c>
      <c r="AF27" s="5">
        <f t="shared" si="14"/>
        <v>0</v>
      </c>
      <c r="AG27" s="5" t="e">
        <f t="shared" si="15"/>
        <v>#DIV/0!</v>
      </c>
      <c r="AH27" s="6">
        <f t="shared" si="165"/>
        <v>0</v>
      </c>
      <c r="AI27" s="6">
        <f>应产率辅助表!G24</f>
        <v>0</v>
      </c>
      <c r="AJ27" s="6">
        <f>应产率辅助表!G53</f>
        <v>0</v>
      </c>
      <c r="AK27" s="7" t="e">
        <f t="shared" si="17"/>
        <v>#DIV/0!</v>
      </c>
      <c r="AL27" s="5" t="e">
        <f>+产品销售数量!J24*1.13+产品销售数量!K24*1.13+产品销售数量!O24*1.13+产品销售数量!U24+产品销售数量!V24*2.6+产品销售数量!W24*2.6+产品销售数量!X24*1.6+产品销售数量!Y24+产品销售数量!AB24*1.74+产品销售数量!BC24*1.19+产品销售数量!BL24*0.98+产品销售数量!BM24*0.74+产品销售数量!BN24*4.495+产品销售数量!BQ24*2.29+产品销售数量!BV24*2.56+产品销售数量!CG24*1.74+产品销售数量!CJ24*0.8+产品销售数量!CK24*1.13+产品销售数量!CM24*1.19+产品销售数量!CO24*0.98+产品销售数量!CP24*2.62+产品销售数量!CQ24*1.13+产品销售数量!CR24*1.4+产品销售数量!CS24*1.4+产品销售数量!CT24*1.4+产品销售数量!#REF!*5.29+产品销售数量!CV24*1.13+产品销售数量!CW24*0.98+产品销售数量!CX24*0.378+产品销售数量!CY24*1.19+产品销售数量!DA24*0.87+产品销售数量!DB24*1.5+产品销售数量!DI24*0.595+产品销售数量!DK24*1.74</f>
        <v>#REF!</v>
      </c>
      <c r="AM27" s="5" t="e">
        <f t="shared" si="18"/>
        <v>#REF!</v>
      </c>
      <c r="AN27" s="5" t="e">
        <f t="shared" si="19"/>
        <v>#REF!</v>
      </c>
      <c r="AO27" s="5" t="e">
        <f t="shared" si="20"/>
        <v>#DIV/0!</v>
      </c>
      <c r="AP27" s="6">
        <f>应产率辅助表!H24</f>
        <v>0</v>
      </c>
      <c r="AQ27" s="6">
        <f>应产率辅助表!H53</f>
        <v>0</v>
      </c>
      <c r="AR27" s="7" t="e">
        <f t="shared" si="21"/>
        <v>#DIV/0!</v>
      </c>
      <c r="AS27" s="5">
        <f>产品销售数量!I24*0.858+产品销售数量!Z24*0.686+产品销售数量!AA24*1.79+产品销售数量!CF24*1.79+产品销售数量!CL24*0.89</f>
        <v>0</v>
      </c>
      <c r="AT27" s="5" t="e">
        <f t="shared" si="22"/>
        <v>#DIV/0!</v>
      </c>
      <c r="AU27" s="5">
        <f t="shared" si="23"/>
        <v>0</v>
      </c>
      <c r="AV27" s="5" t="e">
        <f t="shared" si="24"/>
        <v>#DIV/0!</v>
      </c>
      <c r="AW27" s="6">
        <f>应产率辅助表!I24</f>
        <v>0</v>
      </c>
      <c r="AX27" s="6">
        <f>应产率辅助表!I53</f>
        <v>0</v>
      </c>
      <c r="AY27" s="7" t="e">
        <f t="shared" si="25"/>
        <v>#DIV/0!</v>
      </c>
      <c r="AZ27" s="5">
        <f>+产品销售数量!I24*0.857+产品销售数量!Z24*0.485+产品销售数量!AA24*1.88+产品销售数量!CF24*1.88+产品销售数量!CL24*0.89</f>
        <v>0</v>
      </c>
      <c r="BA27" s="5" t="e">
        <f t="shared" si="26"/>
        <v>#DIV/0!</v>
      </c>
      <c r="BB27" s="5">
        <f t="shared" si="27"/>
        <v>0</v>
      </c>
      <c r="BC27" s="5" t="e">
        <f t="shared" si="28"/>
        <v>#DIV/0!</v>
      </c>
      <c r="BD27" s="6">
        <f>应产率辅助表!J24</f>
        <v>0</v>
      </c>
      <c r="BE27" s="6">
        <f>应产率辅助表!J53</f>
        <v>0</v>
      </c>
      <c r="BF27" s="7" t="e">
        <f t="shared" si="167"/>
        <v>#DIV/0!</v>
      </c>
      <c r="BG27" s="5">
        <f>+产品销售数量!J24*2+产品销售数量!L24*0.93+产品销售数量!O24*2+产品销售数量!P24*0.93+产品销售数量!U24*1.93+产品销售数量!W24*2+产品销售数量!V24*3.79+产品销售数量!I24*2.678+产品销售数量!CK24*1.32+产品销售数量!CQ24*2</f>
        <v>0</v>
      </c>
      <c r="BH27" s="5" t="e">
        <f t="shared" si="168"/>
        <v>#DIV/0!</v>
      </c>
      <c r="BI27" s="5">
        <f t="shared" si="169"/>
        <v>0</v>
      </c>
      <c r="BJ27" s="5" t="e">
        <f t="shared" si="170"/>
        <v>#DIV/0!</v>
      </c>
      <c r="BK27" s="6">
        <f>应产率辅助表!K24</f>
        <v>0</v>
      </c>
      <c r="BL27" s="6">
        <f>应产率辅助表!K53</f>
        <v>0</v>
      </c>
      <c r="BM27" s="7" t="e">
        <f t="shared" si="33"/>
        <v>#DIV/0!</v>
      </c>
      <c r="BN27" s="5" t="e">
        <f>产品销售数量!K24*1.125+产品销售数量!Y24*4.12+产品销售数量!X24*5.5+产品销售数量!AA24*13.25+产品销售数量!AB24*13.25+产品销售数量!BN24*6.87+产品销售数量!BV24+产品销售数量!CF24*13.25+产品销售数量!CG24*13.25+产品销售数量!CJ24*6.63+产品销售数量!CL24*6.63+产品销售数量!CR24*2.25+产品销售数量!CS24*2.25+产品销售数量!CT24*2.25+产品销售数量!#REF!*6.87++产品销售数量!CV24*0.75+产品销售数量!DA24*6.63+产品销售数量!DJ24*13.25+产品销售数量!DK24*13.25</f>
        <v>#REF!</v>
      </c>
      <c r="BO27" s="5" t="e">
        <f t="shared" si="0"/>
        <v>#REF!</v>
      </c>
      <c r="BP27" s="5" t="e">
        <f t="shared" si="34"/>
        <v>#REF!</v>
      </c>
      <c r="BQ27" s="5" t="e">
        <f t="shared" si="35"/>
        <v>#DIV/0!</v>
      </c>
      <c r="BR27" s="6">
        <f>应产率辅助表!L24</f>
        <v>0</v>
      </c>
      <c r="BS27" s="6">
        <f>应产率辅助表!L53</f>
        <v>0</v>
      </c>
      <c r="BT27" s="7" t="e">
        <f t="shared" si="171"/>
        <v>#DIV/0!</v>
      </c>
      <c r="BU27" s="5">
        <f>产品销售数量!O24+产品销售数量!P24+产品销售数量!CI24*1.5+产品销售数量!CK24*0.89+产品销售数量!M24*1.34</f>
        <v>0</v>
      </c>
      <c r="BV27" s="5" t="e">
        <f t="shared" si="172"/>
        <v>#DIV/0!</v>
      </c>
      <c r="BW27" s="5">
        <f t="shared" si="173"/>
        <v>0</v>
      </c>
      <c r="BX27" s="5" t="e">
        <f t="shared" si="174"/>
        <v>#DIV/0!</v>
      </c>
      <c r="BY27" s="6">
        <f>应产率辅助表!M24</f>
        <v>0</v>
      </c>
      <c r="BZ27" s="6">
        <f>应产率辅助表!M53</f>
        <v>0</v>
      </c>
      <c r="CA27" s="7" t="e">
        <f t="shared" si="40"/>
        <v>#DIV/0!</v>
      </c>
      <c r="CB27" s="5">
        <f>+产品销售数量!J24+产品销售数量!K24+产品销售数量!L24+产品销售数量!O24+产品销售数量!P24+产品销售数量!S24+产品销售数量!T24+产品销售数量!AU24*0.9+产品销售数量!AW24*0.9+产品销售数量!BL24*0.9+产品销售数量!CH24*0.9+产品销售数量!CK24*0.9+产品销售数量!CN24*0.9+产品销售数量!CO24*0.9+产品销售数量!CQ24+产品销售数量!CV24+产品销售数量!CW24*0.9+产品销售数量!DB24</f>
        <v>0</v>
      </c>
      <c r="CC27" s="5" t="e">
        <f t="shared" si="41"/>
        <v>#DIV/0!</v>
      </c>
      <c r="CD27" s="5">
        <f t="shared" si="42"/>
        <v>0</v>
      </c>
      <c r="CE27" s="5" t="e">
        <f t="shared" si="43"/>
        <v>#DIV/0!</v>
      </c>
      <c r="CF27" s="6">
        <f>应产率辅助表!N24</f>
        <v>0</v>
      </c>
      <c r="CG27" s="6">
        <f>应产率辅助表!N53</f>
        <v>0</v>
      </c>
      <c r="CH27" s="7" t="e">
        <f t="shared" si="44"/>
        <v>#DIV/0!</v>
      </c>
      <c r="CI27" s="5">
        <f>产品销售数量!P24+产品销售数量!Z24*1.4+产品销售数量!L24</f>
        <v>0</v>
      </c>
      <c r="CJ27" s="5" t="e">
        <f t="shared" si="45"/>
        <v>#DIV/0!</v>
      </c>
      <c r="CK27" s="5">
        <f t="shared" si="46"/>
        <v>0</v>
      </c>
      <c r="CL27" s="5" t="e">
        <f t="shared" si="47"/>
        <v>#DIV/0!</v>
      </c>
      <c r="CM27" s="6">
        <f>应产率辅助表!O24</f>
        <v>0</v>
      </c>
      <c r="CN27" s="6">
        <f>应产率辅助表!O53</f>
        <v>0</v>
      </c>
      <c r="CO27" s="7" t="e">
        <f t="shared" si="48"/>
        <v>#DIV/0!</v>
      </c>
      <c r="CP27" s="5">
        <f>+产品销售数量!AE24*1.04+产品销售数量!AD24*1.279+产品销售数量!BW24*1.04+产品销售数量!BX24*1.279</f>
        <v>0</v>
      </c>
      <c r="CQ27" s="5" t="e">
        <f t="shared" si="49"/>
        <v>#DIV/0!</v>
      </c>
      <c r="CR27" s="5">
        <f t="shared" si="50"/>
        <v>0</v>
      </c>
      <c r="CS27" s="5" t="e">
        <f t="shared" si="51"/>
        <v>#DIV/0!</v>
      </c>
      <c r="CT27" s="6">
        <f>应产率辅助表!P24</f>
        <v>0</v>
      </c>
      <c r="CU27" s="6">
        <f>应产率辅助表!P53</f>
        <v>0</v>
      </c>
      <c r="CV27" s="7" t="e">
        <f t="shared" si="52"/>
        <v>#DIV/0!</v>
      </c>
      <c r="CW27" s="5">
        <f>+产品销售数量!AC24*1.08+产品销售数量!AH24*1+产品销售数量!AG24*1.45+产品销售数量!BG24*0.834+产品销售数量!CU24*0.834+产品销售数量!DM24*1.19</f>
        <v>0</v>
      </c>
      <c r="CX27" s="5" t="e">
        <f t="shared" si="53"/>
        <v>#DIV/0!</v>
      </c>
      <c r="CY27" s="5">
        <f t="shared" si="54"/>
        <v>0</v>
      </c>
      <c r="CZ27" s="5" t="e">
        <f t="shared" si="55"/>
        <v>#DIV/0!</v>
      </c>
      <c r="DA27" s="6">
        <f>应产率辅助表!Q24</f>
        <v>0</v>
      </c>
      <c r="DB27" s="6">
        <f>应产率辅助表!Q53</f>
        <v>0</v>
      </c>
      <c r="DC27" s="7" t="e">
        <f t="shared" si="56"/>
        <v>#DIV/0!</v>
      </c>
      <c r="DD27" s="5">
        <f>产品销售数量!AJ24*2+产品销售数量!AK24*1.38+产品销售数量!AL24+产品销售数量!BT24*1.38+产品销售数量!BU24*2</f>
        <v>0</v>
      </c>
      <c r="DE27" s="5" t="e">
        <f t="shared" si="57"/>
        <v>#DIV/0!</v>
      </c>
      <c r="DF27" s="5">
        <f t="shared" si="58"/>
        <v>0</v>
      </c>
      <c r="DG27" s="5" t="e">
        <f t="shared" si="59"/>
        <v>#DIV/0!</v>
      </c>
      <c r="DH27" s="6">
        <f>应产率辅助表!R24</f>
        <v>0</v>
      </c>
      <c r="DI27" s="6">
        <f>应产率辅助表!R53</f>
        <v>0</v>
      </c>
      <c r="DJ27" s="7" t="e">
        <f t="shared" si="60"/>
        <v>#DIV/0!</v>
      </c>
      <c r="DK27" s="5">
        <f>+产品销售数量!AM24*1.375+产品销售数量!AN24+产品销售数量!AO24*0.75+产品销售数量!BR24*0.57</f>
        <v>0</v>
      </c>
      <c r="DL27" s="5" t="e">
        <f t="shared" si="61"/>
        <v>#DIV/0!</v>
      </c>
      <c r="DM27" s="5">
        <f t="shared" si="62"/>
        <v>0</v>
      </c>
      <c r="DN27" s="5" t="e">
        <f t="shared" si="63"/>
        <v>#DIV/0!</v>
      </c>
      <c r="DO27" s="6">
        <f>应产率辅助表!S24+应产率辅助表!T24</f>
        <v>0</v>
      </c>
      <c r="DP27" s="6">
        <f>应产率辅助表!S53+应产率辅助表!T53</f>
        <v>0</v>
      </c>
      <c r="DQ27" s="7" t="e">
        <f t="shared" si="64"/>
        <v>#DIV/0!</v>
      </c>
      <c r="DR27" s="5" t="e">
        <f>+产品销售数量!Y24+产品销售数量!X24+产品销售数量!AB24*3+产品销售数量!CG24*3+产品销售数量!CJ24*2+产品销售数量!BN24*2+产品销售数量!CR24+产品销售数量!CS24+产品销售数量!CT24+产品销售数量!BM24+产品销售数量!#REF!*3+产品销售数量!AA24+产品销售数量!CF24</f>
        <v>#REF!</v>
      </c>
      <c r="DS27" s="5" t="e">
        <f t="shared" si="65"/>
        <v>#REF!</v>
      </c>
      <c r="DT27" s="5" t="e">
        <f t="shared" si="66"/>
        <v>#REF!</v>
      </c>
      <c r="DU27" s="5" t="e">
        <f t="shared" si="67"/>
        <v>#DIV/0!</v>
      </c>
      <c r="DV27" s="6">
        <f>应产率辅助表!U24</f>
        <v>0</v>
      </c>
      <c r="DW27" s="6">
        <f>应产率辅助表!U53</f>
        <v>0</v>
      </c>
      <c r="DX27" s="7" t="e">
        <f t="shared" si="68"/>
        <v>#DIV/0!</v>
      </c>
      <c r="DY27" s="5" t="e">
        <f>+产品销售数量!E24+产品销售数量!F24*2+产品销售数量!G24+产品销售数量!#REF!+产品销售数量!CY24+产品销售数量!DE24+产品销售数量!DH24</f>
        <v>#REF!</v>
      </c>
      <c r="DZ27" s="5" t="e">
        <f t="shared" si="69"/>
        <v>#REF!</v>
      </c>
      <c r="EA27" s="5" t="e">
        <f t="shared" si="70"/>
        <v>#REF!</v>
      </c>
      <c r="EB27" s="5" t="e">
        <f t="shared" si="71"/>
        <v>#DIV/0!</v>
      </c>
      <c r="EC27" s="6">
        <f>应产率辅助表!V24</f>
        <v>0</v>
      </c>
      <c r="ED27" s="6">
        <f>应产率辅助表!V53</f>
        <v>0</v>
      </c>
      <c r="EE27" s="7" t="e">
        <f t="shared" si="72"/>
        <v>#DIV/0!</v>
      </c>
      <c r="EF27" s="5">
        <f>+产品销售数量!AS24</f>
        <v>0</v>
      </c>
      <c r="EG27" s="5" t="e">
        <f t="shared" si="73"/>
        <v>#DIV/0!</v>
      </c>
      <c r="EH27" s="5">
        <f t="shared" si="74"/>
        <v>0</v>
      </c>
      <c r="EI27" s="5" t="e">
        <f t="shared" si="75"/>
        <v>#DIV/0!</v>
      </c>
      <c r="EJ27" s="6">
        <f>应产率辅助表!W24</f>
        <v>0</v>
      </c>
      <c r="EK27" s="6">
        <f>应产率辅助表!W53</f>
        <v>0</v>
      </c>
      <c r="EL27" s="7" t="e">
        <f t="shared" si="76"/>
        <v>#DIV/0!</v>
      </c>
      <c r="EM27" s="5">
        <f>+产品销售数量!AD24+产品销售数量!AE24+产品销售数量!AF24+产品销售数量!AG24+产品销售数量!AH24+产品销售数量!AI24+产品销售数量!AJ24+产品销售数量!AK24+产品销售数量!AL24+产品销售数量!AM24+产品销售数量!AN24+产品销售数量!AO24+产品销售数量!AQ24+产品销售数量!AP24+产品销售数量!AR24+产品销售数量!BR24+产品销售数量!AS24+产品销售数量!CA24+产品销售数量!BE24+产品销售数量!BF24</f>
        <v>0</v>
      </c>
      <c r="EN27" s="5" t="e">
        <f t="shared" si="77"/>
        <v>#DIV/0!</v>
      </c>
      <c r="EO27" s="5">
        <f t="shared" si="78"/>
        <v>0</v>
      </c>
      <c r="EP27" s="5" t="e">
        <f t="shared" si="79"/>
        <v>#DIV/0!</v>
      </c>
      <c r="EQ27" s="6">
        <f>应产率辅助表!X24</f>
        <v>0</v>
      </c>
      <c r="ER27" s="6">
        <f>应产率辅助表!X53</f>
        <v>0</v>
      </c>
      <c r="ES27" s="7" t="e">
        <f t="shared" si="80"/>
        <v>#DIV/0!</v>
      </c>
      <c r="ET27" s="5">
        <f>+产品销售数量!AQ24+产品销售数量!AP24+产品销售数量!AR24+产品销售数量!BR24+产品销售数量!AS24+产品销售数量!CA24+产品销售数量!BE24+产品销售数量!BF24</f>
        <v>0</v>
      </c>
      <c r="EU27" s="5" t="e">
        <f t="shared" si="81"/>
        <v>#DIV/0!</v>
      </c>
      <c r="EV27" s="5">
        <f t="shared" si="82"/>
        <v>0</v>
      </c>
      <c r="EW27" s="5" t="e">
        <f t="shared" si="83"/>
        <v>#DIV/0!</v>
      </c>
      <c r="EX27" s="6">
        <f>应产率辅助表!Y24</f>
        <v>0</v>
      </c>
      <c r="EY27" s="6">
        <f>应产率辅助表!Y53</f>
        <v>0</v>
      </c>
      <c r="EZ27" s="7" t="e">
        <f t="shared" si="84"/>
        <v>#DIV/0!</v>
      </c>
      <c r="FA27" s="5">
        <f>产品销售数量!H24</f>
        <v>0</v>
      </c>
      <c r="FB27" s="5" t="e">
        <f t="shared" si="85"/>
        <v>#DIV/0!</v>
      </c>
      <c r="FC27" s="5">
        <f t="shared" si="86"/>
        <v>0</v>
      </c>
      <c r="FD27" s="5" t="e">
        <f t="shared" si="87"/>
        <v>#DIV/0!</v>
      </c>
      <c r="FE27" s="6">
        <f>应产率辅助表!Z24</f>
        <v>0</v>
      </c>
      <c r="FF27" s="6">
        <f>应产率辅助表!Z53</f>
        <v>0</v>
      </c>
      <c r="FG27" s="7" t="e">
        <f t="shared" si="88"/>
        <v>#DIV/0!</v>
      </c>
      <c r="FH27" s="5">
        <f>+产品销售数量!J24+产品销售数量!K24+产品销售数量!L24+产品销售数量!M24+产品销售数量!O24+产品销售数量!P24+产品销售数量!S24+产品销售数量!T24+产品销售数量!BQ24+产品销售数量!BS24+产品销售数量!CC24+产品销售数量!CH24+产品销售数量!CI24+产品销售数量!CJ24+产品销售数量!CK24+产品销售数量!CL24+产品销售数量!BL24+产品销售数量!AU24++产品销售数量!AW24+产品销售数量!BQ24+产品销售数量!CN24+产品销售数量!CO24+产品销售数量!CQ24+产品销售数量!CX24+产品销售数量!CY24+产品销售数量!CM24</f>
        <v>0</v>
      </c>
      <c r="FI27" s="5" t="e">
        <f t="shared" si="89"/>
        <v>#DIV/0!</v>
      </c>
      <c r="FJ27" s="5">
        <f t="shared" si="90"/>
        <v>0</v>
      </c>
      <c r="FK27" s="5" t="e">
        <f t="shared" si="91"/>
        <v>#DIV/0!</v>
      </c>
      <c r="FL27" s="6">
        <f>应产率辅助表!AA24</f>
        <v>0</v>
      </c>
      <c r="FM27" s="6">
        <f>应产率辅助表!AA53</f>
        <v>0</v>
      </c>
      <c r="FN27" s="7" t="e">
        <f t="shared" si="92"/>
        <v>#DIV/0!</v>
      </c>
      <c r="FO27" s="5">
        <f>+产品销售数量!R24+产品销售数量!CE24</f>
        <v>0</v>
      </c>
      <c r="FP27" s="5" t="e">
        <f t="shared" si="93"/>
        <v>#DIV/0!</v>
      </c>
      <c r="FQ27" s="5">
        <f t="shared" si="94"/>
        <v>0</v>
      </c>
      <c r="FR27" s="5" t="e">
        <f t="shared" si="95"/>
        <v>#DIV/0!</v>
      </c>
      <c r="FS27" s="6">
        <f>应产率辅助表!AB24</f>
        <v>0</v>
      </c>
      <c r="FT27" s="5">
        <f t="shared" si="96"/>
        <v>0</v>
      </c>
      <c r="FU27" s="6">
        <f>应产率辅助表!AB53</f>
        <v>0</v>
      </c>
      <c r="FV27" s="7" t="e">
        <f t="shared" si="97"/>
        <v>#DIV/0!</v>
      </c>
      <c r="FW27" s="5" t="e">
        <f t="shared" si="98"/>
        <v>#DIV/0!</v>
      </c>
      <c r="FX27" s="6">
        <f>应产率辅助表!AC24</f>
        <v>0</v>
      </c>
      <c r="FY27" s="6">
        <f>应产率辅助表!AC53</f>
        <v>0</v>
      </c>
      <c r="FZ27" s="7" t="e">
        <f t="shared" si="99"/>
        <v>#DIV/0!</v>
      </c>
      <c r="GA27" s="5" t="e">
        <f t="shared" si="100"/>
        <v>#DIV/0!</v>
      </c>
      <c r="GB27" s="6">
        <f>应产率辅助表!AD24</f>
        <v>0</v>
      </c>
      <c r="GC27" s="6">
        <f>应产率辅助表!AD53</f>
        <v>0</v>
      </c>
      <c r="GD27" s="7" t="e">
        <f t="shared" si="101"/>
        <v>#DIV/0!</v>
      </c>
      <c r="GE27" s="6">
        <f>应产率辅助表!AE24</f>
        <v>0</v>
      </c>
      <c r="GF27" s="6">
        <f>应产率辅助表!AE53</f>
        <v>0</v>
      </c>
      <c r="GG27" s="7" t="e">
        <f t="shared" si="102"/>
        <v>#DIV/0!</v>
      </c>
      <c r="GH27" s="6">
        <f>应产率辅助表!AF24</f>
        <v>0</v>
      </c>
      <c r="GI27" s="6">
        <f>应产率辅助表!AF53</f>
        <v>0</v>
      </c>
      <c r="GJ27" s="7" t="e">
        <f t="shared" si="103"/>
        <v>#DIV/0!</v>
      </c>
      <c r="GK27" s="6">
        <f>应产率辅助表!AG24</f>
        <v>0</v>
      </c>
      <c r="GL27" s="6">
        <f>应产率辅助表!AG53</f>
        <v>0</v>
      </c>
      <c r="GM27" s="7" t="e">
        <f t="shared" si="104"/>
        <v>#DIV/0!</v>
      </c>
      <c r="GN27" s="6"/>
      <c r="GO27" s="6">
        <f>应产率辅助表!AH24</f>
        <v>0</v>
      </c>
      <c r="GP27" s="6">
        <f>应产率辅助表!AH53</f>
        <v>0</v>
      </c>
      <c r="GQ27" s="7" t="e">
        <f t="shared" si="105"/>
        <v>#DIV/0!</v>
      </c>
      <c r="GR27" s="6">
        <f>应产率辅助表!AI24</f>
        <v>0</v>
      </c>
      <c r="GS27" s="6">
        <f>应产率辅助表!AI53</f>
        <v>0</v>
      </c>
      <c r="GT27" s="7" t="e">
        <f t="shared" si="106"/>
        <v>#DIV/0!</v>
      </c>
      <c r="GU27" s="72">
        <f>应产率辅助表!AJ24</f>
        <v>0</v>
      </c>
      <c r="GV27" s="72">
        <f>应产率辅助表!AJ53</f>
        <v>0</v>
      </c>
      <c r="GW27" s="7" t="e">
        <f t="shared" si="107"/>
        <v>#DIV/0!</v>
      </c>
      <c r="GX27" s="72">
        <f>应产率辅助表!AK24</f>
        <v>0</v>
      </c>
      <c r="GY27" s="72">
        <f>应产率辅助表!AK53</f>
        <v>0</v>
      </c>
      <c r="GZ27" s="7" t="e">
        <f t="shared" si="108"/>
        <v>#DIV/0!</v>
      </c>
      <c r="HA27" s="72">
        <f>应产率辅助表!AL24</f>
        <v>0</v>
      </c>
      <c r="HB27" s="72">
        <f>应产率辅助表!AL53</f>
        <v>0</v>
      </c>
      <c r="HC27" s="7" t="e">
        <f t="shared" si="109"/>
        <v>#DIV/0!</v>
      </c>
      <c r="HD27" s="72">
        <f>应产率辅助表!AM24</f>
        <v>0</v>
      </c>
      <c r="HE27" s="72">
        <f>应产率辅助表!AM53</f>
        <v>0</v>
      </c>
      <c r="HF27" s="7" t="e">
        <f t="shared" si="110"/>
        <v>#DIV/0!</v>
      </c>
      <c r="HG27" s="72">
        <f>应产率辅助表!AN24</f>
        <v>0</v>
      </c>
      <c r="HH27" s="72">
        <f>应产率辅助表!AN53</f>
        <v>0</v>
      </c>
      <c r="HI27" s="7" t="e">
        <f t="shared" si="111"/>
        <v>#DIV/0!</v>
      </c>
      <c r="HJ27" s="72">
        <f>应产率辅助表!AO24</f>
        <v>0</v>
      </c>
      <c r="HK27" s="72">
        <f>应产率辅助表!AO53</f>
        <v>0</v>
      </c>
      <c r="HL27" s="7" t="e">
        <f t="shared" si="112"/>
        <v>#DIV/0!</v>
      </c>
      <c r="HM27" s="72">
        <f>应产率辅助表!AP24</f>
        <v>0</v>
      </c>
      <c r="HN27" s="72">
        <f>应产率辅助表!AP53</f>
        <v>0</v>
      </c>
      <c r="HO27" s="7" t="e">
        <f t="shared" si="113"/>
        <v>#DIV/0!</v>
      </c>
      <c r="HP27" s="6"/>
      <c r="HQ27" s="6">
        <f t="shared" si="175"/>
        <v>0</v>
      </c>
      <c r="HR27" s="5" t="e">
        <f t="shared" si="115"/>
        <v>#DIV/0!</v>
      </c>
      <c r="HS27" s="6">
        <v>0</v>
      </c>
      <c r="HT27" s="6">
        <v>0</v>
      </c>
      <c r="HU27" s="5" t="e">
        <f t="shared" si="116"/>
        <v>#DIV/0!</v>
      </c>
      <c r="HV27" s="6">
        <v>0</v>
      </c>
      <c r="HW27" s="6">
        <v>0</v>
      </c>
      <c r="HX27" s="5" t="e">
        <f t="shared" si="117"/>
        <v>#DIV/0!</v>
      </c>
      <c r="HY27" s="5"/>
      <c r="HZ27" s="5"/>
      <c r="IA27" s="5" t="e">
        <f t="shared" si="166"/>
        <v>#DIV/0!</v>
      </c>
      <c r="IB27" s="5">
        <f t="shared" si="118"/>
        <v>0</v>
      </c>
      <c r="IC27" s="5">
        <f t="shared" si="118"/>
        <v>0</v>
      </c>
      <c r="ID27" s="5" t="e">
        <f t="shared" si="119"/>
        <v>#DIV/0!</v>
      </c>
      <c r="IE27" s="7">
        <f t="shared" si="120"/>
        <v>0</v>
      </c>
      <c r="IF27" s="7">
        <f t="shared" si="120"/>
        <v>0</v>
      </c>
      <c r="IG27" s="5" t="e">
        <f t="shared" si="121"/>
        <v>#DIV/0!</v>
      </c>
      <c r="IH27" s="5" t="e">
        <f t="shared" si="122"/>
        <v>#DIV/0!</v>
      </c>
      <c r="II27" s="5" t="e">
        <f t="shared" si="123"/>
        <v>#DIV/0!</v>
      </c>
      <c r="IJ27" s="8" t="e">
        <f t="shared" si="124"/>
        <v>#DIV/0!</v>
      </c>
      <c r="IK27" s="8" t="e">
        <f t="shared" si="125"/>
        <v>#DIV/0!</v>
      </c>
      <c r="IL27" s="8" t="e">
        <f t="shared" si="126"/>
        <v>#DIV/0!</v>
      </c>
      <c r="IM27" s="8" t="e">
        <f t="shared" si="127"/>
        <v>#DIV/0!</v>
      </c>
      <c r="IN27" s="8" t="e">
        <f t="shared" si="128"/>
        <v>#DIV/0!</v>
      </c>
      <c r="IO27" s="8" t="e">
        <f t="shared" si="129"/>
        <v>#DIV/0!</v>
      </c>
      <c r="IP27" s="8" t="e">
        <f t="shared" si="130"/>
        <v>#DIV/0!</v>
      </c>
      <c r="IQ27" s="8" t="e">
        <f t="shared" si="131"/>
        <v>#DIV/0!</v>
      </c>
      <c r="IR27" s="8" t="e">
        <f t="shared" si="132"/>
        <v>#DIV/0!</v>
      </c>
      <c r="IS27" s="8" t="e">
        <f t="shared" si="133"/>
        <v>#DIV/0!</v>
      </c>
      <c r="IT27" s="8" t="e">
        <f t="shared" si="134"/>
        <v>#DIV/0!</v>
      </c>
      <c r="IU27" s="8" t="e">
        <f t="shared" si="135"/>
        <v>#DIV/0!</v>
      </c>
      <c r="IV27" s="8" t="e">
        <f t="shared" si="136"/>
        <v>#DIV/0!</v>
      </c>
      <c r="IW27" s="8" t="e">
        <f t="shared" si="137"/>
        <v>#DIV/0!</v>
      </c>
      <c r="IX27" s="8" t="e">
        <f t="shared" si="138"/>
        <v>#DIV/0!</v>
      </c>
      <c r="IY27" s="8" t="e">
        <f t="shared" si="139"/>
        <v>#DIV/0!</v>
      </c>
      <c r="IZ27" s="8" t="e">
        <f t="shared" si="140"/>
        <v>#DIV/0!</v>
      </c>
      <c r="JA27" s="8" t="e">
        <f t="shared" si="141"/>
        <v>#DIV/0!</v>
      </c>
      <c r="JB27" s="8" t="e">
        <f t="shared" si="142"/>
        <v>#DIV/0!</v>
      </c>
      <c r="JC27" s="8" t="e">
        <f t="shared" si="143"/>
        <v>#DIV/0!</v>
      </c>
      <c r="JD27" s="8" t="e">
        <f t="shared" si="144"/>
        <v>#DIV/0!</v>
      </c>
      <c r="JE27" s="8" t="e">
        <f t="shared" si="145"/>
        <v>#DIV/0!</v>
      </c>
      <c r="JF27" s="8" t="e">
        <f t="shared" si="146"/>
        <v>#DIV/0!</v>
      </c>
      <c r="JG27" s="8" t="e">
        <f t="shared" si="147"/>
        <v>#DIV/0!</v>
      </c>
      <c r="JH27" s="8" t="e">
        <f t="shared" si="148"/>
        <v>#DIV/0!</v>
      </c>
      <c r="JI27" s="8" t="e">
        <f t="shared" si="149"/>
        <v>#DIV/0!</v>
      </c>
      <c r="JJ27" s="8" t="e">
        <f t="shared" si="150"/>
        <v>#DIV/0!</v>
      </c>
      <c r="JK27" s="8" t="e">
        <f t="shared" si="151"/>
        <v>#DIV/0!</v>
      </c>
      <c r="JL27" s="8" t="e">
        <f t="shared" si="152"/>
        <v>#DIV/0!</v>
      </c>
      <c r="JM27" s="8" t="e">
        <f t="shared" si="153"/>
        <v>#DIV/0!</v>
      </c>
      <c r="JN27" s="8" t="e">
        <f t="shared" si="154"/>
        <v>#DIV/0!</v>
      </c>
      <c r="JO27" s="8" t="e">
        <f t="shared" si="155"/>
        <v>#DIV/0!</v>
      </c>
      <c r="JP27" s="9" t="e">
        <f t="shared" si="156"/>
        <v>#DIV/0!</v>
      </c>
      <c r="JQ27" s="9" t="e">
        <f t="shared" si="157"/>
        <v>#DIV/0!</v>
      </c>
      <c r="JR27" s="9" t="e">
        <f t="shared" si="158"/>
        <v>#DIV/0!</v>
      </c>
      <c r="JS27" s="9" t="e">
        <f t="shared" si="159"/>
        <v>#DIV/0!</v>
      </c>
      <c r="JT27" s="9" t="e">
        <f t="shared" si="160"/>
        <v>#DIV/0!</v>
      </c>
      <c r="JU27" s="9" t="e">
        <f t="shared" si="161"/>
        <v>#DIV/0!</v>
      </c>
      <c r="JV27" s="9" t="e">
        <f t="shared" si="162"/>
        <v>#DIV/0!</v>
      </c>
      <c r="JW27" s="9" t="e">
        <f t="shared" si="163"/>
        <v>#DIV/0!</v>
      </c>
    </row>
    <row r="28" spans="1:283" s="11" customFormat="1" ht="18" hidden="1" customHeight="1" x14ac:dyDescent="0.15">
      <c r="A28" s="10"/>
      <c r="B28" s="5"/>
      <c r="C28" s="5"/>
      <c r="D28" s="55"/>
      <c r="E28" s="56">
        <f>产品销售数量!D25</f>
        <v>0</v>
      </c>
      <c r="F28" s="6">
        <f>应产率辅助表!C25</f>
        <v>0</v>
      </c>
      <c r="G28" s="6">
        <f>应产率辅助表!C54</f>
        <v>0</v>
      </c>
      <c r="H28" s="7" t="e">
        <f t="shared" si="1"/>
        <v>#DIV/0!</v>
      </c>
      <c r="I28" s="5">
        <f>产品销售数量!E25+产品销售数量!F25*1.36</f>
        <v>0</v>
      </c>
      <c r="J28" s="5" t="e">
        <f t="shared" si="164"/>
        <v>#DIV/0!</v>
      </c>
      <c r="K28" s="5">
        <f t="shared" si="2"/>
        <v>0</v>
      </c>
      <c r="L28" s="5" t="e">
        <f t="shared" si="3"/>
        <v>#DIV/0!</v>
      </c>
      <c r="M28" s="6">
        <f>应产率辅助表!D25</f>
        <v>0</v>
      </c>
      <c r="N28" s="6">
        <f>应产率辅助表!D54</f>
        <v>0</v>
      </c>
      <c r="O28" s="7" t="e">
        <f t="shared" si="4"/>
        <v>#DIV/0!</v>
      </c>
      <c r="P28" s="5">
        <f>+产品销售数量!H25</f>
        <v>0</v>
      </c>
      <c r="Q28" s="5" t="e">
        <f t="shared" si="5"/>
        <v>#DIV/0!</v>
      </c>
      <c r="R28" s="5">
        <f t="shared" si="6"/>
        <v>0</v>
      </c>
      <c r="S28" s="5" t="e">
        <f t="shared" si="7"/>
        <v>#DIV/0!</v>
      </c>
      <c r="T28" s="6">
        <f>应产率辅助表!E25</f>
        <v>0</v>
      </c>
      <c r="U28" s="6">
        <f>应产率辅助表!E54</f>
        <v>0</v>
      </c>
      <c r="V28" s="7" t="e">
        <f t="shared" si="8"/>
        <v>#DIV/0!</v>
      </c>
      <c r="W28" s="5">
        <f>+产品销售数量!V25+产品销售数量!CP25</f>
        <v>0</v>
      </c>
      <c r="X28" s="5" t="e">
        <f t="shared" si="9"/>
        <v>#DIV/0!</v>
      </c>
      <c r="Y28" s="5">
        <f t="shared" si="10"/>
        <v>0</v>
      </c>
      <c r="Z28" s="5" t="e">
        <f t="shared" si="11"/>
        <v>#DIV/0!</v>
      </c>
      <c r="AA28" s="6">
        <f>应产率辅助表!F25</f>
        <v>0</v>
      </c>
      <c r="AB28" s="6">
        <f>应产率辅助表!F54</f>
        <v>0</v>
      </c>
      <c r="AC28" s="7" t="e">
        <f t="shared" si="12"/>
        <v>#DIV/0!</v>
      </c>
      <c r="AD28" s="5">
        <f>产品销售数量!J25*1.5+产品销售数量!K25*1.5+产品销售数量!L25*1.5+产品销售数量!O25*1.5+产品销售数量!P25*1.5+产品销售数量!S25*1.5+产品销售数量!T25*1.5+产品销售数量!CH25*1.35+产品销售数量!M25*1.5+产品销售数量!CK25*0.89*1.5+产品销售数量!BL25*1.35+产品销售数量!AU25*0.9+产品销售数量!AW25*0.9+产品销售数量!BB25*1.5+产品销售数量!CN25*1.35+产品销售数量!CO25*1.35+产品销售数量!CQ25*1.5+产品销售数量!CX25*1.5+产品销售数量!CY25*1.35+产品销售数量!CZ25*1.35</f>
        <v>0</v>
      </c>
      <c r="AE28" s="5" t="e">
        <f t="shared" si="13"/>
        <v>#DIV/0!</v>
      </c>
      <c r="AF28" s="5">
        <f t="shared" si="14"/>
        <v>0</v>
      </c>
      <c r="AG28" s="5" t="e">
        <f t="shared" si="15"/>
        <v>#DIV/0!</v>
      </c>
      <c r="AH28" s="6">
        <f t="shared" si="165"/>
        <v>0</v>
      </c>
      <c r="AI28" s="6">
        <f>应产率辅助表!G25</f>
        <v>0</v>
      </c>
      <c r="AJ28" s="6">
        <f>应产率辅助表!G54</f>
        <v>0</v>
      </c>
      <c r="AK28" s="7" t="e">
        <f t="shared" si="17"/>
        <v>#DIV/0!</v>
      </c>
      <c r="AL28" s="5" t="e">
        <f>+产品销售数量!J25*1.13+产品销售数量!K25*1.13+产品销售数量!O25*1.13+产品销售数量!U25+产品销售数量!V25*2.6+产品销售数量!W25*2.6+产品销售数量!X25*1.6+产品销售数量!Y25+产品销售数量!AB25*1.74+产品销售数量!BC25*1.19+产品销售数量!BL25*0.98+产品销售数量!BM25*0.74+产品销售数量!BN25*4.495+产品销售数量!BQ25*2.29+产品销售数量!BV25*2.56+产品销售数量!CG25*1.74+产品销售数量!CJ25*0.8+产品销售数量!CK25*1.13+产品销售数量!CM25*1.19+产品销售数量!CO25*0.98+产品销售数量!CP25*2.62+产品销售数量!CQ25*1.13+产品销售数量!CR25*1.4+产品销售数量!CS25*1.4+产品销售数量!CT25*1.4+产品销售数量!#REF!*5.29+产品销售数量!CV25*1.13+产品销售数量!CW25*0.98+产品销售数量!CX25*0.378+产品销售数量!CY25*1.19+产品销售数量!DA25*0.87+产品销售数量!DB25*1.5+产品销售数量!DI25*0.595+产品销售数量!DK25*1.74</f>
        <v>#REF!</v>
      </c>
      <c r="AM28" s="5" t="e">
        <f t="shared" si="18"/>
        <v>#REF!</v>
      </c>
      <c r="AN28" s="5" t="e">
        <f t="shared" si="19"/>
        <v>#REF!</v>
      </c>
      <c r="AO28" s="5" t="e">
        <f t="shared" si="20"/>
        <v>#DIV/0!</v>
      </c>
      <c r="AP28" s="6">
        <f>应产率辅助表!H25</f>
        <v>0</v>
      </c>
      <c r="AQ28" s="6">
        <f>应产率辅助表!H54</f>
        <v>0</v>
      </c>
      <c r="AR28" s="7" t="e">
        <f t="shared" si="21"/>
        <v>#DIV/0!</v>
      </c>
      <c r="AS28" s="5">
        <f>产品销售数量!I25*0.858+产品销售数量!Z25*0.686+产品销售数量!AA25*1.79+产品销售数量!CF25*1.79+产品销售数量!CL25*0.89</f>
        <v>0</v>
      </c>
      <c r="AT28" s="5" t="e">
        <f t="shared" si="22"/>
        <v>#DIV/0!</v>
      </c>
      <c r="AU28" s="5">
        <f t="shared" si="23"/>
        <v>0</v>
      </c>
      <c r="AV28" s="5" t="e">
        <f t="shared" si="24"/>
        <v>#DIV/0!</v>
      </c>
      <c r="AW28" s="6">
        <f>应产率辅助表!I25</f>
        <v>0</v>
      </c>
      <c r="AX28" s="6">
        <f>应产率辅助表!I54</f>
        <v>0</v>
      </c>
      <c r="AY28" s="7" t="e">
        <f t="shared" si="25"/>
        <v>#DIV/0!</v>
      </c>
      <c r="AZ28" s="5">
        <f>+产品销售数量!I25*0.857+产品销售数量!Z25*0.485+产品销售数量!AA25*1.88+产品销售数量!CF25*1.88+产品销售数量!CL25*0.89</f>
        <v>0</v>
      </c>
      <c r="BA28" s="5" t="e">
        <f t="shared" si="26"/>
        <v>#DIV/0!</v>
      </c>
      <c r="BB28" s="5">
        <f t="shared" si="27"/>
        <v>0</v>
      </c>
      <c r="BC28" s="5" t="e">
        <f t="shared" si="28"/>
        <v>#DIV/0!</v>
      </c>
      <c r="BD28" s="6">
        <f>应产率辅助表!J25</f>
        <v>0</v>
      </c>
      <c r="BE28" s="6">
        <f>应产率辅助表!J54</f>
        <v>0</v>
      </c>
      <c r="BF28" s="7" t="e">
        <f t="shared" si="167"/>
        <v>#DIV/0!</v>
      </c>
      <c r="BG28" s="5">
        <f>+产品销售数量!J25*2+产品销售数量!L25*0.93+产品销售数量!O25*2+产品销售数量!P25*0.93+产品销售数量!U25*1.93+产品销售数量!W25*2+产品销售数量!V25*3.79+产品销售数量!I25*2.678+产品销售数量!CK25*1.32+产品销售数量!CQ25*2</f>
        <v>0</v>
      </c>
      <c r="BH28" s="5" t="e">
        <f t="shared" si="168"/>
        <v>#DIV/0!</v>
      </c>
      <c r="BI28" s="5">
        <f t="shared" si="169"/>
        <v>0</v>
      </c>
      <c r="BJ28" s="5" t="e">
        <f t="shared" si="170"/>
        <v>#DIV/0!</v>
      </c>
      <c r="BK28" s="6">
        <f>应产率辅助表!K25</f>
        <v>0</v>
      </c>
      <c r="BL28" s="6">
        <f>应产率辅助表!K54</f>
        <v>0</v>
      </c>
      <c r="BM28" s="7" t="e">
        <f t="shared" si="33"/>
        <v>#DIV/0!</v>
      </c>
      <c r="BN28" s="5" t="e">
        <f>产品销售数量!K25*1.125+产品销售数量!Y25*4.12+产品销售数量!X25*5.5+产品销售数量!AA25*13.25+产品销售数量!AB25*13.25+产品销售数量!BN25*6.87+产品销售数量!BV25+产品销售数量!CF25*13.25+产品销售数量!CG25*13.25+产品销售数量!CJ25*6.63+产品销售数量!CL25*6.63+产品销售数量!CR25*2.25+产品销售数量!CS25*2.25+产品销售数量!CT25*2.25+产品销售数量!#REF!*6.87++产品销售数量!CV25*0.75+产品销售数量!DA25*6.63+产品销售数量!DJ25*13.25+产品销售数量!DK25*13.25</f>
        <v>#REF!</v>
      </c>
      <c r="BO28" s="5" t="e">
        <f t="shared" si="0"/>
        <v>#REF!</v>
      </c>
      <c r="BP28" s="5" t="e">
        <f t="shared" si="34"/>
        <v>#REF!</v>
      </c>
      <c r="BQ28" s="5" t="e">
        <f t="shared" si="35"/>
        <v>#DIV/0!</v>
      </c>
      <c r="BR28" s="6">
        <f>应产率辅助表!L25</f>
        <v>0</v>
      </c>
      <c r="BS28" s="6">
        <f>应产率辅助表!L54</f>
        <v>0</v>
      </c>
      <c r="BT28" s="7" t="e">
        <f t="shared" si="171"/>
        <v>#DIV/0!</v>
      </c>
      <c r="BU28" s="5">
        <f>产品销售数量!O25+产品销售数量!P25+产品销售数量!CI25*1.5+产品销售数量!CK25*0.89+产品销售数量!M25*1.34</f>
        <v>0</v>
      </c>
      <c r="BV28" s="5" t="e">
        <f t="shared" si="172"/>
        <v>#DIV/0!</v>
      </c>
      <c r="BW28" s="5">
        <f t="shared" si="173"/>
        <v>0</v>
      </c>
      <c r="BX28" s="5" t="e">
        <f t="shared" si="174"/>
        <v>#DIV/0!</v>
      </c>
      <c r="BY28" s="6">
        <f>应产率辅助表!M25</f>
        <v>0</v>
      </c>
      <c r="BZ28" s="6">
        <f>应产率辅助表!M54</f>
        <v>0</v>
      </c>
      <c r="CA28" s="7" t="e">
        <f t="shared" si="40"/>
        <v>#DIV/0!</v>
      </c>
      <c r="CB28" s="5">
        <f>+产品销售数量!J25+产品销售数量!K25+产品销售数量!L25+产品销售数量!O25+产品销售数量!P25+产品销售数量!S25+产品销售数量!T25+产品销售数量!AU25*0.9+产品销售数量!AW25*0.9+产品销售数量!BL25*0.9+产品销售数量!CH25*0.9+产品销售数量!CK25*0.9+产品销售数量!CN25*0.9+产品销售数量!CO25*0.9+产品销售数量!CQ25+产品销售数量!CV25+产品销售数量!CW25*0.9+产品销售数量!DB25</f>
        <v>0</v>
      </c>
      <c r="CC28" s="5" t="e">
        <f t="shared" si="41"/>
        <v>#DIV/0!</v>
      </c>
      <c r="CD28" s="5">
        <f t="shared" si="42"/>
        <v>0</v>
      </c>
      <c r="CE28" s="5" t="e">
        <f t="shared" si="43"/>
        <v>#DIV/0!</v>
      </c>
      <c r="CF28" s="6">
        <f>应产率辅助表!N25</f>
        <v>0</v>
      </c>
      <c r="CG28" s="6">
        <f>应产率辅助表!N54</f>
        <v>0</v>
      </c>
      <c r="CH28" s="7" t="e">
        <f t="shared" si="44"/>
        <v>#DIV/0!</v>
      </c>
      <c r="CI28" s="5">
        <f>产品销售数量!P25+产品销售数量!Z25*1.4+产品销售数量!L25</f>
        <v>0</v>
      </c>
      <c r="CJ28" s="5" t="e">
        <f t="shared" si="45"/>
        <v>#DIV/0!</v>
      </c>
      <c r="CK28" s="5">
        <f t="shared" si="46"/>
        <v>0</v>
      </c>
      <c r="CL28" s="5" t="e">
        <f t="shared" si="47"/>
        <v>#DIV/0!</v>
      </c>
      <c r="CM28" s="6">
        <f>应产率辅助表!O25</f>
        <v>0</v>
      </c>
      <c r="CN28" s="6">
        <f>应产率辅助表!O54</f>
        <v>0</v>
      </c>
      <c r="CO28" s="7" t="e">
        <f t="shared" si="48"/>
        <v>#DIV/0!</v>
      </c>
      <c r="CP28" s="5">
        <f>+产品销售数量!AE25*1.04+产品销售数量!AD25*1.279+产品销售数量!BW25*1.04+产品销售数量!BX25*1.279</f>
        <v>0</v>
      </c>
      <c r="CQ28" s="5" t="e">
        <f t="shared" si="49"/>
        <v>#DIV/0!</v>
      </c>
      <c r="CR28" s="5">
        <f t="shared" si="50"/>
        <v>0</v>
      </c>
      <c r="CS28" s="5" t="e">
        <f t="shared" si="51"/>
        <v>#DIV/0!</v>
      </c>
      <c r="CT28" s="6">
        <f>应产率辅助表!P25</f>
        <v>0</v>
      </c>
      <c r="CU28" s="6">
        <f>应产率辅助表!P54</f>
        <v>0</v>
      </c>
      <c r="CV28" s="7" t="e">
        <f t="shared" si="52"/>
        <v>#DIV/0!</v>
      </c>
      <c r="CW28" s="5">
        <f>+产品销售数量!AC25*1.08+产品销售数量!AH25*1+产品销售数量!AG25*1.45+产品销售数量!BG25*0.834+产品销售数量!CU25*0.834+产品销售数量!DM25*1.19</f>
        <v>0</v>
      </c>
      <c r="CX28" s="5" t="e">
        <f t="shared" si="53"/>
        <v>#DIV/0!</v>
      </c>
      <c r="CY28" s="5">
        <f t="shared" si="54"/>
        <v>0</v>
      </c>
      <c r="CZ28" s="5" t="e">
        <f t="shared" si="55"/>
        <v>#DIV/0!</v>
      </c>
      <c r="DA28" s="6">
        <f>应产率辅助表!Q25</f>
        <v>0</v>
      </c>
      <c r="DB28" s="6">
        <f>应产率辅助表!Q54</f>
        <v>0</v>
      </c>
      <c r="DC28" s="7" t="e">
        <f t="shared" si="56"/>
        <v>#DIV/0!</v>
      </c>
      <c r="DD28" s="5">
        <f>产品销售数量!AJ25*2+产品销售数量!AK25*1.38+产品销售数量!AL25+产品销售数量!BT25*1.38+产品销售数量!BU25*2</f>
        <v>0</v>
      </c>
      <c r="DE28" s="5" t="e">
        <f t="shared" si="57"/>
        <v>#DIV/0!</v>
      </c>
      <c r="DF28" s="5">
        <f t="shared" si="58"/>
        <v>0</v>
      </c>
      <c r="DG28" s="5" t="e">
        <f t="shared" si="59"/>
        <v>#DIV/0!</v>
      </c>
      <c r="DH28" s="6">
        <f>应产率辅助表!R25</f>
        <v>0</v>
      </c>
      <c r="DI28" s="6">
        <f>应产率辅助表!R54</f>
        <v>0</v>
      </c>
      <c r="DJ28" s="7" t="e">
        <f t="shared" si="60"/>
        <v>#DIV/0!</v>
      </c>
      <c r="DK28" s="5">
        <f>+产品销售数量!AM25*1.375+产品销售数量!AN25+产品销售数量!AO25*0.75+产品销售数量!BR25*0.57</f>
        <v>0</v>
      </c>
      <c r="DL28" s="5" t="e">
        <f t="shared" si="61"/>
        <v>#DIV/0!</v>
      </c>
      <c r="DM28" s="5">
        <f t="shared" si="62"/>
        <v>0</v>
      </c>
      <c r="DN28" s="5" t="e">
        <f t="shared" si="63"/>
        <v>#DIV/0!</v>
      </c>
      <c r="DO28" s="6">
        <f>应产率辅助表!S25+应产率辅助表!T25</f>
        <v>0</v>
      </c>
      <c r="DP28" s="6">
        <f>应产率辅助表!S54+应产率辅助表!T54</f>
        <v>0</v>
      </c>
      <c r="DQ28" s="7" t="e">
        <f t="shared" si="64"/>
        <v>#DIV/0!</v>
      </c>
      <c r="DR28" s="5" t="e">
        <f>+产品销售数量!Y25+产品销售数量!X25+产品销售数量!AB25*3+产品销售数量!CG25*3+产品销售数量!CJ25*2+产品销售数量!BN25*2+产品销售数量!CR25+产品销售数量!CS25+产品销售数量!CT25+产品销售数量!BM25+产品销售数量!#REF!*3+产品销售数量!AA25+产品销售数量!CF25</f>
        <v>#REF!</v>
      </c>
      <c r="DS28" s="5" t="e">
        <f t="shared" si="65"/>
        <v>#REF!</v>
      </c>
      <c r="DT28" s="5" t="e">
        <f t="shared" si="66"/>
        <v>#REF!</v>
      </c>
      <c r="DU28" s="5" t="e">
        <f t="shared" si="67"/>
        <v>#DIV/0!</v>
      </c>
      <c r="DV28" s="6">
        <f>应产率辅助表!U25</f>
        <v>0</v>
      </c>
      <c r="DW28" s="6">
        <f>应产率辅助表!U54</f>
        <v>0</v>
      </c>
      <c r="DX28" s="7" t="e">
        <f t="shared" si="68"/>
        <v>#DIV/0!</v>
      </c>
      <c r="DY28" s="5" t="e">
        <f>+产品销售数量!E25+产品销售数量!F25*2+产品销售数量!G25+产品销售数量!#REF!+产品销售数量!CY25+产品销售数量!DE25+产品销售数量!DH25</f>
        <v>#REF!</v>
      </c>
      <c r="DZ28" s="5" t="e">
        <f t="shared" si="69"/>
        <v>#REF!</v>
      </c>
      <c r="EA28" s="5" t="e">
        <f t="shared" si="70"/>
        <v>#REF!</v>
      </c>
      <c r="EB28" s="5" t="e">
        <f t="shared" si="71"/>
        <v>#DIV/0!</v>
      </c>
      <c r="EC28" s="6">
        <f>应产率辅助表!V25</f>
        <v>0</v>
      </c>
      <c r="ED28" s="6">
        <f>应产率辅助表!V54</f>
        <v>0</v>
      </c>
      <c r="EE28" s="7" t="e">
        <f t="shared" si="72"/>
        <v>#DIV/0!</v>
      </c>
      <c r="EF28" s="5">
        <f>+产品销售数量!AS25</f>
        <v>0</v>
      </c>
      <c r="EG28" s="5" t="e">
        <f t="shared" si="73"/>
        <v>#DIV/0!</v>
      </c>
      <c r="EH28" s="5">
        <f t="shared" si="74"/>
        <v>0</v>
      </c>
      <c r="EI28" s="5" t="e">
        <f t="shared" si="75"/>
        <v>#DIV/0!</v>
      </c>
      <c r="EJ28" s="6">
        <f>应产率辅助表!W25</f>
        <v>0</v>
      </c>
      <c r="EK28" s="6">
        <f>应产率辅助表!W54</f>
        <v>0</v>
      </c>
      <c r="EL28" s="7" t="e">
        <f t="shared" si="76"/>
        <v>#DIV/0!</v>
      </c>
      <c r="EM28" s="5">
        <f>+产品销售数量!AD25+产品销售数量!AE25+产品销售数量!AF25+产品销售数量!AG25+产品销售数量!AH25+产品销售数量!AI25+产品销售数量!AJ25+产品销售数量!AK25+产品销售数量!AL25+产品销售数量!AM25+产品销售数量!AN25+产品销售数量!AO25+产品销售数量!AQ25+产品销售数量!AP25+产品销售数量!AR25+产品销售数量!BR25+产品销售数量!AS25+产品销售数量!CA25+产品销售数量!BE25+产品销售数量!BF25</f>
        <v>0</v>
      </c>
      <c r="EN28" s="5" t="e">
        <f t="shared" si="77"/>
        <v>#DIV/0!</v>
      </c>
      <c r="EO28" s="5">
        <f t="shared" si="78"/>
        <v>0</v>
      </c>
      <c r="EP28" s="5" t="e">
        <f t="shared" si="79"/>
        <v>#DIV/0!</v>
      </c>
      <c r="EQ28" s="6">
        <f>应产率辅助表!X25</f>
        <v>0</v>
      </c>
      <c r="ER28" s="6">
        <f>应产率辅助表!X54</f>
        <v>0</v>
      </c>
      <c r="ES28" s="7" t="e">
        <f t="shared" si="80"/>
        <v>#DIV/0!</v>
      </c>
      <c r="ET28" s="5">
        <f>+产品销售数量!AQ25+产品销售数量!AP25+产品销售数量!AR25+产品销售数量!BR25+产品销售数量!AS25+产品销售数量!CA25+产品销售数量!BE25+产品销售数量!BF25</f>
        <v>0</v>
      </c>
      <c r="EU28" s="5" t="e">
        <f t="shared" si="81"/>
        <v>#DIV/0!</v>
      </c>
      <c r="EV28" s="5">
        <f t="shared" si="82"/>
        <v>0</v>
      </c>
      <c r="EW28" s="5" t="e">
        <f t="shared" si="83"/>
        <v>#DIV/0!</v>
      </c>
      <c r="EX28" s="6">
        <f>应产率辅助表!Y25</f>
        <v>0</v>
      </c>
      <c r="EY28" s="6">
        <f>应产率辅助表!Y54</f>
        <v>0</v>
      </c>
      <c r="EZ28" s="7" t="e">
        <f t="shared" si="84"/>
        <v>#DIV/0!</v>
      </c>
      <c r="FA28" s="5">
        <f>产品销售数量!H25</f>
        <v>0</v>
      </c>
      <c r="FB28" s="5" t="e">
        <f t="shared" si="85"/>
        <v>#DIV/0!</v>
      </c>
      <c r="FC28" s="5">
        <f t="shared" si="86"/>
        <v>0</v>
      </c>
      <c r="FD28" s="5" t="e">
        <f t="shared" si="87"/>
        <v>#DIV/0!</v>
      </c>
      <c r="FE28" s="6">
        <f>应产率辅助表!Z25</f>
        <v>0</v>
      </c>
      <c r="FF28" s="6">
        <f>应产率辅助表!Z54</f>
        <v>0</v>
      </c>
      <c r="FG28" s="7" t="e">
        <f t="shared" si="88"/>
        <v>#DIV/0!</v>
      </c>
      <c r="FH28" s="5">
        <f>+产品销售数量!J25+产品销售数量!K25+产品销售数量!L25+产品销售数量!M25+产品销售数量!O25+产品销售数量!P25+产品销售数量!S25+产品销售数量!T25+产品销售数量!BQ25+产品销售数量!BS25+产品销售数量!CC25+产品销售数量!CH25+产品销售数量!CI25+产品销售数量!CJ25+产品销售数量!CK25+产品销售数量!CL25+产品销售数量!BL25+产品销售数量!AU25++产品销售数量!AW25+产品销售数量!BQ25+产品销售数量!CN25+产品销售数量!CO25+产品销售数量!CQ25+产品销售数量!CX25+产品销售数量!CY25+产品销售数量!CM25</f>
        <v>0</v>
      </c>
      <c r="FI28" s="5" t="e">
        <f t="shared" si="89"/>
        <v>#DIV/0!</v>
      </c>
      <c r="FJ28" s="5">
        <f t="shared" si="90"/>
        <v>0</v>
      </c>
      <c r="FK28" s="5" t="e">
        <f t="shared" si="91"/>
        <v>#DIV/0!</v>
      </c>
      <c r="FL28" s="6">
        <f>应产率辅助表!AA25</f>
        <v>0</v>
      </c>
      <c r="FM28" s="6">
        <f>应产率辅助表!AA54</f>
        <v>0</v>
      </c>
      <c r="FN28" s="7" t="e">
        <f t="shared" si="92"/>
        <v>#DIV/0!</v>
      </c>
      <c r="FO28" s="5">
        <f>+产品销售数量!R25+产品销售数量!CE25</f>
        <v>0</v>
      </c>
      <c r="FP28" s="5" t="e">
        <f t="shared" si="93"/>
        <v>#DIV/0!</v>
      </c>
      <c r="FQ28" s="5">
        <f t="shared" si="94"/>
        <v>0</v>
      </c>
      <c r="FR28" s="5" t="e">
        <f t="shared" si="95"/>
        <v>#DIV/0!</v>
      </c>
      <c r="FS28" s="6">
        <f>应产率辅助表!AB25</f>
        <v>0</v>
      </c>
      <c r="FT28" s="5">
        <f t="shared" si="96"/>
        <v>0</v>
      </c>
      <c r="FU28" s="6">
        <f>应产率辅助表!AB54</f>
        <v>0</v>
      </c>
      <c r="FV28" s="7" t="e">
        <f t="shared" si="97"/>
        <v>#DIV/0!</v>
      </c>
      <c r="FW28" s="5" t="e">
        <f t="shared" si="98"/>
        <v>#DIV/0!</v>
      </c>
      <c r="FX28" s="6">
        <f>应产率辅助表!AC25</f>
        <v>0</v>
      </c>
      <c r="FY28" s="6">
        <f>应产率辅助表!AC54</f>
        <v>0</v>
      </c>
      <c r="FZ28" s="7" t="e">
        <f t="shared" si="99"/>
        <v>#DIV/0!</v>
      </c>
      <c r="GA28" s="5" t="e">
        <f t="shared" si="100"/>
        <v>#DIV/0!</v>
      </c>
      <c r="GB28" s="6">
        <f>应产率辅助表!AD25</f>
        <v>0</v>
      </c>
      <c r="GC28" s="6">
        <f>应产率辅助表!AD54</f>
        <v>0</v>
      </c>
      <c r="GD28" s="7" t="e">
        <f t="shared" si="101"/>
        <v>#DIV/0!</v>
      </c>
      <c r="GE28" s="6">
        <f>应产率辅助表!AE25</f>
        <v>0</v>
      </c>
      <c r="GF28" s="6">
        <f>应产率辅助表!AE54</f>
        <v>0</v>
      </c>
      <c r="GG28" s="7" t="e">
        <f t="shared" si="102"/>
        <v>#DIV/0!</v>
      </c>
      <c r="GH28" s="6">
        <f>应产率辅助表!AF25</f>
        <v>0</v>
      </c>
      <c r="GI28" s="6">
        <f>应产率辅助表!AF54</f>
        <v>0</v>
      </c>
      <c r="GJ28" s="7" t="e">
        <f t="shared" si="103"/>
        <v>#DIV/0!</v>
      </c>
      <c r="GK28" s="6">
        <f>应产率辅助表!AG25</f>
        <v>0</v>
      </c>
      <c r="GL28" s="6">
        <f>应产率辅助表!AG54</f>
        <v>0</v>
      </c>
      <c r="GM28" s="7" t="e">
        <f t="shared" si="104"/>
        <v>#DIV/0!</v>
      </c>
      <c r="GN28" s="6"/>
      <c r="GO28" s="6">
        <f>应产率辅助表!AH25</f>
        <v>0</v>
      </c>
      <c r="GP28" s="6">
        <f>应产率辅助表!AH54</f>
        <v>0</v>
      </c>
      <c r="GQ28" s="7" t="e">
        <f t="shared" si="105"/>
        <v>#DIV/0!</v>
      </c>
      <c r="GR28" s="6">
        <f>应产率辅助表!AI25</f>
        <v>0</v>
      </c>
      <c r="GS28" s="6">
        <f>应产率辅助表!AI54</f>
        <v>0</v>
      </c>
      <c r="GT28" s="7" t="e">
        <f t="shared" si="106"/>
        <v>#DIV/0!</v>
      </c>
      <c r="GU28" s="72">
        <f>应产率辅助表!AJ25</f>
        <v>0</v>
      </c>
      <c r="GV28" s="72">
        <f>应产率辅助表!AJ54</f>
        <v>0</v>
      </c>
      <c r="GW28" s="7" t="e">
        <f t="shared" si="107"/>
        <v>#DIV/0!</v>
      </c>
      <c r="GX28" s="72">
        <f>应产率辅助表!AK25</f>
        <v>0</v>
      </c>
      <c r="GY28" s="72">
        <f>应产率辅助表!AK54</f>
        <v>0</v>
      </c>
      <c r="GZ28" s="7" t="e">
        <f t="shared" si="108"/>
        <v>#DIV/0!</v>
      </c>
      <c r="HA28" s="72">
        <f>应产率辅助表!AL25</f>
        <v>0</v>
      </c>
      <c r="HB28" s="72">
        <f>应产率辅助表!AL54</f>
        <v>0</v>
      </c>
      <c r="HC28" s="7" t="e">
        <f t="shared" si="109"/>
        <v>#DIV/0!</v>
      </c>
      <c r="HD28" s="72">
        <f>应产率辅助表!AM25</f>
        <v>0</v>
      </c>
      <c r="HE28" s="72">
        <f>应产率辅助表!AM54</f>
        <v>0</v>
      </c>
      <c r="HF28" s="7" t="e">
        <f t="shared" si="110"/>
        <v>#DIV/0!</v>
      </c>
      <c r="HG28" s="72">
        <f>应产率辅助表!AN25</f>
        <v>0</v>
      </c>
      <c r="HH28" s="72">
        <f>应产率辅助表!AN54</f>
        <v>0</v>
      </c>
      <c r="HI28" s="7" t="e">
        <f t="shared" si="111"/>
        <v>#DIV/0!</v>
      </c>
      <c r="HJ28" s="72">
        <f>应产率辅助表!AO25</f>
        <v>0</v>
      </c>
      <c r="HK28" s="72">
        <f>应产率辅助表!AO54</f>
        <v>0</v>
      </c>
      <c r="HL28" s="7" t="e">
        <f t="shared" si="112"/>
        <v>#DIV/0!</v>
      </c>
      <c r="HM28" s="72">
        <f>应产率辅助表!AP25</f>
        <v>0</v>
      </c>
      <c r="HN28" s="72">
        <f>应产率辅助表!AP54</f>
        <v>0</v>
      </c>
      <c r="HO28" s="7" t="e">
        <f t="shared" si="113"/>
        <v>#DIV/0!</v>
      </c>
      <c r="HP28" s="6"/>
      <c r="HQ28" s="6">
        <f t="shared" si="175"/>
        <v>0</v>
      </c>
      <c r="HR28" s="5" t="e">
        <f t="shared" si="115"/>
        <v>#DIV/0!</v>
      </c>
      <c r="HS28" s="6">
        <v>0</v>
      </c>
      <c r="HT28" s="6">
        <v>0</v>
      </c>
      <c r="HU28" s="5" t="e">
        <f t="shared" si="116"/>
        <v>#DIV/0!</v>
      </c>
      <c r="HV28" s="6">
        <v>0</v>
      </c>
      <c r="HW28" s="6">
        <v>0</v>
      </c>
      <c r="HX28" s="5" t="e">
        <f t="shared" si="117"/>
        <v>#DIV/0!</v>
      </c>
      <c r="HY28" s="5"/>
      <c r="HZ28" s="5"/>
      <c r="IA28" s="5" t="e">
        <f t="shared" si="166"/>
        <v>#DIV/0!</v>
      </c>
      <c r="IB28" s="5">
        <f t="shared" si="118"/>
        <v>0</v>
      </c>
      <c r="IC28" s="5">
        <f t="shared" si="118"/>
        <v>0</v>
      </c>
      <c r="ID28" s="5" t="e">
        <f t="shared" si="119"/>
        <v>#DIV/0!</v>
      </c>
      <c r="IE28" s="7">
        <f t="shared" si="120"/>
        <v>0</v>
      </c>
      <c r="IF28" s="7">
        <f t="shared" si="120"/>
        <v>0</v>
      </c>
      <c r="IG28" s="5" t="e">
        <f t="shared" si="121"/>
        <v>#DIV/0!</v>
      </c>
      <c r="IH28" s="5" t="e">
        <f t="shared" si="122"/>
        <v>#DIV/0!</v>
      </c>
      <c r="II28" s="5" t="e">
        <f t="shared" si="123"/>
        <v>#DIV/0!</v>
      </c>
      <c r="IJ28" s="8" t="e">
        <f t="shared" si="124"/>
        <v>#DIV/0!</v>
      </c>
      <c r="IK28" s="8" t="e">
        <f t="shared" si="125"/>
        <v>#DIV/0!</v>
      </c>
      <c r="IL28" s="8" t="e">
        <f t="shared" si="126"/>
        <v>#DIV/0!</v>
      </c>
      <c r="IM28" s="8" t="e">
        <f t="shared" si="127"/>
        <v>#DIV/0!</v>
      </c>
      <c r="IN28" s="8" t="e">
        <f t="shared" si="128"/>
        <v>#DIV/0!</v>
      </c>
      <c r="IO28" s="8" t="e">
        <f t="shared" si="129"/>
        <v>#DIV/0!</v>
      </c>
      <c r="IP28" s="8" t="e">
        <f t="shared" si="130"/>
        <v>#DIV/0!</v>
      </c>
      <c r="IQ28" s="8" t="e">
        <f t="shared" si="131"/>
        <v>#DIV/0!</v>
      </c>
      <c r="IR28" s="8" t="e">
        <f t="shared" si="132"/>
        <v>#DIV/0!</v>
      </c>
      <c r="IS28" s="8" t="e">
        <f t="shared" si="133"/>
        <v>#DIV/0!</v>
      </c>
      <c r="IT28" s="8" t="e">
        <f t="shared" si="134"/>
        <v>#DIV/0!</v>
      </c>
      <c r="IU28" s="8" t="e">
        <f t="shared" si="135"/>
        <v>#DIV/0!</v>
      </c>
      <c r="IV28" s="8" t="e">
        <f t="shared" si="136"/>
        <v>#DIV/0!</v>
      </c>
      <c r="IW28" s="8" t="e">
        <f t="shared" si="137"/>
        <v>#DIV/0!</v>
      </c>
      <c r="IX28" s="8" t="e">
        <f t="shared" si="138"/>
        <v>#DIV/0!</v>
      </c>
      <c r="IY28" s="8" t="e">
        <f t="shared" si="139"/>
        <v>#DIV/0!</v>
      </c>
      <c r="IZ28" s="8" t="e">
        <f t="shared" si="140"/>
        <v>#DIV/0!</v>
      </c>
      <c r="JA28" s="8" t="e">
        <f t="shared" si="141"/>
        <v>#DIV/0!</v>
      </c>
      <c r="JB28" s="8" t="e">
        <f t="shared" si="142"/>
        <v>#DIV/0!</v>
      </c>
      <c r="JC28" s="8" t="e">
        <f t="shared" si="143"/>
        <v>#DIV/0!</v>
      </c>
      <c r="JD28" s="8" t="e">
        <f t="shared" si="144"/>
        <v>#DIV/0!</v>
      </c>
      <c r="JE28" s="8" t="e">
        <f t="shared" si="145"/>
        <v>#DIV/0!</v>
      </c>
      <c r="JF28" s="8" t="e">
        <f t="shared" si="146"/>
        <v>#DIV/0!</v>
      </c>
      <c r="JG28" s="8" t="e">
        <f t="shared" si="147"/>
        <v>#DIV/0!</v>
      </c>
      <c r="JH28" s="8" t="e">
        <f t="shared" si="148"/>
        <v>#DIV/0!</v>
      </c>
      <c r="JI28" s="8" t="e">
        <f t="shared" si="149"/>
        <v>#DIV/0!</v>
      </c>
      <c r="JJ28" s="8" t="e">
        <f t="shared" si="150"/>
        <v>#DIV/0!</v>
      </c>
      <c r="JK28" s="8" t="e">
        <f t="shared" si="151"/>
        <v>#DIV/0!</v>
      </c>
      <c r="JL28" s="8" t="e">
        <f t="shared" si="152"/>
        <v>#DIV/0!</v>
      </c>
      <c r="JM28" s="8" t="e">
        <f t="shared" si="153"/>
        <v>#DIV/0!</v>
      </c>
      <c r="JN28" s="8" t="e">
        <f t="shared" si="154"/>
        <v>#DIV/0!</v>
      </c>
      <c r="JO28" s="8" t="e">
        <f t="shared" si="155"/>
        <v>#DIV/0!</v>
      </c>
      <c r="JP28" s="9" t="e">
        <f t="shared" si="156"/>
        <v>#DIV/0!</v>
      </c>
      <c r="JQ28" s="9" t="e">
        <f t="shared" si="157"/>
        <v>#DIV/0!</v>
      </c>
      <c r="JR28" s="9" t="e">
        <f t="shared" si="158"/>
        <v>#DIV/0!</v>
      </c>
      <c r="JS28" s="9" t="e">
        <f t="shared" si="159"/>
        <v>#DIV/0!</v>
      </c>
      <c r="JT28" s="9" t="e">
        <f t="shared" si="160"/>
        <v>#DIV/0!</v>
      </c>
      <c r="JU28" s="9" t="e">
        <f t="shared" si="161"/>
        <v>#DIV/0!</v>
      </c>
      <c r="JV28" s="9" t="e">
        <f t="shared" si="162"/>
        <v>#DIV/0!</v>
      </c>
      <c r="JW28" s="9" t="e">
        <f t="shared" si="163"/>
        <v>#DIV/0!</v>
      </c>
    </row>
    <row r="29" spans="1:283" s="11" customFormat="1" ht="18" hidden="1" customHeight="1" x14ac:dyDescent="0.15">
      <c r="A29" s="10"/>
      <c r="B29" s="5"/>
      <c r="C29" s="5"/>
      <c r="D29" s="55"/>
      <c r="E29" s="56">
        <f>产品销售数量!D26</f>
        <v>0</v>
      </c>
      <c r="F29" s="6">
        <f>应产率辅助表!C26</f>
        <v>0</v>
      </c>
      <c r="G29" s="6">
        <f>应产率辅助表!C55</f>
        <v>0</v>
      </c>
      <c r="H29" s="7" t="e">
        <f t="shared" si="1"/>
        <v>#DIV/0!</v>
      </c>
      <c r="I29" s="5">
        <f>产品销售数量!E26+产品销售数量!F26*1.36</f>
        <v>0</v>
      </c>
      <c r="J29" s="5" t="e">
        <f t="shared" si="164"/>
        <v>#DIV/0!</v>
      </c>
      <c r="K29" s="5">
        <f t="shared" si="2"/>
        <v>0</v>
      </c>
      <c r="L29" s="5" t="e">
        <f t="shared" si="3"/>
        <v>#DIV/0!</v>
      </c>
      <c r="M29" s="6">
        <f>应产率辅助表!D26</f>
        <v>0</v>
      </c>
      <c r="N29" s="6">
        <f>应产率辅助表!D55</f>
        <v>0</v>
      </c>
      <c r="O29" s="7" t="e">
        <f t="shared" si="4"/>
        <v>#DIV/0!</v>
      </c>
      <c r="P29" s="5">
        <f>+产品销售数量!H26</f>
        <v>0</v>
      </c>
      <c r="Q29" s="5" t="e">
        <f t="shared" si="5"/>
        <v>#DIV/0!</v>
      </c>
      <c r="R29" s="5">
        <f t="shared" si="6"/>
        <v>0</v>
      </c>
      <c r="S29" s="5" t="e">
        <f t="shared" si="7"/>
        <v>#DIV/0!</v>
      </c>
      <c r="T29" s="6">
        <f>应产率辅助表!E26</f>
        <v>0</v>
      </c>
      <c r="U29" s="6">
        <f>应产率辅助表!E55</f>
        <v>0</v>
      </c>
      <c r="V29" s="7" t="e">
        <f t="shared" si="8"/>
        <v>#DIV/0!</v>
      </c>
      <c r="W29" s="5">
        <f>+产品销售数量!V26+产品销售数量!CP26</f>
        <v>0</v>
      </c>
      <c r="X29" s="5" t="e">
        <f t="shared" si="9"/>
        <v>#DIV/0!</v>
      </c>
      <c r="Y29" s="5">
        <f t="shared" si="10"/>
        <v>0</v>
      </c>
      <c r="Z29" s="5" t="e">
        <f t="shared" si="11"/>
        <v>#DIV/0!</v>
      </c>
      <c r="AA29" s="6">
        <f>应产率辅助表!F26</f>
        <v>0</v>
      </c>
      <c r="AB29" s="6">
        <f>应产率辅助表!F55</f>
        <v>0</v>
      </c>
      <c r="AC29" s="7" t="e">
        <f t="shared" si="12"/>
        <v>#DIV/0!</v>
      </c>
      <c r="AD29" s="5">
        <f>产品销售数量!J26*1.5+产品销售数量!K26*1.5+产品销售数量!L26*1.5+产品销售数量!O26*1.5+产品销售数量!P26*1.5+产品销售数量!S26*1.5+产品销售数量!T26*1.5+产品销售数量!CH26*1.35+产品销售数量!M26*1.5+产品销售数量!CK26*0.89*1.5+产品销售数量!BL26*1.35+产品销售数量!AU26*0.9+产品销售数量!AW26*0.9+产品销售数量!BB26*1.5+产品销售数量!CN26*1.35+产品销售数量!CO26*1.35+产品销售数量!CQ26*1.5+产品销售数量!CX26*1.5+产品销售数量!CY26*1.35+产品销售数量!CZ26*1.35</f>
        <v>0</v>
      </c>
      <c r="AE29" s="5" t="e">
        <f t="shared" si="13"/>
        <v>#DIV/0!</v>
      </c>
      <c r="AF29" s="5">
        <f t="shared" si="14"/>
        <v>0</v>
      </c>
      <c r="AG29" s="5" t="e">
        <f t="shared" si="15"/>
        <v>#DIV/0!</v>
      </c>
      <c r="AH29" s="6">
        <f t="shared" si="165"/>
        <v>0</v>
      </c>
      <c r="AI29" s="6">
        <f>应产率辅助表!G26</f>
        <v>0</v>
      </c>
      <c r="AJ29" s="6">
        <f>应产率辅助表!G55</f>
        <v>0</v>
      </c>
      <c r="AK29" s="7" t="e">
        <f t="shared" si="17"/>
        <v>#DIV/0!</v>
      </c>
      <c r="AL29" s="5" t="e">
        <f>+产品销售数量!J26*1.13+产品销售数量!K26*1.13+产品销售数量!O26*1.13+产品销售数量!U26+产品销售数量!V26*2.6+产品销售数量!W26*2.6+产品销售数量!X26*1.6+产品销售数量!Y26+产品销售数量!AB26*1.74+产品销售数量!BC26*1.19+产品销售数量!BL26*0.98+产品销售数量!BM26*0.74+产品销售数量!BN26*4.495+产品销售数量!BQ26*2.29+产品销售数量!BV26*2.56+产品销售数量!CG26*1.74+产品销售数量!CJ26*0.8+产品销售数量!CK26*1.13+产品销售数量!CM26*1.19+产品销售数量!CO26*0.98+产品销售数量!CP26*2.62+产品销售数量!CQ26*1.13+产品销售数量!CR26*1.4+产品销售数量!CS26*1.4+产品销售数量!CT26*1.4+产品销售数量!#REF!*5.29+产品销售数量!CV26*1.13+产品销售数量!CW26*0.98+产品销售数量!CX26*0.378+产品销售数量!CY26*1.19+产品销售数量!DA26*0.87+产品销售数量!DB26*1.5+产品销售数量!DI26*0.595+产品销售数量!DK26*1.74</f>
        <v>#REF!</v>
      </c>
      <c r="AM29" s="5" t="e">
        <f t="shared" si="18"/>
        <v>#REF!</v>
      </c>
      <c r="AN29" s="5" t="e">
        <f t="shared" si="19"/>
        <v>#REF!</v>
      </c>
      <c r="AO29" s="5" t="e">
        <f t="shared" si="20"/>
        <v>#DIV/0!</v>
      </c>
      <c r="AP29" s="6">
        <f>应产率辅助表!H26</f>
        <v>0</v>
      </c>
      <c r="AQ29" s="6">
        <f>应产率辅助表!H55</f>
        <v>0</v>
      </c>
      <c r="AR29" s="7" t="e">
        <f t="shared" si="21"/>
        <v>#DIV/0!</v>
      </c>
      <c r="AS29" s="5">
        <f>产品销售数量!I26*0.858+产品销售数量!Z26*0.686+产品销售数量!AA26*1.79+产品销售数量!CF26*1.79+产品销售数量!CL26*0.89</f>
        <v>0</v>
      </c>
      <c r="AT29" s="5" t="e">
        <f t="shared" si="22"/>
        <v>#DIV/0!</v>
      </c>
      <c r="AU29" s="5">
        <f t="shared" si="23"/>
        <v>0</v>
      </c>
      <c r="AV29" s="5" t="e">
        <f t="shared" si="24"/>
        <v>#DIV/0!</v>
      </c>
      <c r="AW29" s="6">
        <f>应产率辅助表!I26</f>
        <v>0</v>
      </c>
      <c r="AX29" s="6">
        <f>应产率辅助表!I55</f>
        <v>0</v>
      </c>
      <c r="AY29" s="7" t="e">
        <f t="shared" si="25"/>
        <v>#DIV/0!</v>
      </c>
      <c r="AZ29" s="5">
        <f>+产品销售数量!I26*0.857+产品销售数量!Z26*0.485+产品销售数量!AA26*1.88+产品销售数量!CF26*1.88+产品销售数量!CL26*0.89</f>
        <v>0</v>
      </c>
      <c r="BA29" s="5" t="e">
        <f t="shared" si="26"/>
        <v>#DIV/0!</v>
      </c>
      <c r="BB29" s="5">
        <f t="shared" si="27"/>
        <v>0</v>
      </c>
      <c r="BC29" s="5" t="e">
        <f t="shared" si="28"/>
        <v>#DIV/0!</v>
      </c>
      <c r="BD29" s="6">
        <f>应产率辅助表!J26</f>
        <v>0</v>
      </c>
      <c r="BE29" s="6">
        <f>应产率辅助表!J55</f>
        <v>0</v>
      </c>
      <c r="BF29" s="7" t="e">
        <f t="shared" si="167"/>
        <v>#DIV/0!</v>
      </c>
      <c r="BG29" s="5">
        <f>+产品销售数量!J26*2+产品销售数量!L26*0.93+产品销售数量!O26*2+产品销售数量!P26*0.93+产品销售数量!U26*1.93+产品销售数量!W26*2+产品销售数量!V26*3.79+产品销售数量!I26*2.678+产品销售数量!CK26*1.32+产品销售数量!CQ26*2</f>
        <v>0</v>
      </c>
      <c r="BH29" s="5" t="e">
        <f t="shared" si="168"/>
        <v>#DIV/0!</v>
      </c>
      <c r="BI29" s="5">
        <f t="shared" si="169"/>
        <v>0</v>
      </c>
      <c r="BJ29" s="5" t="e">
        <f t="shared" si="170"/>
        <v>#DIV/0!</v>
      </c>
      <c r="BK29" s="6">
        <f>应产率辅助表!K26</f>
        <v>0</v>
      </c>
      <c r="BL29" s="6">
        <f>应产率辅助表!K55</f>
        <v>0</v>
      </c>
      <c r="BM29" s="7" t="e">
        <f t="shared" si="33"/>
        <v>#DIV/0!</v>
      </c>
      <c r="BN29" s="5" t="e">
        <f>产品销售数量!K26*1.125+产品销售数量!Y26*4.12+产品销售数量!X26*5.5+产品销售数量!AA26*13.25+产品销售数量!AB26*13.25+产品销售数量!BN26*6.87+产品销售数量!BV26+产品销售数量!CF26*13.25+产品销售数量!CG26*13.25+产品销售数量!CJ26*6.63+产品销售数量!CL26*6.63+产品销售数量!CR26*2.25+产品销售数量!CS26*2.25+产品销售数量!CT26*2.25+产品销售数量!#REF!*6.87++产品销售数量!CV26*0.75+产品销售数量!DA26*6.63+产品销售数量!DJ26*13.25+产品销售数量!DK26*13.25</f>
        <v>#REF!</v>
      </c>
      <c r="BO29" s="5" t="e">
        <f t="shared" si="0"/>
        <v>#REF!</v>
      </c>
      <c r="BP29" s="5" t="e">
        <f t="shared" si="34"/>
        <v>#REF!</v>
      </c>
      <c r="BQ29" s="5" t="e">
        <f t="shared" si="35"/>
        <v>#DIV/0!</v>
      </c>
      <c r="BR29" s="6">
        <f>应产率辅助表!L26</f>
        <v>0</v>
      </c>
      <c r="BS29" s="6">
        <f>应产率辅助表!L55</f>
        <v>0</v>
      </c>
      <c r="BT29" s="7" t="e">
        <f t="shared" si="171"/>
        <v>#DIV/0!</v>
      </c>
      <c r="BU29" s="5">
        <f>产品销售数量!O26+产品销售数量!P26+产品销售数量!CI26*1.5+产品销售数量!CK26*0.89+产品销售数量!M26*1.34</f>
        <v>0</v>
      </c>
      <c r="BV29" s="5" t="e">
        <f t="shared" si="172"/>
        <v>#DIV/0!</v>
      </c>
      <c r="BW29" s="5">
        <f t="shared" si="173"/>
        <v>0</v>
      </c>
      <c r="BX29" s="5" t="e">
        <f t="shared" si="174"/>
        <v>#DIV/0!</v>
      </c>
      <c r="BY29" s="6">
        <f>应产率辅助表!M26</f>
        <v>0</v>
      </c>
      <c r="BZ29" s="6">
        <f>应产率辅助表!M55</f>
        <v>0</v>
      </c>
      <c r="CA29" s="7" t="e">
        <f t="shared" si="40"/>
        <v>#DIV/0!</v>
      </c>
      <c r="CB29" s="5">
        <f>+产品销售数量!J26+产品销售数量!K26+产品销售数量!L26+产品销售数量!O26+产品销售数量!P26+产品销售数量!S26+产品销售数量!T26+产品销售数量!AU26*0.9+产品销售数量!AW26*0.9+产品销售数量!BL26*0.9+产品销售数量!CH26*0.9+产品销售数量!CK26*0.9+产品销售数量!CN26*0.9+产品销售数量!CO26*0.9+产品销售数量!CQ26+产品销售数量!CV26+产品销售数量!CW26*0.9+产品销售数量!DB26</f>
        <v>0</v>
      </c>
      <c r="CC29" s="5" t="e">
        <f t="shared" si="41"/>
        <v>#DIV/0!</v>
      </c>
      <c r="CD29" s="5">
        <f t="shared" si="42"/>
        <v>0</v>
      </c>
      <c r="CE29" s="5" t="e">
        <f t="shared" si="43"/>
        <v>#DIV/0!</v>
      </c>
      <c r="CF29" s="6">
        <f>应产率辅助表!N26</f>
        <v>0</v>
      </c>
      <c r="CG29" s="6">
        <f>应产率辅助表!N55</f>
        <v>0</v>
      </c>
      <c r="CH29" s="7" t="e">
        <f t="shared" si="44"/>
        <v>#DIV/0!</v>
      </c>
      <c r="CI29" s="5">
        <f>产品销售数量!P26+产品销售数量!Z26*1.4+产品销售数量!L26</f>
        <v>0</v>
      </c>
      <c r="CJ29" s="5" t="e">
        <f t="shared" si="45"/>
        <v>#DIV/0!</v>
      </c>
      <c r="CK29" s="5">
        <f t="shared" si="46"/>
        <v>0</v>
      </c>
      <c r="CL29" s="5" t="e">
        <f t="shared" si="47"/>
        <v>#DIV/0!</v>
      </c>
      <c r="CM29" s="6">
        <f>应产率辅助表!O26</f>
        <v>0</v>
      </c>
      <c r="CN29" s="6">
        <f>应产率辅助表!O55</f>
        <v>0</v>
      </c>
      <c r="CO29" s="7" t="e">
        <f t="shared" si="48"/>
        <v>#DIV/0!</v>
      </c>
      <c r="CP29" s="5">
        <f>+产品销售数量!AE26*1.04+产品销售数量!AD26*1.279+产品销售数量!BW26*1.04+产品销售数量!BX26*1.279</f>
        <v>0</v>
      </c>
      <c r="CQ29" s="5" t="e">
        <f t="shared" si="49"/>
        <v>#DIV/0!</v>
      </c>
      <c r="CR29" s="5">
        <f t="shared" si="50"/>
        <v>0</v>
      </c>
      <c r="CS29" s="5" t="e">
        <f t="shared" si="51"/>
        <v>#DIV/0!</v>
      </c>
      <c r="CT29" s="6">
        <f>应产率辅助表!P26</f>
        <v>0</v>
      </c>
      <c r="CU29" s="6">
        <f>应产率辅助表!P55</f>
        <v>0</v>
      </c>
      <c r="CV29" s="7" t="e">
        <f t="shared" si="52"/>
        <v>#DIV/0!</v>
      </c>
      <c r="CW29" s="5">
        <f>+产品销售数量!AC26*1.08+产品销售数量!AH26*1+产品销售数量!AG26*1.45+产品销售数量!BG26*0.834+产品销售数量!CU26*0.834+产品销售数量!DM26*1.19</f>
        <v>0</v>
      </c>
      <c r="CX29" s="5" t="e">
        <f t="shared" si="53"/>
        <v>#DIV/0!</v>
      </c>
      <c r="CY29" s="5">
        <f t="shared" si="54"/>
        <v>0</v>
      </c>
      <c r="CZ29" s="5" t="e">
        <f t="shared" si="55"/>
        <v>#DIV/0!</v>
      </c>
      <c r="DA29" s="6">
        <f>应产率辅助表!Q26</f>
        <v>0</v>
      </c>
      <c r="DB29" s="6">
        <f>应产率辅助表!Q55</f>
        <v>0</v>
      </c>
      <c r="DC29" s="7" t="e">
        <f t="shared" si="56"/>
        <v>#DIV/0!</v>
      </c>
      <c r="DD29" s="5">
        <f>产品销售数量!AJ26*2+产品销售数量!AK26*1.38+产品销售数量!AL26+产品销售数量!BT26*1.38+产品销售数量!BU26*2</f>
        <v>0</v>
      </c>
      <c r="DE29" s="5" t="e">
        <f t="shared" si="57"/>
        <v>#DIV/0!</v>
      </c>
      <c r="DF29" s="5">
        <f t="shared" si="58"/>
        <v>0</v>
      </c>
      <c r="DG29" s="5" t="e">
        <f t="shared" si="59"/>
        <v>#DIV/0!</v>
      </c>
      <c r="DH29" s="6">
        <f>应产率辅助表!R26</f>
        <v>0</v>
      </c>
      <c r="DI29" s="6">
        <f>应产率辅助表!R55</f>
        <v>0</v>
      </c>
      <c r="DJ29" s="7" t="e">
        <f t="shared" si="60"/>
        <v>#DIV/0!</v>
      </c>
      <c r="DK29" s="5">
        <f>+产品销售数量!AM26*1.375+产品销售数量!AN26+产品销售数量!AO26*0.75+产品销售数量!BR26*0.57</f>
        <v>0</v>
      </c>
      <c r="DL29" s="5" t="e">
        <f t="shared" si="61"/>
        <v>#DIV/0!</v>
      </c>
      <c r="DM29" s="5">
        <f t="shared" si="62"/>
        <v>0</v>
      </c>
      <c r="DN29" s="5" t="e">
        <f t="shared" si="63"/>
        <v>#DIV/0!</v>
      </c>
      <c r="DO29" s="6">
        <f>应产率辅助表!S26+应产率辅助表!T26</f>
        <v>0</v>
      </c>
      <c r="DP29" s="6">
        <f>应产率辅助表!S55+应产率辅助表!T55</f>
        <v>0</v>
      </c>
      <c r="DQ29" s="7" t="e">
        <f t="shared" si="64"/>
        <v>#DIV/0!</v>
      </c>
      <c r="DR29" s="5" t="e">
        <f>+产品销售数量!Y26+产品销售数量!X26+产品销售数量!AB26*3+产品销售数量!CG26*3+产品销售数量!CJ26*2+产品销售数量!BN26*2+产品销售数量!CR26+产品销售数量!CS26+产品销售数量!CT26+产品销售数量!BM26+产品销售数量!#REF!*3+产品销售数量!AA26+产品销售数量!CF26</f>
        <v>#REF!</v>
      </c>
      <c r="DS29" s="5" t="e">
        <f t="shared" si="65"/>
        <v>#REF!</v>
      </c>
      <c r="DT29" s="5" t="e">
        <f t="shared" si="66"/>
        <v>#REF!</v>
      </c>
      <c r="DU29" s="5" t="e">
        <f t="shared" si="67"/>
        <v>#DIV/0!</v>
      </c>
      <c r="DV29" s="6">
        <f>应产率辅助表!U26</f>
        <v>0</v>
      </c>
      <c r="DW29" s="6">
        <f>应产率辅助表!U55</f>
        <v>0</v>
      </c>
      <c r="DX29" s="7" t="e">
        <f t="shared" si="68"/>
        <v>#DIV/0!</v>
      </c>
      <c r="DY29" s="5" t="e">
        <f>+产品销售数量!E26+产品销售数量!F26*2+产品销售数量!G26+产品销售数量!#REF!+产品销售数量!CY26+产品销售数量!DE26+产品销售数量!DH26</f>
        <v>#REF!</v>
      </c>
      <c r="DZ29" s="5" t="e">
        <f t="shared" si="69"/>
        <v>#REF!</v>
      </c>
      <c r="EA29" s="5" t="e">
        <f t="shared" si="70"/>
        <v>#REF!</v>
      </c>
      <c r="EB29" s="5" t="e">
        <f t="shared" si="71"/>
        <v>#DIV/0!</v>
      </c>
      <c r="EC29" s="6">
        <f>应产率辅助表!V26</f>
        <v>0</v>
      </c>
      <c r="ED29" s="6">
        <f>应产率辅助表!V55</f>
        <v>0</v>
      </c>
      <c r="EE29" s="7" t="e">
        <f t="shared" si="72"/>
        <v>#DIV/0!</v>
      </c>
      <c r="EF29" s="5">
        <f>+产品销售数量!AS26</f>
        <v>0</v>
      </c>
      <c r="EG29" s="5" t="e">
        <f t="shared" si="73"/>
        <v>#DIV/0!</v>
      </c>
      <c r="EH29" s="5">
        <f t="shared" si="74"/>
        <v>0</v>
      </c>
      <c r="EI29" s="5" t="e">
        <f t="shared" si="75"/>
        <v>#DIV/0!</v>
      </c>
      <c r="EJ29" s="6">
        <f>应产率辅助表!W26</f>
        <v>0</v>
      </c>
      <c r="EK29" s="6">
        <f>应产率辅助表!W55</f>
        <v>0</v>
      </c>
      <c r="EL29" s="7" t="e">
        <f t="shared" si="76"/>
        <v>#DIV/0!</v>
      </c>
      <c r="EM29" s="5">
        <f>+产品销售数量!AD26+产品销售数量!AE26+产品销售数量!AF26+产品销售数量!AG26+产品销售数量!AH26+产品销售数量!AI26+产品销售数量!AJ26+产品销售数量!AK26+产品销售数量!AL26+产品销售数量!AM26+产品销售数量!AN26+产品销售数量!AO26+产品销售数量!AQ26+产品销售数量!AP26+产品销售数量!AR26+产品销售数量!BR26+产品销售数量!AS26+产品销售数量!CA26+产品销售数量!BE26+产品销售数量!BF26</f>
        <v>0</v>
      </c>
      <c r="EN29" s="5" t="e">
        <f t="shared" si="77"/>
        <v>#DIV/0!</v>
      </c>
      <c r="EO29" s="5">
        <f t="shared" si="78"/>
        <v>0</v>
      </c>
      <c r="EP29" s="5" t="e">
        <f t="shared" si="79"/>
        <v>#DIV/0!</v>
      </c>
      <c r="EQ29" s="6">
        <f>应产率辅助表!X26</f>
        <v>0</v>
      </c>
      <c r="ER29" s="6">
        <f>应产率辅助表!X55</f>
        <v>0</v>
      </c>
      <c r="ES29" s="7" t="e">
        <f t="shared" si="80"/>
        <v>#DIV/0!</v>
      </c>
      <c r="ET29" s="5">
        <f>+产品销售数量!AQ26+产品销售数量!AP26+产品销售数量!AR26+产品销售数量!BR26+产品销售数量!AS26+产品销售数量!CA26+产品销售数量!BE26+产品销售数量!BF26</f>
        <v>0</v>
      </c>
      <c r="EU29" s="5" t="e">
        <f t="shared" si="81"/>
        <v>#DIV/0!</v>
      </c>
      <c r="EV29" s="5">
        <f t="shared" si="82"/>
        <v>0</v>
      </c>
      <c r="EW29" s="5" t="e">
        <f t="shared" si="83"/>
        <v>#DIV/0!</v>
      </c>
      <c r="EX29" s="6">
        <f>应产率辅助表!Y26</f>
        <v>0</v>
      </c>
      <c r="EY29" s="6">
        <f>应产率辅助表!Y55</f>
        <v>0</v>
      </c>
      <c r="EZ29" s="7" t="e">
        <f t="shared" si="84"/>
        <v>#DIV/0!</v>
      </c>
      <c r="FA29" s="5">
        <f>产品销售数量!H26</f>
        <v>0</v>
      </c>
      <c r="FB29" s="5" t="e">
        <f t="shared" si="85"/>
        <v>#DIV/0!</v>
      </c>
      <c r="FC29" s="5">
        <f t="shared" si="86"/>
        <v>0</v>
      </c>
      <c r="FD29" s="5" t="e">
        <f t="shared" si="87"/>
        <v>#DIV/0!</v>
      </c>
      <c r="FE29" s="6">
        <f>应产率辅助表!Z26</f>
        <v>0</v>
      </c>
      <c r="FF29" s="6">
        <f>应产率辅助表!Z55</f>
        <v>0</v>
      </c>
      <c r="FG29" s="7" t="e">
        <f t="shared" si="88"/>
        <v>#DIV/0!</v>
      </c>
      <c r="FH29" s="5">
        <f>+产品销售数量!J26+产品销售数量!K26+产品销售数量!L26+产品销售数量!M26+产品销售数量!O26+产品销售数量!P26+产品销售数量!S26+产品销售数量!T26+产品销售数量!BQ26+产品销售数量!BS26+产品销售数量!CC26+产品销售数量!CH26+产品销售数量!CI26+产品销售数量!CJ26+产品销售数量!CK26+产品销售数量!CL26+产品销售数量!BL26+产品销售数量!AU26++产品销售数量!AW26+产品销售数量!BQ26+产品销售数量!CN26+产品销售数量!CO26+产品销售数量!CQ26+产品销售数量!CX26+产品销售数量!CY26+产品销售数量!CM26</f>
        <v>0</v>
      </c>
      <c r="FI29" s="5" t="e">
        <f t="shared" si="89"/>
        <v>#DIV/0!</v>
      </c>
      <c r="FJ29" s="5">
        <f t="shared" si="90"/>
        <v>0</v>
      </c>
      <c r="FK29" s="5" t="e">
        <f t="shared" si="91"/>
        <v>#DIV/0!</v>
      </c>
      <c r="FL29" s="6">
        <f>应产率辅助表!AA26</f>
        <v>0</v>
      </c>
      <c r="FM29" s="6">
        <f>应产率辅助表!AA55</f>
        <v>0</v>
      </c>
      <c r="FN29" s="7" t="e">
        <f t="shared" si="92"/>
        <v>#DIV/0!</v>
      </c>
      <c r="FO29" s="5">
        <f>+产品销售数量!R26+产品销售数量!CE26</f>
        <v>0</v>
      </c>
      <c r="FP29" s="5" t="e">
        <f t="shared" si="93"/>
        <v>#DIV/0!</v>
      </c>
      <c r="FQ29" s="5">
        <f t="shared" si="94"/>
        <v>0</v>
      </c>
      <c r="FR29" s="5" t="e">
        <f t="shared" si="95"/>
        <v>#DIV/0!</v>
      </c>
      <c r="FS29" s="6">
        <f>应产率辅助表!AB26</f>
        <v>0</v>
      </c>
      <c r="FT29" s="5">
        <f t="shared" si="96"/>
        <v>0</v>
      </c>
      <c r="FU29" s="6">
        <f>应产率辅助表!AB55</f>
        <v>0</v>
      </c>
      <c r="FV29" s="7" t="e">
        <f t="shared" si="97"/>
        <v>#DIV/0!</v>
      </c>
      <c r="FW29" s="5" t="e">
        <f t="shared" si="98"/>
        <v>#DIV/0!</v>
      </c>
      <c r="FX29" s="6">
        <f>应产率辅助表!AC26</f>
        <v>0</v>
      </c>
      <c r="FY29" s="6">
        <f>应产率辅助表!AC55</f>
        <v>0</v>
      </c>
      <c r="FZ29" s="7" t="e">
        <f t="shared" si="99"/>
        <v>#DIV/0!</v>
      </c>
      <c r="GA29" s="5" t="e">
        <f t="shared" si="100"/>
        <v>#DIV/0!</v>
      </c>
      <c r="GB29" s="6">
        <f>应产率辅助表!AD26</f>
        <v>0</v>
      </c>
      <c r="GC29" s="6">
        <f>应产率辅助表!AD55</f>
        <v>0</v>
      </c>
      <c r="GD29" s="7" t="e">
        <f t="shared" si="101"/>
        <v>#DIV/0!</v>
      </c>
      <c r="GE29" s="6">
        <f>应产率辅助表!AE26</f>
        <v>0</v>
      </c>
      <c r="GF29" s="6">
        <f>应产率辅助表!AE55</f>
        <v>0</v>
      </c>
      <c r="GG29" s="7" t="e">
        <f t="shared" si="102"/>
        <v>#DIV/0!</v>
      </c>
      <c r="GH29" s="6">
        <f>应产率辅助表!AF26</f>
        <v>0</v>
      </c>
      <c r="GI29" s="6">
        <f>应产率辅助表!AF55</f>
        <v>0</v>
      </c>
      <c r="GJ29" s="7" t="e">
        <f t="shared" si="103"/>
        <v>#DIV/0!</v>
      </c>
      <c r="GK29" s="6">
        <f>应产率辅助表!AG26</f>
        <v>0</v>
      </c>
      <c r="GL29" s="6">
        <f>应产率辅助表!AG55</f>
        <v>0</v>
      </c>
      <c r="GM29" s="7" t="e">
        <f t="shared" si="104"/>
        <v>#DIV/0!</v>
      </c>
      <c r="GN29" s="6"/>
      <c r="GO29" s="6">
        <f>应产率辅助表!AH26</f>
        <v>0</v>
      </c>
      <c r="GP29" s="6">
        <f>应产率辅助表!AH55</f>
        <v>0</v>
      </c>
      <c r="GQ29" s="7" t="e">
        <f t="shared" si="105"/>
        <v>#DIV/0!</v>
      </c>
      <c r="GR29" s="6">
        <f>应产率辅助表!AI26</f>
        <v>0</v>
      </c>
      <c r="GS29" s="6">
        <f>应产率辅助表!AI55</f>
        <v>0</v>
      </c>
      <c r="GT29" s="7" t="e">
        <f t="shared" si="106"/>
        <v>#DIV/0!</v>
      </c>
      <c r="GU29" s="72">
        <f>应产率辅助表!AJ26</f>
        <v>0</v>
      </c>
      <c r="GV29" s="72">
        <f>应产率辅助表!AJ55</f>
        <v>0</v>
      </c>
      <c r="GW29" s="7" t="e">
        <f t="shared" si="107"/>
        <v>#DIV/0!</v>
      </c>
      <c r="GX29" s="72">
        <f>应产率辅助表!AK26</f>
        <v>0</v>
      </c>
      <c r="GY29" s="72">
        <f>应产率辅助表!AK55</f>
        <v>0</v>
      </c>
      <c r="GZ29" s="7" t="e">
        <f t="shared" si="108"/>
        <v>#DIV/0!</v>
      </c>
      <c r="HA29" s="72">
        <f>应产率辅助表!AL26</f>
        <v>0</v>
      </c>
      <c r="HB29" s="72">
        <f>应产率辅助表!AL55</f>
        <v>0</v>
      </c>
      <c r="HC29" s="7" t="e">
        <f t="shared" si="109"/>
        <v>#DIV/0!</v>
      </c>
      <c r="HD29" s="72">
        <f>应产率辅助表!AM26</f>
        <v>0</v>
      </c>
      <c r="HE29" s="72">
        <f>应产率辅助表!AM55</f>
        <v>0</v>
      </c>
      <c r="HF29" s="7" t="e">
        <f t="shared" si="110"/>
        <v>#DIV/0!</v>
      </c>
      <c r="HG29" s="72">
        <f>应产率辅助表!AN26</f>
        <v>0</v>
      </c>
      <c r="HH29" s="72">
        <f>应产率辅助表!AN55</f>
        <v>0</v>
      </c>
      <c r="HI29" s="7" t="e">
        <f t="shared" si="111"/>
        <v>#DIV/0!</v>
      </c>
      <c r="HJ29" s="72">
        <f>应产率辅助表!AO26</f>
        <v>0</v>
      </c>
      <c r="HK29" s="72">
        <f>应产率辅助表!AO55</f>
        <v>0</v>
      </c>
      <c r="HL29" s="7" t="e">
        <f t="shared" si="112"/>
        <v>#DIV/0!</v>
      </c>
      <c r="HM29" s="72">
        <f>应产率辅助表!AP26</f>
        <v>0</v>
      </c>
      <c r="HN29" s="72">
        <f>应产率辅助表!AP55</f>
        <v>0</v>
      </c>
      <c r="HO29" s="7" t="e">
        <f t="shared" si="113"/>
        <v>#DIV/0!</v>
      </c>
      <c r="HP29" s="6"/>
      <c r="HQ29" s="6">
        <f t="shared" si="175"/>
        <v>0</v>
      </c>
      <c r="HR29" s="5" t="e">
        <f t="shared" si="115"/>
        <v>#DIV/0!</v>
      </c>
      <c r="HS29" s="6">
        <v>0</v>
      </c>
      <c r="HT29" s="6">
        <v>0</v>
      </c>
      <c r="HU29" s="5" t="e">
        <f t="shared" si="116"/>
        <v>#DIV/0!</v>
      </c>
      <c r="HV29" s="6">
        <v>0</v>
      </c>
      <c r="HW29" s="6">
        <v>0</v>
      </c>
      <c r="HX29" s="5" t="e">
        <f t="shared" si="117"/>
        <v>#DIV/0!</v>
      </c>
      <c r="HY29" s="5"/>
      <c r="HZ29" s="5"/>
      <c r="IA29" s="5" t="e">
        <f t="shared" si="166"/>
        <v>#DIV/0!</v>
      </c>
      <c r="IB29" s="5">
        <f t="shared" si="118"/>
        <v>0</v>
      </c>
      <c r="IC29" s="5">
        <f t="shared" si="118"/>
        <v>0</v>
      </c>
      <c r="ID29" s="5" t="e">
        <f t="shared" si="119"/>
        <v>#DIV/0!</v>
      </c>
      <c r="IE29" s="7">
        <f t="shared" si="120"/>
        <v>0</v>
      </c>
      <c r="IF29" s="7">
        <f t="shared" si="120"/>
        <v>0</v>
      </c>
      <c r="IG29" s="5" t="e">
        <f t="shared" si="121"/>
        <v>#DIV/0!</v>
      </c>
      <c r="IH29" s="5" t="e">
        <f t="shared" si="122"/>
        <v>#DIV/0!</v>
      </c>
      <c r="II29" s="5" t="e">
        <f t="shared" si="123"/>
        <v>#DIV/0!</v>
      </c>
      <c r="IJ29" s="8" t="e">
        <f t="shared" si="124"/>
        <v>#DIV/0!</v>
      </c>
      <c r="IK29" s="8" t="e">
        <f t="shared" si="125"/>
        <v>#DIV/0!</v>
      </c>
      <c r="IL29" s="8" t="e">
        <f t="shared" si="126"/>
        <v>#DIV/0!</v>
      </c>
      <c r="IM29" s="8" t="e">
        <f t="shared" si="127"/>
        <v>#DIV/0!</v>
      </c>
      <c r="IN29" s="8" t="e">
        <f t="shared" si="128"/>
        <v>#DIV/0!</v>
      </c>
      <c r="IO29" s="8" t="e">
        <f t="shared" si="129"/>
        <v>#DIV/0!</v>
      </c>
      <c r="IP29" s="8" t="e">
        <f t="shared" si="130"/>
        <v>#DIV/0!</v>
      </c>
      <c r="IQ29" s="8" t="e">
        <f t="shared" si="131"/>
        <v>#DIV/0!</v>
      </c>
      <c r="IR29" s="8" t="e">
        <f t="shared" si="132"/>
        <v>#DIV/0!</v>
      </c>
      <c r="IS29" s="8" t="e">
        <f t="shared" si="133"/>
        <v>#DIV/0!</v>
      </c>
      <c r="IT29" s="8" t="e">
        <f t="shared" si="134"/>
        <v>#DIV/0!</v>
      </c>
      <c r="IU29" s="8" t="e">
        <f t="shared" si="135"/>
        <v>#DIV/0!</v>
      </c>
      <c r="IV29" s="8" t="e">
        <f t="shared" si="136"/>
        <v>#DIV/0!</v>
      </c>
      <c r="IW29" s="8" t="e">
        <f t="shared" si="137"/>
        <v>#DIV/0!</v>
      </c>
      <c r="IX29" s="8" t="e">
        <f t="shared" si="138"/>
        <v>#DIV/0!</v>
      </c>
      <c r="IY29" s="8" t="e">
        <f t="shared" si="139"/>
        <v>#DIV/0!</v>
      </c>
      <c r="IZ29" s="8" t="e">
        <f t="shared" si="140"/>
        <v>#DIV/0!</v>
      </c>
      <c r="JA29" s="8" t="e">
        <f t="shared" si="141"/>
        <v>#DIV/0!</v>
      </c>
      <c r="JB29" s="8" t="e">
        <f t="shared" si="142"/>
        <v>#DIV/0!</v>
      </c>
      <c r="JC29" s="8" t="e">
        <f t="shared" si="143"/>
        <v>#DIV/0!</v>
      </c>
      <c r="JD29" s="8" t="e">
        <f t="shared" si="144"/>
        <v>#DIV/0!</v>
      </c>
      <c r="JE29" s="8" t="e">
        <f t="shared" si="145"/>
        <v>#DIV/0!</v>
      </c>
      <c r="JF29" s="8" t="e">
        <f t="shared" si="146"/>
        <v>#DIV/0!</v>
      </c>
      <c r="JG29" s="8" t="e">
        <f t="shared" si="147"/>
        <v>#DIV/0!</v>
      </c>
      <c r="JH29" s="8" t="e">
        <f t="shared" si="148"/>
        <v>#DIV/0!</v>
      </c>
      <c r="JI29" s="8" t="e">
        <f t="shared" si="149"/>
        <v>#DIV/0!</v>
      </c>
      <c r="JJ29" s="8" t="e">
        <f t="shared" si="150"/>
        <v>#DIV/0!</v>
      </c>
      <c r="JK29" s="8" t="e">
        <f t="shared" si="151"/>
        <v>#DIV/0!</v>
      </c>
      <c r="JL29" s="8" t="e">
        <f t="shared" si="152"/>
        <v>#DIV/0!</v>
      </c>
      <c r="JM29" s="8" t="e">
        <f t="shared" si="153"/>
        <v>#DIV/0!</v>
      </c>
      <c r="JN29" s="8" t="e">
        <f t="shared" si="154"/>
        <v>#DIV/0!</v>
      </c>
      <c r="JO29" s="8" t="e">
        <f t="shared" si="155"/>
        <v>#DIV/0!</v>
      </c>
      <c r="JP29" s="9" t="e">
        <f t="shared" si="156"/>
        <v>#DIV/0!</v>
      </c>
      <c r="JQ29" s="9" t="e">
        <f t="shared" si="157"/>
        <v>#DIV/0!</v>
      </c>
      <c r="JR29" s="9" t="e">
        <f t="shared" si="158"/>
        <v>#DIV/0!</v>
      </c>
      <c r="JS29" s="9" t="e">
        <f t="shared" si="159"/>
        <v>#DIV/0!</v>
      </c>
      <c r="JT29" s="9" t="e">
        <f t="shared" si="160"/>
        <v>#DIV/0!</v>
      </c>
      <c r="JU29" s="9" t="e">
        <f t="shared" si="161"/>
        <v>#DIV/0!</v>
      </c>
      <c r="JV29" s="9" t="e">
        <f t="shared" si="162"/>
        <v>#DIV/0!</v>
      </c>
      <c r="JW29" s="9" t="e">
        <f t="shared" si="163"/>
        <v>#DIV/0!</v>
      </c>
    </row>
    <row r="30" spans="1:283" s="60" customFormat="1" ht="18" hidden="1" customHeight="1" x14ac:dyDescent="0.15">
      <c r="A30" s="57"/>
      <c r="B30" s="58"/>
      <c r="C30" s="5"/>
      <c r="D30" s="59"/>
      <c r="E30" s="56">
        <f>产品销售数量!D27</f>
        <v>0</v>
      </c>
      <c r="F30" s="6">
        <f>应产率辅助表!C27</f>
        <v>0</v>
      </c>
      <c r="G30" s="6">
        <f>应产率辅助表!C56</f>
        <v>0</v>
      </c>
      <c r="H30" s="7" t="e">
        <f t="shared" si="1"/>
        <v>#DIV/0!</v>
      </c>
      <c r="I30" s="5">
        <f>产品销售数量!E27+产品销售数量!F27*1.36</f>
        <v>0</v>
      </c>
      <c r="J30" s="5" t="e">
        <f t="shared" si="164"/>
        <v>#DIV/0!</v>
      </c>
      <c r="K30" s="5">
        <f t="shared" si="2"/>
        <v>0</v>
      </c>
      <c r="L30" s="5" t="e">
        <f t="shared" si="3"/>
        <v>#DIV/0!</v>
      </c>
      <c r="M30" s="6">
        <f>应产率辅助表!D27</f>
        <v>0</v>
      </c>
      <c r="N30" s="6">
        <f>应产率辅助表!D56</f>
        <v>0</v>
      </c>
      <c r="O30" s="7" t="e">
        <f t="shared" si="4"/>
        <v>#DIV/0!</v>
      </c>
      <c r="P30" s="5">
        <f>+产品销售数量!H27</f>
        <v>0</v>
      </c>
      <c r="Q30" s="5" t="e">
        <f t="shared" si="5"/>
        <v>#DIV/0!</v>
      </c>
      <c r="R30" s="5">
        <f t="shared" si="6"/>
        <v>0</v>
      </c>
      <c r="S30" s="5" t="e">
        <f t="shared" si="7"/>
        <v>#DIV/0!</v>
      </c>
      <c r="T30" s="6">
        <f>应产率辅助表!E27</f>
        <v>0</v>
      </c>
      <c r="U30" s="6">
        <f>应产率辅助表!E56</f>
        <v>0</v>
      </c>
      <c r="V30" s="7" t="e">
        <f t="shared" si="8"/>
        <v>#DIV/0!</v>
      </c>
      <c r="W30" s="5">
        <f>+产品销售数量!V27+产品销售数量!CP27</f>
        <v>0</v>
      </c>
      <c r="X30" s="5" t="e">
        <f t="shared" si="9"/>
        <v>#DIV/0!</v>
      </c>
      <c r="Y30" s="5">
        <f t="shared" si="10"/>
        <v>0</v>
      </c>
      <c r="Z30" s="5" t="e">
        <f t="shared" si="11"/>
        <v>#DIV/0!</v>
      </c>
      <c r="AA30" s="6">
        <f>应产率辅助表!F27</f>
        <v>0</v>
      </c>
      <c r="AB30" s="6">
        <f>应产率辅助表!F56</f>
        <v>0</v>
      </c>
      <c r="AC30" s="7" t="e">
        <f t="shared" si="12"/>
        <v>#DIV/0!</v>
      </c>
      <c r="AD30" s="5">
        <f>产品销售数量!J27*1.5+产品销售数量!K27*1.5+产品销售数量!L27*1.5+产品销售数量!O27*1.5+产品销售数量!P27*1.5+产品销售数量!S27*1.5+产品销售数量!T27*1.5+产品销售数量!CH27*1.35+产品销售数量!M27*1.5+产品销售数量!CK27*0.89*1.5+产品销售数量!BL27*1.35+产品销售数量!AU27*0.9+产品销售数量!AW27*0.9+产品销售数量!BB27*1.5+产品销售数量!CN27*1.35+产品销售数量!CO27*1.35+产品销售数量!CQ27*1.5+产品销售数量!CX27*1.5+产品销售数量!CY27*1.35+产品销售数量!CZ27*1.35</f>
        <v>0</v>
      </c>
      <c r="AE30" s="5" t="e">
        <f t="shared" si="13"/>
        <v>#DIV/0!</v>
      </c>
      <c r="AF30" s="5">
        <f t="shared" si="14"/>
        <v>0</v>
      </c>
      <c r="AG30" s="5" t="e">
        <f t="shared" si="15"/>
        <v>#DIV/0!</v>
      </c>
      <c r="AH30" s="6">
        <f t="shared" si="165"/>
        <v>0</v>
      </c>
      <c r="AI30" s="6">
        <f>应产率辅助表!G27</f>
        <v>0</v>
      </c>
      <c r="AJ30" s="6">
        <f>应产率辅助表!G56</f>
        <v>0</v>
      </c>
      <c r="AK30" s="7" t="e">
        <f t="shared" si="17"/>
        <v>#DIV/0!</v>
      </c>
      <c r="AL30" s="5" t="e">
        <f>+产品销售数量!J27*1.13+产品销售数量!K27*1.13+产品销售数量!O27*1.13+产品销售数量!U27+产品销售数量!V27*2.6+产品销售数量!W27*2.6+产品销售数量!X27*1.6+产品销售数量!Y27+产品销售数量!AB27*1.74+产品销售数量!BC27*1.19+产品销售数量!BL27*0.98+产品销售数量!BM27*0.74+产品销售数量!BN27*4.495+产品销售数量!BQ27*2.29+产品销售数量!BV27*2.56+产品销售数量!CG27*1.74+产品销售数量!CJ27*0.8+产品销售数量!CK27*1.13+产品销售数量!CM27*1.19+产品销售数量!CO27*0.98+产品销售数量!CP27*2.62+产品销售数量!CQ27*1.13+产品销售数量!CR27*1.4+产品销售数量!CS27*1.4+产品销售数量!CT27*1.4+产品销售数量!#REF!*5.29+产品销售数量!CV27*1.13+产品销售数量!CW27*0.98+产品销售数量!CX27*0.378+产品销售数量!CY27*1.19+产品销售数量!DA27*0.87+产品销售数量!DB27*1.5+产品销售数量!DI27*0.595+产品销售数量!DK27*1.74</f>
        <v>#REF!</v>
      </c>
      <c r="AM30" s="5" t="e">
        <f t="shared" si="18"/>
        <v>#REF!</v>
      </c>
      <c r="AN30" s="5" t="e">
        <f t="shared" si="19"/>
        <v>#REF!</v>
      </c>
      <c r="AO30" s="5" t="e">
        <f t="shared" si="20"/>
        <v>#DIV/0!</v>
      </c>
      <c r="AP30" s="6">
        <f>应产率辅助表!H27</f>
        <v>0</v>
      </c>
      <c r="AQ30" s="6">
        <f>应产率辅助表!H56</f>
        <v>0</v>
      </c>
      <c r="AR30" s="7" t="e">
        <f t="shared" si="21"/>
        <v>#DIV/0!</v>
      </c>
      <c r="AS30" s="5">
        <f>产品销售数量!I27*0.858+产品销售数量!Z27*0.686+产品销售数量!AA27*1.79+产品销售数量!CF27*1.79+产品销售数量!CL27*0.89</f>
        <v>0</v>
      </c>
      <c r="AT30" s="5" t="e">
        <f t="shared" si="22"/>
        <v>#DIV/0!</v>
      </c>
      <c r="AU30" s="5">
        <f t="shared" si="23"/>
        <v>0</v>
      </c>
      <c r="AV30" s="5" t="e">
        <f t="shared" si="24"/>
        <v>#DIV/0!</v>
      </c>
      <c r="AW30" s="6">
        <f>应产率辅助表!I27</f>
        <v>0</v>
      </c>
      <c r="AX30" s="6">
        <f>应产率辅助表!I56</f>
        <v>0</v>
      </c>
      <c r="AY30" s="7" t="e">
        <f t="shared" si="25"/>
        <v>#DIV/0!</v>
      </c>
      <c r="AZ30" s="5">
        <f>+产品销售数量!I27*0.857+产品销售数量!Z27*0.485+产品销售数量!AA27*1.88+产品销售数量!CF27*1.88+产品销售数量!CL27*0.89</f>
        <v>0</v>
      </c>
      <c r="BA30" s="5" t="e">
        <f t="shared" si="26"/>
        <v>#DIV/0!</v>
      </c>
      <c r="BB30" s="5">
        <f t="shared" si="27"/>
        <v>0</v>
      </c>
      <c r="BC30" s="5" t="e">
        <f t="shared" si="28"/>
        <v>#DIV/0!</v>
      </c>
      <c r="BD30" s="6">
        <f>应产率辅助表!J27</f>
        <v>0</v>
      </c>
      <c r="BE30" s="6">
        <f>应产率辅助表!J56</f>
        <v>0</v>
      </c>
      <c r="BF30" s="7" t="e">
        <f t="shared" si="167"/>
        <v>#DIV/0!</v>
      </c>
      <c r="BG30" s="5">
        <f>+产品销售数量!J27*2+产品销售数量!L27*0.93+产品销售数量!O27*2+产品销售数量!P27*0.93+产品销售数量!U27*1.93+产品销售数量!W27*2+产品销售数量!V27*3.79+产品销售数量!I27*2.678+产品销售数量!CK27*1.32+产品销售数量!CQ27*2</f>
        <v>0</v>
      </c>
      <c r="BH30" s="5" t="e">
        <f t="shared" si="168"/>
        <v>#DIV/0!</v>
      </c>
      <c r="BI30" s="5">
        <f t="shared" si="169"/>
        <v>0</v>
      </c>
      <c r="BJ30" s="5" t="e">
        <f t="shared" si="170"/>
        <v>#DIV/0!</v>
      </c>
      <c r="BK30" s="6">
        <f>应产率辅助表!K27</f>
        <v>0</v>
      </c>
      <c r="BL30" s="6">
        <f>应产率辅助表!K56</f>
        <v>0</v>
      </c>
      <c r="BM30" s="7" t="e">
        <f t="shared" si="33"/>
        <v>#DIV/0!</v>
      </c>
      <c r="BN30" s="5" t="e">
        <f>产品销售数量!K27*1.125+产品销售数量!Y27*4.12+产品销售数量!X27*5.5+产品销售数量!AA27*13.25+产品销售数量!AB27*13.25+产品销售数量!BN27*6.87+产品销售数量!BV27+产品销售数量!CF27*13.25+产品销售数量!CG27*13.25+产品销售数量!CJ27*6.63+产品销售数量!CL27*6.63+产品销售数量!CR27*2.25+产品销售数量!CS27*2.25+产品销售数量!CT27*2.25+产品销售数量!#REF!*6.87++产品销售数量!CV27*0.75+产品销售数量!DA27*6.63+产品销售数量!DJ27*13.25+产品销售数量!DK27*13.25</f>
        <v>#REF!</v>
      </c>
      <c r="BO30" s="5" t="e">
        <f t="shared" si="0"/>
        <v>#REF!</v>
      </c>
      <c r="BP30" s="5" t="e">
        <f t="shared" si="34"/>
        <v>#REF!</v>
      </c>
      <c r="BQ30" s="5" t="e">
        <f t="shared" si="35"/>
        <v>#DIV/0!</v>
      </c>
      <c r="BR30" s="6">
        <f>应产率辅助表!L27</f>
        <v>0</v>
      </c>
      <c r="BS30" s="6">
        <f>应产率辅助表!L56</f>
        <v>0</v>
      </c>
      <c r="BT30" s="7" t="e">
        <f t="shared" si="171"/>
        <v>#DIV/0!</v>
      </c>
      <c r="BU30" s="5">
        <f>产品销售数量!O27+产品销售数量!P27+产品销售数量!CI27*1.5+产品销售数量!CK27*0.89+产品销售数量!M27*1.34</f>
        <v>0</v>
      </c>
      <c r="BV30" s="5" t="e">
        <f t="shared" si="172"/>
        <v>#DIV/0!</v>
      </c>
      <c r="BW30" s="5">
        <f t="shared" si="173"/>
        <v>0</v>
      </c>
      <c r="BX30" s="5" t="e">
        <f t="shared" si="174"/>
        <v>#DIV/0!</v>
      </c>
      <c r="BY30" s="6">
        <f>应产率辅助表!M27</f>
        <v>0</v>
      </c>
      <c r="BZ30" s="6">
        <f>应产率辅助表!M56</f>
        <v>0</v>
      </c>
      <c r="CA30" s="7" t="e">
        <f t="shared" si="40"/>
        <v>#DIV/0!</v>
      </c>
      <c r="CB30" s="5">
        <f>+产品销售数量!J27+产品销售数量!K27+产品销售数量!L27+产品销售数量!O27+产品销售数量!P27+产品销售数量!S27+产品销售数量!T27+产品销售数量!AU27*0.9+产品销售数量!AW27*0.9+产品销售数量!BL27*0.9+产品销售数量!CH27*0.9+产品销售数量!CK27*0.9+产品销售数量!CN27*0.9+产品销售数量!CO27*0.9+产品销售数量!CQ27+产品销售数量!CV27+产品销售数量!CW27*0.9+产品销售数量!DB27</f>
        <v>0</v>
      </c>
      <c r="CC30" s="5" t="e">
        <f t="shared" si="41"/>
        <v>#DIV/0!</v>
      </c>
      <c r="CD30" s="5">
        <f t="shared" si="42"/>
        <v>0</v>
      </c>
      <c r="CE30" s="5" t="e">
        <f t="shared" si="43"/>
        <v>#DIV/0!</v>
      </c>
      <c r="CF30" s="6">
        <f>应产率辅助表!N27</f>
        <v>0</v>
      </c>
      <c r="CG30" s="6">
        <f>应产率辅助表!N56</f>
        <v>0</v>
      </c>
      <c r="CH30" s="7" t="e">
        <f t="shared" si="44"/>
        <v>#DIV/0!</v>
      </c>
      <c r="CI30" s="5">
        <f>产品销售数量!P27+产品销售数量!Z27*1.4+产品销售数量!L27</f>
        <v>0</v>
      </c>
      <c r="CJ30" s="5" t="e">
        <f t="shared" si="45"/>
        <v>#DIV/0!</v>
      </c>
      <c r="CK30" s="5">
        <f t="shared" si="46"/>
        <v>0</v>
      </c>
      <c r="CL30" s="5" t="e">
        <f t="shared" si="47"/>
        <v>#DIV/0!</v>
      </c>
      <c r="CM30" s="6">
        <f>应产率辅助表!O27</f>
        <v>0</v>
      </c>
      <c r="CN30" s="6">
        <f>应产率辅助表!O56</f>
        <v>0</v>
      </c>
      <c r="CO30" s="7" t="e">
        <f t="shared" si="48"/>
        <v>#DIV/0!</v>
      </c>
      <c r="CP30" s="5">
        <f>+产品销售数量!AE27*1.04+产品销售数量!AD27*1.279+产品销售数量!BW27*1.04+产品销售数量!BX27*1.279</f>
        <v>0</v>
      </c>
      <c r="CQ30" s="5" t="e">
        <f t="shared" si="49"/>
        <v>#DIV/0!</v>
      </c>
      <c r="CR30" s="5">
        <f t="shared" si="50"/>
        <v>0</v>
      </c>
      <c r="CS30" s="5" t="e">
        <f t="shared" si="51"/>
        <v>#DIV/0!</v>
      </c>
      <c r="CT30" s="6">
        <f>应产率辅助表!P27</f>
        <v>0</v>
      </c>
      <c r="CU30" s="6">
        <f>应产率辅助表!P56</f>
        <v>0</v>
      </c>
      <c r="CV30" s="7" t="e">
        <f t="shared" si="52"/>
        <v>#DIV/0!</v>
      </c>
      <c r="CW30" s="5">
        <f>+产品销售数量!AC27*1.08+产品销售数量!AH27*1+产品销售数量!AG27*1.45+产品销售数量!BG27*0.834+产品销售数量!CU27*0.834+产品销售数量!DM27*1.19</f>
        <v>0</v>
      </c>
      <c r="CX30" s="5" t="e">
        <f t="shared" si="53"/>
        <v>#DIV/0!</v>
      </c>
      <c r="CY30" s="5">
        <f t="shared" si="54"/>
        <v>0</v>
      </c>
      <c r="CZ30" s="5" t="e">
        <f t="shared" si="55"/>
        <v>#DIV/0!</v>
      </c>
      <c r="DA30" s="6">
        <f>应产率辅助表!Q27</f>
        <v>0</v>
      </c>
      <c r="DB30" s="6">
        <f>应产率辅助表!Q56</f>
        <v>0</v>
      </c>
      <c r="DC30" s="7" t="e">
        <f t="shared" si="56"/>
        <v>#DIV/0!</v>
      </c>
      <c r="DD30" s="5">
        <f>产品销售数量!AJ27*2+产品销售数量!AK27*1.38+产品销售数量!AL27+产品销售数量!BT27*1.38+产品销售数量!BU27*2</f>
        <v>0</v>
      </c>
      <c r="DE30" s="5" t="e">
        <f t="shared" si="57"/>
        <v>#DIV/0!</v>
      </c>
      <c r="DF30" s="5">
        <f t="shared" si="58"/>
        <v>0</v>
      </c>
      <c r="DG30" s="5" t="e">
        <f t="shared" si="59"/>
        <v>#DIV/0!</v>
      </c>
      <c r="DH30" s="6">
        <f>应产率辅助表!R27</f>
        <v>0</v>
      </c>
      <c r="DI30" s="6">
        <f>应产率辅助表!R56</f>
        <v>0</v>
      </c>
      <c r="DJ30" s="7" t="e">
        <f t="shared" si="60"/>
        <v>#DIV/0!</v>
      </c>
      <c r="DK30" s="5">
        <f>+产品销售数量!AM27*1.375+产品销售数量!AN27+产品销售数量!AO27*0.75+产品销售数量!BR27*0.57</f>
        <v>0</v>
      </c>
      <c r="DL30" s="5" t="e">
        <f t="shared" si="61"/>
        <v>#DIV/0!</v>
      </c>
      <c r="DM30" s="5">
        <f t="shared" si="62"/>
        <v>0</v>
      </c>
      <c r="DN30" s="5" t="e">
        <f t="shared" si="63"/>
        <v>#DIV/0!</v>
      </c>
      <c r="DO30" s="6">
        <f>应产率辅助表!S27+应产率辅助表!T27</f>
        <v>0</v>
      </c>
      <c r="DP30" s="6">
        <f>应产率辅助表!S56+应产率辅助表!T56</f>
        <v>0</v>
      </c>
      <c r="DQ30" s="7" t="e">
        <f t="shared" si="64"/>
        <v>#DIV/0!</v>
      </c>
      <c r="DR30" s="5" t="e">
        <f>+产品销售数量!Y27+产品销售数量!X27+产品销售数量!AB27*3+产品销售数量!CG27*3+产品销售数量!CJ27*2+产品销售数量!BN27*2+产品销售数量!CR27+产品销售数量!CS27+产品销售数量!CT27+产品销售数量!BM27+产品销售数量!#REF!*3+产品销售数量!AA27+产品销售数量!CF27</f>
        <v>#REF!</v>
      </c>
      <c r="DS30" s="5" t="e">
        <f t="shared" si="65"/>
        <v>#REF!</v>
      </c>
      <c r="DT30" s="5" t="e">
        <f t="shared" si="66"/>
        <v>#REF!</v>
      </c>
      <c r="DU30" s="5" t="e">
        <f t="shared" si="67"/>
        <v>#DIV/0!</v>
      </c>
      <c r="DV30" s="6">
        <f>应产率辅助表!U27</f>
        <v>0</v>
      </c>
      <c r="DW30" s="6">
        <f>应产率辅助表!U56</f>
        <v>0</v>
      </c>
      <c r="DX30" s="7" t="e">
        <f t="shared" si="68"/>
        <v>#DIV/0!</v>
      </c>
      <c r="DY30" s="5" t="e">
        <f>+产品销售数量!E27+产品销售数量!F27*2+产品销售数量!G27+产品销售数量!#REF!+产品销售数量!CY27+产品销售数量!DE27+产品销售数量!DH27</f>
        <v>#REF!</v>
      </c>
      <c r="DZ30" s="5" t="e">
        <f t="shared" si="69"/>
        <v>#REF!</v>
      </c>
      <c r="EA30" s="5" t="e">
        <f t="shared" si="70"/>
        <v>#REF!</v>
      </c>
      <c r="EB30" s="5" t="e">
        <f t="shared" si="71"/>
        <v>#DIV/0!</v>
      </c>
      <c r="EC30" s="6">
        <f>应产率辅助表!V27</f>
        <v>0</v>
      </c>
      <c r="ED30" s="6">
        <f>应产率辅助表!V56</f>
        <v>0</v>
      </c>
      <c r="EE30" s="7" t="e">
        <f t="shared" si="72"/>
        <v>#DIV/0!</v>
      </c>
      <c r="EF30" s="5">
        <f>+产品销售数量!AS27</f>
        <v>0</v>
      </c>
      <c r="EG30" s="5" t="e">
        <f t="shared" si="73"/>
        <v>#DIV/0!</v>
      </c>
      <c r="EH30" s="5">
        <f t="shared" si="74"/>
        <v>0</v>
      </c>
      <c r="EI30" s="5" t="e">
        <f t="shared" si="75"/>
        <v>#DIV/0!</v>
      </c>
      <c r="EJ30" s="6">
        <f>应产率辅助表!W27</f>
        <v>0</v>
      </c>
      <c r="EK30" s="6">
        <f>应产率辅助表!W56</f>
        <v>0</v>
      </c>
      <c r="EL30" s="7" t="e">
        <f t="shared" si="76"/>
        <v>#DIV/0!</v>
      </c>
      <c r="EM30" s="5">
        <f>+产品销售数量!AD27+产品销售数量!AE27+产品销售数量!AF27+产品销售数量!AG27+产品销售数量!AH27+产品销售数量!AI27+产品销售数量!AJ27+产品销售数量!AK27+产品销售数量!AL27+产品销售数量!AM27+产品销售数量!AN27+产品销售数量!AO27+产品销售数量!AQ27+产品销售数量!AP27+产品销售数量!AR27+产品销售数量!BR27+产品销售数量!AS27+产品销售数量!CA27+产品销售数量!BE27+产品销售数量!BF27</f>
        <v>0</v>
      </c>
      <c r="EN30" s="5" t="e">
        <f t="shared" si="77"/>
        <v>#DIV/0!</v>
      </c>
      <c r="EO30" s="5">
        <f t="shared" si="78"/>
        <v>0</v>
      </c>
      <c r="EP30" s="5" t="e">
        <f t="shared" si="79"/>
        <v>#DIV/0!</v>
      </c>
      <c r="EQ30" s="6">
        <f>应产率辅助表!X27</f>
        <v>0</v>
      </c>
      <c r="ER30" s="6">
        <f>应产率辅助表!X56</f>
        <v>0</v>
      </c>
      <c r="ES30" s="7" t="e">
        <f t="shared" si="80"/>
        <v>#DIV/0!</v>
      </c>
      <c r="ET30" s="5">
        <f>+产品销售数量!AQ27+产品销售数量!AP27+产品销售数量!AR27+产品销售数量!BR27+产品销售数量!AS27+产品销售数量!CA27+产品销售数量!BE27+产品销售数量!BF27</f>
        <v>0</v>
      </c>
      <c r="EU30" s="5" t="e">
        <f t="shared" si="81"/>
        <v>#DIV/0!</v>
      </c>
      <c r="EV30" s="5">
        <f t="shared" si="82"/>
        <v>0</v>
      </c>
      <c r="EW30" s="5" t="e">
        <f t="shared" si="83"/>
        <v>#DIV/0!</v>
      </c>
      <c r="EX30" s="6">
        <f>应产率辅助表!Y27</f>
        <v>0</v>
      </c>
      <c r="EY30" s="6">
        <f>应产率辅助表!Y56</f>
        <v>0</v>
      </c>
      <c r="EZ30" s="7" t="e">
        <f t="shared" si="84"/>
        <v>#DIV/0!</v>
      </c>
      <c r="FA30" s="5">
        <f>产品销售数量!H27</f>
        <v>0</v>
      </c>
      <c r="FB30" s="5" t="e">
        <f t="shared" si="85"/>
        <v>#DIV/0!</v>
      </c>
      <c r="FC30" s="5">
        <f t="shared" si="86"/>
        <v>0</v>
      </c>
      <c r="FD30" s="5" t="e">
        <f t="shared" si="87"/>
        <v>#DIV/0!</v>
      </c>
      <c r="FE30" s="6">
        <f>应产率辅助表!Z27</f>
        <v>0</v>
      </c>
      <c r="FF30" s="6">
        <f>应产率辅助表!Z56</f>
        <v>0</v>
      </c>
      <c r="FG30" s="7" t="e">
        <f t="shared" si="88"/>
        <v>#DIV/0!</v>
      </c>
      <c r="FH30" s="5">
        <f>+产品销售数量!J27+产品销售数量!K27+产品销售数量!L27+产品销售数量!M27+产品销售数量!O27+产品销售数量!P27+产品销售数量!S27+产品销售数量!T27+产品销售数量!BQ27+产品销售数量!BS27+产品销售数量!CC27+产品销售数量!CH27+产品销售数量!CI27+产品销售数量!CJ27+产品销售数量!CK27+产品销售数量!CL27+产品销售数量!BL27+产品销售数量!AU27++产品销售数量!AW27+产品销售数量!BQ27+产品销售数量!CN27+产品销售数量!CO27+产品销售数量!CQ27+产品销售数量!CX27+产品销售数量!CY27+产品销售数量!CM27</f>
        <v>0</v>
      </c>
      <c r="FI30" s="5" t="e">
        <f t="shared" si="89"/>
        <v>#DIV/0!</v>
      </c>
      <c r="FJ30" s="5">
        <f t="shared" si="90"/>
        <v>0</v>
      </c>
      <c r="FK30" s="5" t="e">
        <f t="shared" si="91"/>
        <v>#DIV/0!</v>
      </c>
      <c r="FL30" s="6">
        <f>应产率辅助表!AA27</f>
        <v>0</v>
      </c>
      <c r="FM30" s="6">
        <f>应产率辅助表!AA56</f>
        <v>0</v>
      </c>
      <c r="FN30" s="7" t="e">
        <f t="shared" si="92"/>
        <v>#DIV/0!</v>
      </c>
      <c r="FO30" s="5">
        <f>+产品销售数量!R27+产品销售数量!CE27</f>
        <v>0</v>
      </c>
      <c r="FP30" s="5" t="e">
        <f t="shared" si="93"/>
        <v>#DIV/0!</v>
      </c>
      <c r="FQ30" s="5">
        <f t="shared" si="94"/>
        <v>0</v>
      </c>
      <c r="FR30" s="5" t="e">
        <f t="shared" si="95"/>
        <v>#DIV/0!</v>
      </c>
      <c r="FS30" s="6">
        <f>应产率辅助表!AB27</f>
        <v>0</v>
      </c>
      <c r="FT30" s="5">
        <f t="shared" si="96"/>
        <v>0</v>
      </c>
      <c r="FU30" s="6">
        <f>应产率辅助表!AB56</f>
        <v>0</v>
      </c>
      <c r="FV30" s="7" t="e">
        <f t="shared" si="97"/>
        <v>#DIV/0!</v>
      </c>
      <c r="FW30" s="5" t="e">
        <f t="shared" si="98"/>
        <v>#DIV/0!</v>
      </c>
      <c r="FX30" s="6">
        <f>应产率辅助表!AC27</f>
        <v>0</v>
      </c>
      <c r="FY30" s="6">
        <f>应产率辅助表!AC56</f>
        <v>0</v>
      </c>
      <c r="FZ30" s="7" t="e">
        <f t="shared" si="99"/>
        <v>#DIV/0!</v>
      </c>
      <c r="GA30" s="5" t="e">
        <f t="shared" si="100"/>
        <v>#DIV/0!</v>
      </c>
      <c r="GB30" s="6">
        <f>应产率辅助表!AD27</f>
        <v>0</v>
      </c>
      <c r="GC30" s="6">
        <f>应产率辅助表!AD56</f>
        <v>0</v>
      </c>
      <c r="GD30" s="7" t="e">
        <f t="shared" si="101"/>
        <v>#DIV/0!</v>
      </c>
      <c r="GE30" s="6">
        <f>应产率辅助表!AE27</f>
        <v>0</v>
      </c>
      <c r="GF30" s="6">
        <f>应产率辅助表!AE56</f>
        <v>0</v>
      </c>
      <c r="GG30" s="7" t="e">
        <f t="shared" si="102"/>
        <v>#DIV/0!</v>
      </c>
      <c r="GH30" s="6">
        <f>应产率辅助表!AF27</f>
        <v>0</v>
      </c>
      <c r="GI30" s="6">
        <f>应产率辅助表!AF56</f>
        <v>0</v>
      </c>
      <c r="GJ30" s="7" t="e">
        <f t="shared" si="103"/>
        <v>#DIV/0!</v>
      </c>
      <c r="GK30" s="6">
        <f>应产率辅助表!AG27</f>
        <v>0</v>
      </c>
      <c r="GL30" s="6">
        <f>应产率辅助表!AG56</f>
        <v>0</v>
      </c>
      <c r="GM30" s="7" t="e">
        <f t="shared" si="104"/>
        <v>#DIV/0!</v>
      </c>
      <c r="GN30" s="6"/>
      <c r="GO30" s="6">
        <f>应产率辅助表!AH27</f>
        <v>0</v>
      </c>
      <c r="GP30" s="6">
        <f>应产率辅助表!AH56</f>
        <v>0</v>
      </c>
      <c r="GQ30" s="7" t="e">
        <f t="shared" si="105"/>
        <v>#DIV/0!</v>
      </c>
      <c r="GR30" s="6">
        <f>应产率辅助表!AI27</f>
        <v>0</v>
      </c>
      <c r="GS30" s="6">
        <f>应产率辅助表!AI56</f>
        <v>0</v>
      </c>
      <c r="GT30" s="7" t="e">
        <f t="shared" si="106"/>
        <v>#DIV/0!</v>
      </c>
      <c r="GU30" s="72">
        <f>应产率辅助表!AJ27</f>
        <v>0</v>
      </c>
      <c r="GV30" s="72">
        <f>应产率辅助表!AJ56</f>
        <v>0</v>
      </c>
      <c r="GW30" s="7" t="e">
        <f t="shared" si="107"/>
        <v>#DIV/0!</v>
      </c>
      <c r="GX30" s="72">
        <f>应产率辅助表!AK27</f>
        <v>0</v>
      </c>
      <c r="GY30" s="72">
        <f>应产率辅助表!AK56</f>
        <v>0</v>
      </c>
      <c r="GZ30" s="7" t="e">
        <f t="shared" si="108"/>
        <v>#DIV/0!</v>
      </c>
      <c r="HA30" s="72">
        <f>应产率辅助表!AL27</f>
        <v>0</v>
      </c>
      <c r="HB30" s="72">
        <f>应产率辅助表!AL56</f>
        <v>0</v>
      </c>
      <c r="HC30" s="7" t="e">
        <f t="shared" si="109"/>
        <v>#DIV/0!</v>
      </c>
      <c r="HD30" s="72">
        <f>应产率辅助表!AM27</f>
        <v>0</v>
      </c>
      <c r="HE30" s="72">
        <f>应产率辅助表!AM56</f>
        <v>0</v>
      </c>
      <c r="HF30" s="7" t="e">
        <f t="shared" si="110"/>
        <v>#DIV/0!</v>
      </c>
      <c r="HG30" s="72">
        <f>应产率辅助表!AN27</f>
        <v>0</v>
      </c>
      <c r="HH30" s="72">
        <f>应产率辅助表!AN56</f>
        <v>0</v>
      </c>
      <c r="HI30" s="7" t="e">
        <f t="shared" si="111"/>
        <v>#DIV/0!</v>
      </c>
      <c r="HJ30" s="72">
        <f>应产率辅助表!AO27</f>
        <v>0</v>
      </c>
      <c r="HK30" s="72">
        <f>应产率辅助表!AO56</f>
        <v>0</v>
      </c>
      <c r="HL30" s="7" t="e">
        <f t="shared" si="112"/>
        <v>#DIV/0!</v>
      </c>
      <c r="HM30" s="72">
        <f>应产率辅助表!AP27</f>
        <v>0</v>
      </c>
      <c r="HN30" s="72">
        <f>应产率辅助表!AP56</f>
        <v>0</v>
      </c>
      <c r="HO30" s="7" t="e">
        <f t="shared" si="113"/>
        <v>#DIV/0!</v>
      </c>
      <c r="HP30" s="6"/>
      <c r="HQ30" s="6">
        <f t="shared" si="175"/>
        <v>0</v>
      </c>
      <c r="HR30" s="5" t="e">
        <f t="shared" si="115"/>
        <v>#DIV/0!</v>
      </c>
      <c r="HS30" s="6">
        <v>0</v>
      </c>
      <c r="HT30" s="6">
        <v>0</v>
      </c>
      <c r="HU30" s="5" t="e">
        <f t="shared" si="116"/>
        <v>#DIV/0!</v>
      </c>
      <c r="HV30" s="6">
        <v>0</v>
      </c>
      <c r="HW30" s="6">
        <v>0</v>
      </c>
      <c r="HX30" s="5" t="e">
        <f t="shared" si="117"/>
        <v>#DIV/0!</v>
      </c>
      <c r="HY30" s="5"/>
      <c r="HZ30" s="5"/>
      <c r="IA30" s="5" t="e">
        <f t="shared" si="166"/>
        <v>#DIV/0!</v>
      </c>
      <c r="IB30" s="5">
        <f t="shared" si="118"/>
        <v>0</v>
      </c>
      <c r="IC30" s="5">
        <f t="shared" si="118"/>
        <v>0</v>
      </c>
      <c r="ID30" s="5" t="e">
        <f t="shared" si="119"/>
        <v>#DIV/0!</v>
      </c>
      <c r="IE30" s="7">
        <f t="shared" si="120"/>
        <v>0</v>
      </c>
      <c r="IF30" s="7">
        <f t="shared" si="120"/>
        <v>0</v>
      </c>
      <c r="IG30" s="5" t="e">
        <f t="shared" si="121"/>
        <v>#DIV/0!</v>
      </c>
      <c r="IH30" s="5" t="e">
        <f t="shared" si="122"/>
        <v>#DIV/0!</v>
      </c>
      <c r="II30" s="5" t="e">
        <f t="shared" si="123"/>
        <v>#DIV/0!</v>
      </c>
      <c r="IJ30" s="8" t="e">
        <f t="shared" si="124"/>
        <v>#DIV/0!</v>
      </c>
      <c r="IK30" s="8" t="e">
        <f t="shared" si="125"/>
        <v>#DIV/0!</v>
      </c>
      <c r="IL30" s="8" t="e">
        <f t="shared" si="126"/>
        <v>#DIV/0!</v>
      </c>
      <c r="IM30" s="8" t="e">
        <f t="shared" si="127"/>
        <v>#DIV/0!</v>
      </c>
      <c r="IN30" s="8" t="e">
        <f t="shared" si="128"/>
        <v>#DIV/0!</v>
      </c>
      <c r="IO30" s="8" t="e">
        <f t="shared" si="129"/>
        <v>#DIV/0!</v>
      </c>
      <c r="IP30" s="8" t="e">
        <f t="shared" si="130"/>
        <v>#DIV/0!</v>
      </c>
      <c r="IQ30" s="8" t="e">
        <f t="shared" si="131"/>
        <v>#DIV/0!</v>
      </c>
      <c r="IR30" s="8" t="e">
        <f t="shared" si="132"/>
        <v>#DIV/0!</v>
      </c>
      <c r="IS30" s="8" t="e">
        <f t="shared" si="133"/>
        <v>#DIV/0!</v>
      </c>
      <c r="IT30" s="8" t="e">
        <f t="shared" si="134"/>
        <v>#DIV/0!</v>
      </c>
      <c r="IU30" s="8" t="e">
        <f t="shared" si="135"/>
        <v>#DIV/0!</v>
      </c>
      <c r="IV30" s="8" t="e">
        <f t="shared" si="136"/>
        <v>#DIV/0!</v>
      </c>
      <c r="IW30" s="8" t="e">
        <f t="shared" si="137"/>
        <v>#DIV/0!</v>
      </c>
      <c r="IX30" s="8" t="e">
        <f t="shared" si="138"/>
        <v>#DIV/0!</v>
      </c>
      <c r="IY30" s="8" t="e">
        <f t="shared" si="139"/>
        <v>#DIV/0!</v>
      </c>
      <c r="IZ30" s="8" t="e">
        <f t="shared" si="140"/>
        <v>#DIV/0!</v>
      </c>
      <c r="JA30" s="8" t="e">
        <f t="shared" si="141"/>
        <v>#DIV/0!</v>
      </c>
      <c r="JB30" s="8" t="e">
        <f t="shared" si="142"/>
        <v>#DIV/0!</v>
      </c>
      <c r="JC30" s="8" t="e">
        <f t="shared" si="143"/>
        <v>#DIV/0!</v>
      </c>
      <c r="JD30" s="8" t="e">
        <f t="shared" si="144"/>
        <v>#DIV/0!</v>
      </c>
      <c r="JE30" s="8" t="e">
        <f t="shared" si="145"/>
        <v>#DIV/0!</v>
      </c>
      <c r="JF30" s="8" t="e">
        <f t="shared" si="146"/>
        <v>#DIV/0!</v>
      </c>
      <c r="JG30" s="8" t="e">
        <f t="shared" si="147"/>
        <v>#DIV/0!</v>
      </c>
      <c r="JH30" s="8" t="e">
        <f t="shared" si="148"/>
        <v>#DIV/0!</v>
      </c>
      <c r="JI30" s="8" t="e">
        <f t="shared" si="149"/>
        <v>#DIV/0!</v>
      </c>
      <c r="JJ30" s="8" t="e">
        <f t="shared" si="150"/>
        <v>#DIV/0!</v>
      </c>
      <c r="JK30" s="8" t="e">
        <f t="shared" si="151"/>
        <v>#DIV/0!</v>
      </c>
      <c r="JL30" s="8" t="e">
        <f t="shared" si="152"/>
        <v>#DIV/0!</v>
      </c>
      <c r="JM30" s="8" t="e">
        <f t="shared" si="153"/>
        <v>#DIV/0!</v>
      </c>
      <c r="JN30" s="8" t="e">
        <f t="shared" si="154"/>
        <v>#DIV/0!</v>
      </c>
      <c r="JO30" s="8" t="e">
        <f t="shared" si="155"/>
        <v>#DIV/0!</v>
      </c>
      <c r="JP30" s="9" t="e">
        <f t="shared" si="156"/>
        <v>#DIV/0!</v>
      </c>
      <c r="JQ30" s="9" t="e">
        <f t="shared" si="157"/>
        <v>#DIV/0!</v>
      </c>
      <c r="JR30" s="9" t="e">
        <f t="shared" si="158"/>
        <v>#DIV/0!</v>
      </c>
      <c r="JS30" s="9" t="e">
        <f t="shared" si="159"/>
        <v>#DIV/0!</v>
      </c>
      <c r="JT30" s="9" t="e">
        <f t="shared" si="160"/>
        <v>#DIV/0!</v>
      </c>
      <c r="JU30" s="9" t="e">
        <f t="shared" si="161"/>
        <v>#DIV/0!</v>
      </c>
      <c r="JV30" s="9" t="e">
        <f t="shared" si="162"/>
        <v>#DIV/0!</v>
      </c>
      <c r="JW30" s="9" t="e">
        <f t="shared" si="163"/>
        <v>#DIV/0!</v>
      </c>
    </row>
    <row r="31" spans="1:283" s="60" customFormat="1" ht="18" hidden="1" customHeight="1" x14ac:dyDescent="0.15">
      <c r="A31" s="57"/>
      <c r="B31" s="58"/>
      <c r="C31" s="58"/>
      <c r="D31" s="59"/>
      <c r="E31" s="56">
        <f>产品销售数量!D28</f>
        <v>0</v>
      </c>
      <c r="F31" s="6">
        <f>应产率辅助表!C28</f>
        <v>0</v>
      </c>
      <c r="G31" s="6">
        <f>应产率辅助表!C57</f>
        <v>0</v>
      </c>
      <c r="H31" s="7" t="e">
        <f t="shared" si="1"/>
        <v>#DIV/0!</v>
      </c>
      <c r="I31" s="5">
        <f>产品销售数量!E28+产品销售数量!F28*1.36</f>
        <v>0</v>
      </c>
      <c r="J31" s="5" t="e">
        <f t="shared" si="164"/>
        <v>#DIV/0!</v>
      </c>
      <c r="K31" s="5">
        <f t="shared" si="2"/>
        <v>0</v>
      </c>
      <c r="L31" s="5" t="e">
        <f t="shared" si="3"/>
        <v>#DIV/0!</v>
      </c>
      <c r="M31" s="6">
        <f>应产率辅助表!D28</f>
        <v>0</v>
      </c>
      <c r="N31" s="6">
        <f>应产率辅助表!D57</f>
        <v>0</v>
      </c>
      <c r="O31" s="7" t="e">
        <f t="shared" si="4"/>
        <v>#DIV/0!</v>
      </c>
      <c r="P31" s="5">
        <f>+产品销售数量!H28</f>
        <v>0</v>
      </c>
      <c r="Q31" s="5" t="e">
        <f t="shared" si="5"/>
        <v>#DIV/0!</v>
      </c>
      <c r="R31" s="5">
        <f t="shared" si="6"/>
        <v>0</v>
      </c>
      <c r="S31" s="5" t="e">
        <f t="shared" si="7"/>
        <v>#DIV/0!</v>
      </c>
      <c r="T31" s="6">
        <f>应产率辅助表!E28</f>
        <v>0</v>
      </c>
      <c r="U31" s="6">
        <f>应产率辅助表!E57</f>
        <v>0</v>
      </c>
      <c r="V31" s="7" t="e">
        <f t="shared" si="8"/>
        <v>#DIV/0!</v>
      </c>
      <c r="W31" s="5">
        <f>+产品销售数量!V28+产品销售数量!CP28</f>
        <v>0</v>
      </c>
      <c r="X31" s="5" t="e">
        <f t="shared" si="9"/>
        <v>#DIV/0!</v>
      </c>
      <c r="Y31" s="5">
        <f t="shared" si="10"/>
        <v>0</v>
      </c>
      <c r="Z31" s="5" t="e">
        <f t="shared" si="11"/>
        <v>#DIV/0!</v>
      </c>
      <c r="AA31" s="6">
        <f>应产率辅助表!F28</f>
        <v>0</v>
      </c>
      <c r="AB31" s="6">
        <f>应产率辅助表!F57</f>
        <v>0</v>
      </c>
      <c r="AC31" s="7" t="e">
        <f t="shared" si="12"/>
        <v>#DIV/0!</v>
      </c>
      <c r="AD31" s="5">
        <f>产品销售数量!J28*1.5+产品销售数量!K28*1.5+产品销售数量!L28*1.5+产品销售数量!O28*1.5+产品销售数量!P28*1.5+产品销售数量!S28*1.5+产品销售数量!T28*1.5+产品销售数量!CH28*1.35+产品销售数量!M28*1.5+产品销售数量!CK28*0.89*1.5+产品销售数量!BL28*1.35+产品销售数量!AU28*0.9+产品销售数量!AW28*0.9+产品销售数量!BB28*1.5+产品销售数量!CN28*1.35+产品销售数量!CO28*1.35+产品销售数量!CQ28*1.5+产品销售数量!CX28*1.5+产品销售数量!CY28*1.35+产品销售数量!CZ28*1.35</f>
        <v>0</v>
      </c>
      <c r="AE31" s="5" t="e">
        <f t="shared" si="13"/>
        <v>#DIV/0!</v>
      </c>
      <c r="AF31" s="5">
        <f t="shared" si="14"/>
        <v>0</v>
      </c>
      <c r="AG31" s="5" t="e">
        <f t="shared" si="15"/>
        <v>#DIV/0!</v>
      </c>
      <c r="AH31" s="6">
        <f t="shared" si="165"/>
        <v>0</v>
      </c>
      <c r="AI31" s="6">
        <f>应产率辅助表!G28</f>
        <v>0</v>
      </c>
      <c r="AJ31" s="6">
        <f>应产率辅助表!G57</f>
        <v>0</v>
      </c>
      <c r="AK31" s="7" t="e">
        <f t="shared" si="17"/>
        <v>#DIV/0!</v>
      </c>
      <c r="AL31" s="5" t="e">
        <f>+产品销售数量!J28*1.13+产品销售数量!K28*1.13+产品销售数量!O28*1.13+产品销售数量!U28+产品销售数量!V28*2.6+产品销售数量!W28*2.6+产品销售数量!X28*1.6+产品销售数量!Y28+产品销售数量!AB28*1.74+产品销售数量!BC28*1.19+产品销售数量!BL28*0.98+产品销售数量!BM28*0.74+产品销售数量!BN28*4.495+产品销售数量!BQ28*2.29+产品销售数量!BV28*2.56+产品销售数量!CG28*1.74+产品销售数量!CJ28*0.8+产品销售数量!CK28*1.13+产品销售数量!CM28*1.19+产品销售数量!CO28*0.98+产品销售数量!CP28*2.62+产品销售数量!CQ28*1.13+产品销售数量!CR28*1.4+产品销售数量!CS28*1.4+产品销售数量!CT28*1.4+产品销售数量!#REF!*5.29+产品销售数量!CV28*1.13+产品销售数量!CW28*0.98+产品销售数量!CX28*0.378+产品销售数量!CY28*1.19+产品销售数量!DA28*0.87+产品销售数量!DB28*1.5+产品销售数量!DI28*0.595+产品销售数量!DK28*1.74</f>
        <v>#REF!</v>
      </c>
      <c r="AM31" s="5" t="e">
        <f t="shared" si="18"/>
        <v>#REF!</v>
      </c>
      <c r="AN31" s="5" t="e">
        <f t="shared" si="19"/>
        <v>#REF!</v>
      </c>
      <c r="AO31" s="5" t="e">
        <f t="shared" si="20"/>
        <v>#DIV/0!</v>
      </c>
      <c r="AP31" s="6">
        <f>应产率辅助表!H28</f>
        <v>0</v>
      </c>
      <c r="AQ31" s="6">
        <f>应产率辅助表!H57</f>
        <v>0</v>
      </c>
      <c r="AR31" s="7" t="e">
        <f t="shared" si="21"/>
        <v>#DIV/0!</v>
      </c>
      <c r="AS31" s="5">
        <f>产品销售数量!I28*0.858+产品销售数量!Z28*0.686+产品销售数量!AA28*1.79+产品销售数量!CF28*1.79+产品销售数量!CL28*0.89</f>
        <v>0</v>
      </c>
      <c r="AT31" s="5" t="e">
        <f t="shared" si="22"/>
        <v>#DIV/0!</v>
      </c>
      <c r="AU31" s="5">
        <f t="shared" si="23"/>
        <v>0</v>
      </c>
      <c r="AV31" s="5" t="e">
        <f t="shared" si="24"/>
        <v>#DIV/0!</v>
      </c>
      <c r="AW31" s="6">
        <f>应产率辅助表!I28</f>
        <v>0</v>
      </c>
      <c r="AX31" s="6">
        <f>应产率辅助表!I57</f>
        <v>0</v>
      </c>
      <c r="AY31" s="7" t="e">
        <f t="shared" si="25"/>
        <v>#DIV/0!</v>
      </c>
      <c r="AZ31" s="5">
        <f>+产品销售数量!I28*0.857+产品销售数量!Z28*0.485+产品销售数量!AA28*1.88+产品销售数量!CF28*1.88+产品销售数量!CL28*0.89</f>
        <v>0</v>
      </c>
      <c r="BA31" s="5" t="e">
        <f t="shared" si="26"/>
        <v>#DIV/0!</v>
      </c>
      <c r="BB31" s="5">
        <f t="shared" si="27"/>
        <v>0</v>
      </c>
      <c r="BC31" s="5" t="e">
        <f t="shared" si="28"/>
        <v>#DIV/0!</v>
      </c>
      <c r="BD31" s="6">
        <f>应产率辅助表!J28</f>
        <v>0</v>
      </c>
      <c r="BE31" s="6">
        <f>应产率辅助表!J57</f>
        <v>0</v>
      </c>
      <c r="BF31" s="7" t="e">
        <f t="shared" si="167"/>
        <v>#DIV/0!</v>
      </c>
      <c r="BG31" s="5">
        <f>+产品销售数量!J28*2+产品销售数量!L28*0.93+产品销售数量!O28*2+产品销售数量!P28*0.93+产品销售数量!U28*1.93+产品销售数量!W28*2+产品销售数量!V28*3.79+产品销售数量!I28*2.678+产品销售数量!CK28*1.32+产品销售数量!CQ28*2</f>
        <v>0</v>
      </c>
      <c r="BH31" s="5" t="e">
        <f t="shared" si="168"/>
        <v>#DIV/0!</v>
      </c>
      <c r="BI31" s="5">
        <f t="shared" si="169"/>
        <v>0</v>
      </c>
      <c r="BJ31" s="5" t="e">
        <f t="shared" si="170"/>
        <v>#DIV/0!</v>
      </c>
      <c r="BK31" s="6">
        <f>应产率辅助表!K28</f>
        <v>0</v>
      </c>
      <c r="BL31" s="6">
        <f>应产率辅助表!K57</f>
        <v>0</v>
      </c>
      <c r="BM31" s="7" t="e">
        <f t="shared" si="33"/>
        <v>#DIV/0!</v>
      </c>
      <c r="BN31" s="5" t="e">
        <f>产品销售数量!K28*1.125+产品销售数量!Y28*4.12+产品销售数量!X28*5.5+产品销售数量!AA28*13.25+产品销售数量!AB28*13.25+产品销售数量!BN28*6.87+产品销售数量!BV28+产品销售数量!CF28*13.25+产品销售数量!CG28*13.25+产品销售数量!CJ28*6.63+产品销售数量!CL28*6.63+产品销售数量!CR28*2.25+产品销售数量!CS28*2.25+产品销售数量!CT28*2.25+产品销售数量!#REF!*6.87++产品销售数量!CV28*0.75+产品销售数量!DA28*6.63+产品销售数量!DJ28*13.25+产品销售数量!DK28*13.25</f>
        <v>#REF!</v>
      </c>
      <c r="BO31" s="5" t="e">
        <f t="shared" si="0"/>
        <v>#REF!</v>
      </c>
      <c r="BP31" s="5" t="e">
        <f t="shared" si="34"/>
        <v>#REF!</v>
      </c>
      <c r="BQ31" s="5" t="e">
        <f t="shared" si="35"/>
        <v>#DIV/0!</v>
      </c>
      <c r="BR31" s="6">
        <f>应产率辅助表!L28</f>
        <v>0</v>
      </c>
      <c r="BS31" s="6">
        <f>应产率辅助表!L57</f>
        <v>0</v>
      </c>
      <c r="BT31" s="7" t="e">
        <f t="shared" si="171"/>
        <v>#DIV/0!</v>
      </c>
      <c r="BU31" s="5">
        <f>产品销售数量!O28+产品销售数量!P28+产品销售数量!CI28*1.5+产品销售数量!CK28*0.89+产品销售数量!M28*1.34</f>
        <v>0</v>
      </c>
      <c r="BV31" s="5" t="e">
        <f t="shared" si="172"/>
        <v>#DIV/0!</v>
      </c>
      <c r="BW31" s="5">
        <f t="shared" si="173"/>
        <v>0</v>
      </c>
      <c r="BX31" s="5" t="e">
        <f t="shared" si="174"/>
        <v>#DIV/0!</v>
      </c>
      <c r="BY31" s="6">
        <f>应产率辅助表!M28</f>
        <v>0</v>
      </c>
      <c r="BZ31" s="6">
        <f>应产率辅助表!M57</f>
        <v>0</v>
      </c>
      <c r="CA31" s="7" t="e">
        <f t="shared" si="40"/>
        <v>#DIV/0!</v>
      </c>
      <c r="CB31" s="5">
        <f>+产品销售数量!J28+产品销售数量!K28+产品销售数量!L28+产品销售数量!O28+产品销售数量!P28+产品销售数量!S28+产品销售数量!T28+产品销售数量!AU28*0.9+产品销售数量!AW28*0.9+产品销售数量!BL28*0.9+产品销售数量!CH28*0.9+产品销售数量!CK28*0.9+产品销售数量!CN28*0.9+产品销售数量!CO28*0.9+产品销售数量!CQ28+产品销售数量!CV28+产品销售数量!CW28*0.9+产品销售数量!DB28</f>
        <v>0</v>
      </c>
      <c r="CC31" s="5" t="e">
        <f t="shared" si="41"/>
        <v>#DIV/0!</v>
      </c>
      <c r="CD31" s="5">
        <f t="shared" si="42"/>
        <v>0</v>
      </c>
      <c r="CE31" s="5" t="e">
        <f t="shared" si="43"/>
        <v>#DIV/0!</v>
      </c>
      <c r="CF31" s="6">
        <f>应产率辅助表!N28</f>
        <v>0</v>
      </c>
      <c r="CG31" s="6">
        <f>应产率辅助表!N57</f>
        <v>0</v>
      </c>
      <c r="CH31" s="7" t="e">
        <f t="shared" si="44"/>
        <v>#DIV/0!</v>
      </c>
      <c r="CI31" s="5">
        <f>产品销售数量!P28+产品销售数量!Z28*1.4+产品销售数量!L28</f>
        <v>0</v>
      </c>
      <c r="CJ31" s="5" t="e">
        <f t="shared" si="45"/>
        <v>#DIV/0!</v>
      </c>
      <c r="CK31" s="5">
        <f t="shared" si="46"/>
        <v>0</v>
      </c>
      <c r="CL31" s="5" t="e">
        <f t="shared" si="47"/>
        <v>#DIV/0!</v>
      </c>
      <c r="CM31" s="6">
        <f>应产率辅助表!O28</f>
        <v>0</v>
      </c>
      <c r="CN31" s="6">
        <f>应产率辅助表!O57</f>
        <v>0</v>
      </c>
      <c r="CO31" s="7" t="e">
        <f t="shared" si="48"/>
        <v>#DIV/0!</v>
      </c>
      <c r="CP31" s="5">
        <f>+产品销售数量!AE28*1.04+产品销售数量!AD28*1.279+产品销售数量!BW28*1.04+产品销售数量!BX28*1.279</f>
        <v>0</v>
      </c>
      <c r="CQ31" s="5" t="e">
        <f t="shared" si="49"/>
        <v>#DIV/0!</v>
      </c>
      <c r="CR31" s="5">
        <f t="shared" si="50"/>
        <v>0</v>
      </c>
      <c r="CS31" s="5" t="e">
        <f t="shared" si="51"/>
        <v>#DIV/0!</v>
      </c>
      <c r="CT31" s="6">
        <f>应产率辅助表!P28</f>
        <v>0</v>
      </c>
      <c r="CU31" s="6">
        <f>应产率辅助表!P57</f>
        <v>0</v>
      </c>
      <c r="CV31" s="7" t="e">
        <f t="shared" si="52"/>
        <v>#DIV/0!</v>
      </c>
      <c r="CW31" s="5">
        <f>+产品销售数量!AC28*1.08+产品销售数量!AH28*1+产品销售数量!AG28*1.45+产品销售数量!BG28*0.834+产品销售数量!CU28*0.834+产品销售数量!DM28*1.19</f>
        <v>0</v>
      </c>
      <c r="CX31" s="5" t="e">
        <f t="shared" si="53"/>
        <v>#DIV/0!</v>
      </c>
      <c r="CY31" s="5">
        <f t="shared" si="54"/>
        <v>0</v>
      </c>
      <c r="CZ31" s="5" t="e">
        <f t="shared" si="55"/>
        <v>#DIV/0!</v>
      </c>
      <c r="DA31" s="6">
        <f>应产率辅助表!Q28</f>
        <v>0</v>
      </c>
      <c r="DB31" s="6">
        <f>应产率辅助表!Q57</f>
        <v>0</v>
      </c>
      <c r="DC31" s="7" t="e">
        <f t="shared" si="56"/>
        <v>#DIV/0!</v>
      </c>
      <c r="DD31" s="5">
        <f>产品销售数量!AJ28*2+产品销售数量!AK28*1.38+产品销售数量!AL28+产品销售数量!BT28*1.38+产品销售数量!BU28*2</f>
        <v>0</v>
      </c>
      <c r="DE31" s="5" t="e">
        <f t="shared" si="57"/>
        <v>#DIV/0!</v>
      </c>
      <c r="DF31" s="5">
        <f t="shared" si="58"/>
        <v>0</v>
      </c>
      <c r="DG31" s="5" t="e">
        <f t="shared" si="59"/>
        <v>#DIV/0!</v>
      </c>
      <c r="DH31" s="6">
        <f>应产率辅助表!R28</f>
        <v>0</v>
      </c>
      <c r="DI31" s="6">
        <f>应产率辅助表!R57</f>
        <v>0</v>
      </c>
      <c r="DJ31" s="7" t="e">
        <f t="shared" si="60"/>
        <v>#DIV/0!</v>
      </c>
      <c r="DK31" s="5">
        <f>+产品销售数量!AM28*1.375+产品销售数量!AN28+产品销售数量!AO28*0.75+产品销售数量!BR28*0.57</f>
        <v>0</v>
      </c>
      <c r="DL31" s="5" t="e">
        <f t="shared" si="61"/>
        <v>#DIV/0!</v>
      </c>
      <c r="DM31" s="5">
        <f t="shared" si="62"/>
        <v>0</v>
      </c>
      <c r="DN31" s="5" t="e">
        <f t="shared" si="63"/>
        <v>#DIV/0!</v>
      </c>
      <c r="DO31" s="6">
        <f>应产率辅助表!S28+应产率辅助表!T28</f>
        <v>0</v>
      </c>
      <c r="DP31" s="6">
        <f>应产率辅助表!S57+应产率辅助表!T57</f>
        <v>0</v>
      </c>
      <c r="DQ31" s="7" t="e">
        <f t="shared" si="64"/>
        <v>#DIV/0!</v>
      </c>
      <c r="DR31" s="5" t="e">
        <f>+产品销售数量!Y28+产品销售数量!X28+产品销售数量!AB28*3+产品销售数量!CG28*3+产品销售数量!CJ28*2+产品销售数量!BN28*2+产品销售数量!CR28+产品销售数量!CS28+产品销售数量!CT28+产品销售数量!BM28+产品销售数量!#REF!*3+产品销售数量!AA28+产品销售数量!CF28</f>
        <v>#REF!</v>
      </c>
      <c r="DS31" s="5" t="e">
        <f t="shared" si="65"/>
        <v>#REF!</v>
      </c>
      <c r="DT31" s="5" t="e">
        <f t="shared" si="66"/>
        <v>#REF!</v>
      </c>
      <c r="DU31" s="5" t="e">
        <f t="shared" si="67"/>
        <v>#DIV/0!</v>
      </c>
      <c r="DV31" s="6">
        <f>应产率辅助表!U28</f>
        <v>0</v>
      </c>
      <c r="DW31" s="6">
        <f>应产率辅助表!U57</f>
        <v>0</v>
      </c>
      <c r="DX31" s="7" t="e">
        <f t="shared" si="68"/>
        <v>#DIV/0!</v>
      </c>
      <c r="DY31" s="5" t="e">
        <f>+产品销售数量!E28+产品销售数量!F28*2+产品销售数量!G28+产品销售数量!#REF!+产品销售数量!CY28+产品销售数量!DE28+产品销售数量!DH28</f>
        <v>#REF!</v>
      </c>
      <c r="DZ31" s="5" t="e">
        <f t="shared" si="69"/>
        <v>#REF!</v>
      </c>
      <c r="EA31" s="5" t="e">
        <f t="shared" si="70"/>
        <v>#REF!</v>
      </c>
      <c r="EB31" s="5" t="e">
        <f t="shared" si="71"/>
        <v>#DIV/0!</v>
      </c>
      <c r="EC31" s="6">
        <f>应产率辅助表!V28</f>
        <v>0</v>
      </c>
      <c r="ED31" s="6">
        <f>应产率辅助表!V57</f>
        <v>0</v>
      </c>
      <c r="EE31" s="7" t="e">
        <f t="shared" si="72"/>
        <v>#DIV/0!</v>
      </c>
      <c r="EF31" s="5">
        <f>+产品销售数量!AS28</f>
        <v>0</v>
      </c>
      <c r="EG31" s="5" t="e">
        <f t="shared" si="73"/>
        <v>#DIV/0!</v>
      </c>
      <c r="EH31" s="5">
        <f t="shared" si="74"/>
        <v>0</v>
      </c>
      <c r="EI31" s="5" t="e">
        <f t="shared" si="75"/>
        <v>#DIV/0!</v>
      </c>
      <c r="EJ31" s="6">
        <f>应产率辅助表!W28</f>
        <v>0</v>
      </c>
      <c r="EK31" s="6">
        <f>应产率辅助表!W57</f>
        <v>0</v>
      </c>
      <c r="EL31" s="7" t="e">
        <f t="shared" si="76"/>
        <v>#DIV/0!</v>
      </c>
      <c r="EM31" s="5">
        <f>+产品销售数量!AD28+产品销售数量!AE28+产品销售数量!AF28+产品销售数量!AG28+产品销售数量!AH28+产品销售数量!AI28+产品销售数量!AJ28+产品销售数量!AK28+产品销售数量!AL28+产品销售数量!AM28+产品销售数量!AN28+产品销售数量!AO28+产品销售数量!AQ28+产品销售数量!AP28+产品销售数量!AR28+产品销售数量!BR28+产品销售数量!AS28+产品销售数量!CA28+产品销售数量!BE28+产品销售数量!BF28</f>
        <v>0</v>
      </c>
      <c r="EN31" s="5" t="e">
        <f t="shared" si="77"/>
        <v>#DIV/0!</v>
      </c>
      <c r="EO31" s="5">
        <f t="shared" si="78"/>
        <v>0</v>
      </c>
      <c r="EP31" s="5" t="e">
        <f t="shared" si="79"/>
        <v>#DIV/0!</v>
      </c>
      <c r="EQ31" s="6">
        <f>应产率辅助表!X28</f>
        <v>0</v>
      </c>
      <c r="ER31" s="6">
        <f>应产率辅助表!X57</f>
        <v>0</v>
      </c>
      <c r="ES31" s="7" t="e">
        <f t="shared" si="80"/>
        <v>#DIV/0!</v>
      </c>
      <c r="ET31" s="5">
        <f>+产品销售数量!AQ28+产品销售数量!AP28+产品销售数量!AR28+产品销售数量!BR28+产品销售数量!AS28+产品销售数量!CA28+产品销售数量!BE28+产品销售数量!BF28</f>
        <v>0</v>
      </c>
      <c r="EU31" s="5" t="e">
        <f t="shared" si="81"/>
        <v>#DIV/0!</v>
      </c>
      <c r="EV31" s="5">
        <f t="shared" si="82"/>
        <v>0</v>
      </c>
      <c r="EW31" s="5" t="e">
        <f t="shared" si="83"/>
        <v>#DIV/0!</v>
      </c>
      <c r="EX31" s="6">
        <f>应产率辅助表!Y28</f>
        <v>0</v>
      </c>
      <c r="EY31" s="6">
        <f>应产率辅助表!Y57</f>
        <v>0</v>
      </c>
      <c r="EZ31" s="7" t="e">
        <f t="shared" si="84"/>
        <v>#DIV/0!</v>
      </c>
      <c r="FA31" s="5">
        <f>产品销售数量!H28</f>
        <v>0</v>
      </c>
      <c r="FB31" s="5" t="e">
        <f t="shared" si="85"/>
        <v>#DIV/0!</v>
      </c>
      <c r="FC31" s="5">
        <f t="shared" si="86"/>
        <v>0</v>
      </c>
      <c r="FD31" s="5" t="e">
        <f t="shared" si="87"/>
        <v>#DIV/0!</v>
      </c>
      <c r="FE31" s="6">
        <f>应产率辅助表!Z28</f>
        <v>0</v>
      </c>
      <c r="FF31" s="6">
        <f>应产率辅助表!Z57</f>
        <v>0</v>
      </c>
      <c r="FG31" s="7" t="e">
        <f t="shared" si="88"/>
        <v>#DIV/0!</v>
      </c>
      <c r="FH31" s="5">
        <f>+产品销售数量!J28+产品销售数量!K28+产品销售数量!L28+产品销售数量!M28+产品销售数量!O28+产品销售数量!P28+产品销售数量!S28+产品销售数量!T28+产品销售数量!BQ28+产品销售数量!BS28+产品销售数量!CC28+产品销售数量!CH28+产品销售数量!CI28+产品销售数量!CJ28+产品销售数量!CK28+产品销售数量!CL28+产品销售数量!BL28+产品销售数量!AU28++产品销售数量!AW28+产品销售数量!BQ28+产品销售数量!CN28+产品销售数量!CO28+产品销售数量!CQ28+产品销售数量!CX28+产品销售数量!CY28+产品销售数量!CM28</f>
        <v>0</v>
      </c>
      <c r="FI31" s="5" t="e">
        <f t="shared" si="89"/>
        <v>#DIV/0!</v>
      </c>
      <c r="FJ31" s="5">
        <f t="shared" si="90"/>
        <v>0</v>
      </c>
      <c r="FK31" s="5" t="e">
        <f t="shared" si="91"/>
        <v>#DIV/0!</v>
      </c>
      <c r="FL31" s="6">
        <f>应产率辅助表!AA28</f>
        <v>0</v>
      </c>
      <c r="FM31" s="6">
        <f>应产率辅助表!AA57</f>
        <v>0</v>
      </c>
      <c r="FN31" s="7" t="e">
        <f t="shared" si="92"/>
        <v>#DIV/0!</v>
      </c>
      <c r="FO31" s="5">
        <f>+产品销售数量!R28+产品销售数量!CE28</f>
        <v>0</v>
      </c>
      <c r="FP31" s="5" t="e">
        <f t="shared" si="93"/>
        <v>#DIV/0!</v>
      </c>
      <c r="FQ31" s="5">
        <f t="shared" si="94"/>
        <v>0</v>
      </c>
      <c r="FR31" s="5" t="e">
        <f t="shared" si="95"/>
        <v>#DIV/0!</v>
      </c>
      <c r="FS31" s="6">
        <f>应产率辅助表!AB28</f>
        <v>0</v>
      </c>
      <c r="FT31" s="5">
        <f t="shared" si="96"/>
        <v>0</v>
      </c>
      <c r="FU31" s="6">
        <f>应产率辅助表!AB57</f>
        <v>0</v>
      </c>
      <c r="FV31" s="7" t="e">
        <f t="shared" si="97"/>
        <v>#DIV/0!</v>
      </c>
      <c r="FW31" s="5" t="e">
        <f t="shared" si="98"/>
        <v>#DIV/0!</v>
      </c>
      <c r="FX31" s="6">
        <f>应产率辅助表!AC28</f>
        <v>0</v>
      </c>
      <c r="FY31" s="6">
        <f>应产率辅助表!AC57</f>
        <v>0</v>
      </c>
      <c r="FZ31" s="7" t="e">
        <f t="shared" si="99"/>
        <v>#DIV/0!</v>
      </c>
      <c r="GA31" s="5" t="e">
        <f t="shared" si="100"/>
        <v>#DIV/0!</v>
      </c>
      <c r="GB31" s="6">
        <f>应产率辅助表!AD28</f>
        <v>0</v>
      </c>
      <c r="GC31" s="6">
        <f>应产率辅助表!AD57</f>
        <v>0</v>
      </c>
      <c r="GD31" s="7" t="e">
        <f t="shared" si="101"/>
        <v>#DIV/0!</v>
      </c>
      <c r="GE31" s="6">
        <f>应产率辅助表!AE28</f>
        <v>0</v>
      </c>
      <c r="GF31" s="6">
        <f>应产率辅助表!AE57</f>
        <v>0</v>
      </c>
      <c r="GG31" s="7" t="e">
        <f t="shared" si="102"/>
        <v>#DIV/0!</v>
      </c>
      <c r="GH31" s="6">
        <f>应产率辅助表!AF28</f>
        <v>0</v>
      </c>
      <c r="GI31" s="6">
        <f>应产率辅助表!AF57</f>
        <v>0</v>
      </c>
      <c r="GJ31" s="7" t="e">
        <f t="shared" si="103"/>
        <v>#DIV/0!</v>
      </c>
      <c r="GK31" s="6">
        <f>应产率辅助表!AG28</f>
        <v>0</v>
      </c>
      <c r="GL31" s="6">
        <f>应产率辅助表!AG57</f>
        <v>0</v>
      </c>
      <c r="GM31" s="7" t="e">
        <f t="shared" si="104"/>
        <v>#DIV/0!</v>
      </c>
      <c r="GN31" s="6"/>
      <c r="GO31" s="6">
        <f>应产率辅助表!AH28</f>
        <v>0</v>
      </c>
      <c r="GP31" s="6">
        <f>应产率辅助表!AH57</f>
        <v>0</v>
      </c>
      <c r="GQ31" s="7" t="e">
        <f t="shared" si="105"/>
        <v>#DIV/0!</v>
      </c>
      <c r="GR31" s="6">
        <f>应产率辅助表!AI28</f>
        <v>0</v>
      </c>
      <c r="GS31" s="6">
        <f>应产率辅助表!AI57</f>
        <v>0</v>
      </c>
      <c r="GT31" s="7" t="e">
        <f t="shared" si="106"/>
        <v>#DIV/0!</v>
      </c>
      <c r="GU31" s="72">
        <f>应产率辅助表!AJ28</f>
        <v>0</v>
      </c>
      <c r="GV31" s="72">
        <f>应产率辅助表!AJ57</f>
        <v>0</v>
      </c>
      <c r="GW31" s="7" t="e">
        <f t="shared" si="107"/>
        <v>#DIV/0!</v>
      </c>
      <c r="GX31" s="72">
        <f>应产率辅助表!AK28</f>
        <v>0</v>
      </c>
      <c r="GY31" s="72">
        <f>应产率辅助表!AK57</f>
        <v>0</v>
      </c>
      <c r="GZ31" s="7" t="e">
        <f t="shared" si="108"/>
        <v>#DIV/0!</v>
      </c>
      <c r="HA31" s="72">
        <f>应产率辅助表!AL28</f>
        <v>0</v>
      </c>
      <c r="HB31" s="72">
        <f>应产率辅助表!AL57</f>
        <v>0</v>
      </c>
      <c r="HC31" s="7" t="e">
        <f t="shared" si="109"/>
        <v>#DIV/0!</v>
      </c>
      <c r="HD31" s="72">
        <f>应产率辅助表!AM28</f>
        <v>0</v>
      </c>
      <c r="HE31" s="72">
        <f>应产率辅助表!AM57</f>
        <v>0</v>
      </c>
      <c r="HF31" s="7" t="e">
        <f t="shared" si="110"/>
        <v>#DIV/0!</v>
      </c>
      <c r="HG31" s="72">
        <f>应产率辅助表!AN28</f>
        <v>0</v>
      </c>
      <c r="HH31" s="72">
        <f>应产率辅助表!AN57</f>
        <v>0</v>
      </c>
      <c r="HI31" s="7" t="e">
        <f t="shared" si="111"/>
        <v>#DIV/0!</v>
      </c>
      <c r="HJ31" s="72">
        <f>应产率辅助表!AO28</f>
        <v>0</v>
      </c>
      <c r="HK31" s="72">
        <f>应产率辅助表!AO57</f>
        <v>0</v>
      </c>
      <c r="HL31" s="7" t="e">
        <f t="shared" si="112"/>
        <v>#DIV/0!</v>
      </c>
      <c r="HM31" s="72">
        <f>应产率辅助表!AP28</f>
        <v>0</v>
      </c>
      <c r="HN31" s="72">
        <f>应产率辅助表!AP57</f>
        <v>0</v>
      </c>
      <c r="HO31" s="7" t="e">
        <f t="shared" si="113"/>
        <v>#DIV/0!</v>
      </c>
      <c r="HP31" s="6"/>
      <c r="HQ31" s="6">
        <f t="shared" si="175"/>
        <v>0</v>
      </c>
      <c r="HR31" s="5" t="e">
        <f t="shared" si="115"/>
        <v>#DIV/0!</v>
      </c>
      <c r="HS31" s="6">
        <v>0</v>
      </c>
      <c r="HT31" s="6">
        <v>0</v>
      </c>
      <c r="HU31" s="5" t="e">
        <f t="shared" si="116"/>
        <v>#DIV/0!</v>
      </c>
      <c r="HV31" s="6">
        <v>0</v>
      </c>
      <c r="HW31" s="6">
        <v>0</v>
      </c>
      <c r="HX31" s="5" t="e">
        <f t="shared" si="117"/>
        <v>#DIV/0!</v>
      </c>
      <c r="HY31" s="5"/>
      <c r="HZ31" s="5"/>
      <c r="IA31" s="5" t="e">
        <f t="shared" si="166"/>
        <v>#DIV/0!</v>
      </c>
      <c r="IB31" s="5">
        <f t="shared" si="118"/>
        <v>0</v>
      </c>
      <c r="IC31" s="5">
        <f t="shared" si="118"/>
        <v>0</v>
      </c>
      <c r="ID31" s="5" t="e">
        <f t="shared" si="119"/>
        <v>#DIV/0!</v>
      </c>
      <c r="IE31" s="7">
        <f t="shared" si="120"/>
        <v>0</v>
      </c>
      <c r="IF31" s="7">
        <f t="shared" si="120"/>
        <v>0</v>
      </c>
      <c r="IG31" s="5" t="e">
        <f t="shared" si="121"/>
        <v>#DIV/0!</v>
      </c>
      <c r="IH31" s="5" t="e">
        <f t="shared" si="122"/>
        <v>#DIV/0!</v>
      </c>
      <c r="II31" s="5" t="e">
        <f t="shared" si="123"/>
        <v>#DIV/0!</v>
      </c>
      <c r="IJ31" s="8" t="e">
        <f t="shared" si="124"/>
        <v>#DIV/0!</v>
      </c>
      <c r="IK31" s="8" t="e">
        <f t="shared" si="125"/>
        <v>#DIV/0!</v>
      </c>
      <c r="IL31" s="8" t="e">
        <f t="shared" si="126"/>
        <v>#DIV/0!</v>
      </c>
      <c r="IM31" s="8" t="e">
        <f t="shared" si="127"/>
        <v>#DIV/0!</v>
      </c>
      <c r="IN31" s="8" t="e">
        <f t="shared" si="128"/>
        <v>#DIV/0!</v>
      </c>
      <c r="IO31" s="8" t="e">
        <f t="shared" si="129"/>
        <v>#DIV/0!</v>
      </c>
      <c r="IP31" s="8" t="e">
        <f t="shared" si="130"/>
        <v>#DIV/0!</v>
      </c>
      <c r="IQ31" s="8" t="e">
        <f t="shared" si="131"/>
        <v>#DIV/0!</v>
      </c>
      <c r="IR31" s="8" t="e">
        <f t="shared" si="132"/>
        <v>#DIV/0!</v>
      </c>
      <c r="IS31" s="8" t="e">
        <f t="shared" si="133"/>
        <v>#DIV/0!</v>
      </c>
      <c r="IT31" s="8" t="e">
        <f t="shared" si="134"/>
        <v>#DIV/0!</v>
      </c>
      <c r="IU31" s="8" t="e">
        <f t="shared" si="135"/>
        <v>#DIV/0!</v>
      </c>
      <c r="IV31" s="8" t="e">
        <f t="shared" si="136"/>
        <v>#DIV/0!</v>
      </c>
      <c r="IW31" s="8" t="e">
        <f t="shared" si="137"/>
        <v>#DIV/0!</v>
      </c>
      <c r="IX31" s="8" t="e">
        <f t="shared" si="138"/>
        <v>#DIV/0!</v>
      </c>
      <c r="IY31" s="8" t="e">
        <f t="shared" si="139"/>
        <v>#DIV/0!</v>
      </c>
      <c r="IZ31" s="8" t="e">
        <f t="shared" si="140"/>
        <v>#DIV/0!</v>
      </c>
      <c r="JA31" s="8" t="e">
        <f t="shared" si="141"/>
        <v>#DIV/0!</v>
      </c>
      <c r="JB31" s="8" t="e">
        <f t="shared" si="142"/>
        <v>#DIV/0!</v>
      </c>
      <c r="JC31" s="8" t="e">
        <f t="shared" si="143"/>
        <v>#DIV/0!</v>
      </c>
      <c r="JD31" s="8" t="e">
        <f t="shared" si="144"/>
        <v>#DIV/0!</v>
      </c>
      <c r="JE31" s="8" t="e">
        <f t="shared" si="145"/>
        <v>#DIV/0!</v>
      </c>
      <c r="JF31" s="8" t="e">
        <f t="shared" si="146"/>
        <v>#DIV/0!</v>
      </c>
      <c r="JG31" s="8" t="e">
        <f t="shared" si="147"/>
        <v>#DIV/0!</v>
      </c>
      <c r="JH31" s="8" t="e">
        <f t="shared" si="148"/>
        <v>#DIV/0!</v>
      </c>
      <c r="JI31" s="8" t="e">
        <f t="shared" si="149"/>
        <v>#DIV/0!</v>
      </c>
      <c r="JJ31" s="8" t="e">
        <f t="shared" si="150"/>
        <v>#DIV/0!</v>
      </c>
      <c r="JK31" s="8" t="e">
        <f t="shared" si="151"/>
        <v>#DIV/0!</v>
      </c>
      <c r="JL31" s="8" t="e">
        <f t="shared" si="152"/>
        <v>#DIV/0!</v>
      </c>
      <c r="JM31" s="8" t="e">
        <f t="shared" si="153"/>
        <v>#DIV/0!</v>
      </c>
      <c r="JN31" s="8" t="e">
        <f t="shared" si="154"/>
        <v>#DIV/0!</v>
      </c>
      <c r="JO31" s="8" t="e">
        <f t="shared" si="155"/>
        <v>#DIV/0!</v>
      </c>
      <c r="JP31" s="9" t="e">
        <f t="shared" si="156"/>
        <v>#DIV/0!</v>
      </c>
      <c r="JQ31" s="9" t="e">
        <f t="shared" si="157"/>
        <v>#DIV/0!</v>
      </c>
      <c r="JR31" s="9" t="e">
        <f t="shared" si="158"/>
        <v>#DIV/0!</v>
      </c>
      <c r="JS31" s="9" t="e">
        <f t="shared" si="159"/>
        <v>#DIV/0!</v>
      </c>
      <c r="JT31" s="9" t="e">
        <f t="shared" si="160"/>
        <v>#DIV/0!</v>
      </c>
      <c r="JU31" s="9" t="e">
        <f t="shared" si="161"/>
        <v>#DIV/0!</v>
      </c>
      <c r="JV31" s="9" t="e">
        <f t="shared" si="162"/>
        <v>#DIV/0!</v>
      </c>
      <c r="JW31" s="9" t="e">
        <f t="shared" si="163"/>
        <v>#DIV/0!</v>
      </c>
    </row>
    <row r="32" spans="1:283" s="60" customFormat="1" ht="18" hidden="1" customHeight="1" x14ac:dyDescent="0.15">
      <c r="A32" s="61"/>
      <c r="B32" s="58"/>
      <c r="C32" s="58"/>
      <c r="D32" s="59"/>
      <c r="E32" s="62"/>
      <c r="F32" s="6">
        <f>应产率辅助表!C29</f>
        <v>0</v>
      </c>
      <c r="G32" s="6">
        <f>应产率辅助表!C58</f>
        <v>0</v>
      </c>
      <c r="H32" s="7" t="e">
        <f t="shared" si="1"/>
        <v>#DIV/0!</v>
      </c>
      <c r="I32" s="5">
        <f>产品销售数量!E29+产品销售数量!F29*1.36</f>
        <v>20880.280000000002</v>
      </c>
      <c r="J32" s="5" t="e">
        <f t="shared" si="164"/>
        <v>#DIV/0!</v>
      </c>
      <c r="K32" s="5">
        <f t="shared" si="2"/>
        <v>2301006.8560000001</v>
      </c>
      <c r="L32" s="5" t="e">
        <f t="shared" si="3"/>
        <v>#DIV/0!</v>
      </c>
      <c r="M32" s="6">
        <f>应产率辅助表!D29</f>
        <v>0</v>
      </c>
      <c r="N32" s="6">
        <f>应产率辅助表!D58</f>
        <v>0</v>
      </c>
      <c r="O32" s="7" t="e">
        <f t="shared" si="4"/>
        <v>#DIV/0!</v>
      </c>
      <c r="P32" s="5">
        <f>+产品销售数量!H29</f>
        <v>2374</v>
      </c>
      <c r="Q32" s="5" t="e">
        <f t="shared" si="5"/>
        <v>#DIV/0!</v>
      </c>
      <c r="R32" s="5">
        <f t="shared" si="6"/>
        <v>214490.9</v>
      </c>
      <c r="S32" s="5" t="e">
        <f t="shared" si="7"/>
        <v>#DIV/0!</v>
      </c>
      <c r="T32" s="6">
        <f>应产率辅助表!E29</f>
        <v>0</v>
      </c>
      <c r="U32" s="6">
        <f>应产率辅助表!E58</f>
        <v>0</v>
      </c>
      <c r="V32" s="7" t="e">
        <f t="shared" si="8"/>
        <v>#DIV/0!</v>
      </c>
      <c r="W32" s="5">
        <f>+产品销售数量!V29+产品销售数量!CP29</f>
        <v>8668</v>
      </c>
      <c r="X32" s="5" t="e">
        <f t="shared" si="9"/>
        <v>#DIV/0!</v>
      </c>
      <c r="Y32" s="5">
        <f t="shared" si="10"/>
        <v>865066.4</v>
      </c>
      <c r="Z32" s="5" t="e">
        <f t="shared" si="11"/>
        <v>#DIV/0!</v>
      </c>
      <c r="AA32" s="6">
        <f>应产率辅助表!F29</f>
        <v>0</v>
      </c>
      <c r="AB32" s="6">
        <f>应产率辅助表!F58</f>
        <v>0</v>
      </c>
      <c r="AC32" s="7" t="e">
        <f t="shared" si="12"/>
        <v>#DIV/0!</v>
      </c>
      <c r="AD32" s="5">
        <f>产品销售数量!J29*1.5+产品销售数量!K29*1.5+产品销售数量!L29*1.5+产品销售数量!O29*1.5+产品销售数量!P29*1.5+产品销售数量!S29*1.5+产品销售数量!T29*1.5+产品销售数量!CH29*1.35+产品销售数量!M29*1.5+产品销售数量!CK29*0.89*1.5+产品销售数量!BL29*1.35+产品销售数量!AU29*0.9+产品销售数量!AW29*0.9+产品销售数量!BB29*1.5+产品销售数量!CN29*1.35+产品销售数量!CO29*1.35+产品销售数量!CQ29*1.5+产品销售数量!CX29*1.5+产品销售数量!CY29*1.35+产品销售数量!CZ29*1.35</f>
        <v>87398.040000000008</v>
      </c>
      <c r="AE32" s="5" t="e">
        <f t="shared" si="13"/>
        <v>#DIV/0!</v>
      </c>
      <c r="AF32" s="5">
        <f t="shared" si="14"/>
        <v>882720.20400000003</v>
      </c>
      <c r="AG32" s="5" t="e">
        <f t="shared" si="15"/>
        <v>#DIV/0!</v>
      </c>
      <c r="AH32" s="6">
        <f t="shared" si="165"/>
        <v>0</v>
      </c>
      <c r="AI32" s="6">
        <f>应产率辅助表!G29</f>
        <v>0</v>
      </c>
      <c r="AJ32" s="6">
        <f>应产率辅助表!G58</f>
        <v>0</v>
      </c>
      <c r="AK32" s="7" t="e">
        <f t="shared" si="17"/>
        <v>#DIV/0!</v>
      </c>
      <c r="AL32" s="5" t="e">
        <f>+产品销售数量!J29*1.13+产品销售数量!K29*1.13+产品销售数量!O29*1.13+产品销售数量!U29+产品销售数量!V29*2.6+产品销售数量!W29*2.6+产品销售数量!X29*1.6+产品销售数量!Y29+产品销售数量!AB29*1.74+产品销售数量!BC29*1.19+产品销售数量!BL29*0.98+产品销售数量!BM29*0.74+产品销售数量!BN29*4.495+产品销售数量!BQ29*2.29+产品销售数量!BV29*2.56+产品销售数量!CG29*1.74+产品销售数量!CJ29*0.8+产品销售数量!CK29*1.13+产品销售数量!CM29*1.19+产品销售数量!CO29*0.98+产品销售数量!CP29*2.62+产品销售数量!CQ29*1.13+产品销售数量!CR29*1.4+产品销售数量!CS29*1.4+产品销售数量!CT29*1.4+产品销售数量!#REF!*5.29+产品销售数量!CV29*1.13+产品销售数量!CW29*0.98+产品销售数量!CX29*0.378+产品销售数量!CY29*1.19+产品销售数量!DA29*0.87+产品销售数量!DB29*1.5+产品销售数量!DI29*0.595+产品销售数量!DK29*1.74</f>
        <v>#REF!</v>
      </c>
      <c r="AM32" s="5" t="e">
        <f t="shared" si="18"/>
        <v>#REF!</v>
      </c>
      <c r="AN32" s="5" t="e">
        <f t="shared" si="19"/>
        <v>#REF!</v>
      </c>
      <c r="AO32" s="5" t="e">
        <f t="shared" si="20"/>
        <v>#DIV/0!</v>
      </c>
      <c r="AP32" s="6">
        <f>应产率辅助表!H29</f>
        <v>0</v>
      </c>
      <c r="AQ32" s="6">
        <f>应产率辅助表!H58</f>
        <v>0</v>
      </c>
      <c r="AR32" s="7" t="e">
        <f t="shared" si="21"/>
        <v>#DIV/0!</v>
      </c>
      <c r="AS32" s="5">
        <f>产品销售数量!I29*0.858+产品销售数量!Z29*0.686+产品销售数量!AA29*1.79+产品销售数量!CF29*1.79+产品销售数量!CL29*0.89</f>
        <v>3748.076</v>
      </c>
      <c r="AT32" s="5" t="e">
        <f t="shared" si="22"/>
        <v>#DIV/0!</v>
      </c>
      <c r="AU32" s="5">
        <f t="shared" si="23"/>
        <v>16304.130599999999</v>
      </c>
      <c r="AV32" s="5" t="e">
        <f t="shared" si="24"/>
        <v>#DIV/0!</v>
      </c>
      <c r="AW32" s="6">
        <f>应产率辅助表!I29</f>
        <v>0</v>
      </c>
      <c r="AX32" s="6">
        <f>应产率辅助表!I58</f>
        <v>0</v>
      </c>
      <c r="AY32" s="7" t="e">
        <f t="shared" si="25"/>
        <v>#DIV/0!</v>
      </c>
      <c r="AZ32" s="5">
        <f>+产品销售数量!I29*0.857+产品销售数量!Z29*0.485+产品销售数量!AA29*1.88+产品销售数量!CF29*1.88+产品销售数量!CL29*0.89</f>
        <v>3760.85</v>
      </c>
      <c r="BA32" s="5" t="e">
        <f t="shared" si="26"/>
        <v>#DIV/0!</v>
      </c>
      <c r="BB32" s="5">
        <f t="shared" si="27"/>
        <v>24821.609999999997</v>
      </c>
      <c r="BC32" s="5" t="e">
        <f t="shared" si="28"/>
        <v>#DIV/0!</v>
      </c>
      <c r="BD32" s="6">
        <f>应产率辅助表!J29</f>
        <v>0</v>
      </c>
      <c r="BE32" s="6">
        <f>应产率辅助表!J58</f>
        <v>0</v>
      </c>
      <c r="BF32" s="7" t="e">
        <f t="shared" si="167"/>
        <v>#DIV/0!</v>
      </c>
      <c r="BG32" s="5">
        <f>+产品销售数量!J29*2+产品销售数量!L29*0.93+产品销售数量!O29*2+产品销售数量!P29*0.93+产品销售数量!U29*1.93+产品销售数量!W29*2+产品销售数量!V29*3.79+产品销售数量!I29*2.678+产品销售数量!CK29*1.32+产品销售数量!CQ29*2</f>
        <v>83143.400000000009</v>
      </c>
      <c r="BH32" s="5" t="e">
        <f t="shared" si="168"/>
        <v>#DIV/0!</v>
      </c>
      <c r="BI32" s="5">
        <f t="shared" si="169"/>
        <v>116400.76000000001</v>
      </c>
      <c r="BJ32" s="5" t="e">
        <f t="shared" si="170"/>
        <v>#DIV/0!</v>
      </c>
      <c r="BK32" s="6">
        <f>应产率辅助表!K29</f>
        <v>0</v>
      </c>
      <c r="BL32" s="6">
        <f>应产率辅助表!K58</f>
        <v>0</v>
      </c>
      <c r="BM32" s="7" t="e">
        <f t="shared" si="33"/>
        <v>#DIV/0!</v>
      </c>
      <c r="BN32" s="5" t="e">
        <f>产品销售数量!K29*1.125+产品销售数量!Y29*4.12+产品销售数量!X29*5.5+产品销售数量!AA29*13.25+产品销售数量!AB29*13.25+产品销售数量!BN29*6.87+产品销售数量!BV29+产品销售数量!CF29*13.25+产品销售数量!CG29*13.25+产品销售数量!CJ29*6.63+产品销售数量!CL29*6.63+产品销售数量!CR29*2.25+产品销售数量!CS29*2.25+产品销售数量!CT29*2.25+产品销售数量!#REF!*6.87++产品销售数量!CV29*0.75+产品销售数量!DA29*6.63+产品销售数量!DJ29*13.25+产品销售数量!DK29*13.25</f>
        <v>#REF!</v>
      </c>
      <c r="BO32" s="5" t="e">
        <f t="shared" si="0"/>
        <v>#REF!</v>
      </c>
      <c r="BP32" s="5" t="e">
        <f t="shared" si="34"/>
        <v>#REF!</v>
      </c>
      <c r="BQ32" s="5" t="e">
        <f t="shared" si="35"/>
        <v>#DIV/0!</v>
      </c>
      <c r="BR32" s="6">
        <f>应产率辅助表!L29</f>
        <v>0</v>
      </c>
      <c r="BS32" s="6">
        <f>应产率辅助表!L58</f>
        <v>0</v>
      </c>
      <c r="BT32" s="7" t="e">
        <f t="shared" si="171"/>
        <v>#DIV/0!</v>
      </c>
      <c r="BU32" s="5">
        <f>产品销售数量!O29+产品销售数量!P29+产品销售数量!CI29*1.5+产品销售数量!CK29*0.89+产品销售数量!M29*1.34</f>
        <v>13328.44</v>
      </c>
      <c r="BV32" s="5" t="e">
        <f t="shared" si="172"/>
        <v>#DIV/0!</v>
      </c>
      <c r="BW32" s="5">
        <f t="shared" si="173"/>
        <v>134617.24400000001</v>
      </c>
      <c r="BX32" s="5" t="e">
        <f t="shared" si="174"/>
        <v>#DIV/0!</v>
      </c>
      <c r="BY32" s="6">
        <f>应产率辅助表!M29</f>
        <v>0</v>
      </c>
      <c r="BZ32" s="6">
        <f>应产率辅助表!M58</f>
        <v>0</v>
      </c>
      <c r="CA32" s="7" t="e">
        <f t="shared" si="40"/>
        <v>#DIV/0!</v>
      </c>
      <c r="CB32" s="5">
        <f>+产品销售数量!J29+产品销售数量!K29+产品销售数量!L29+产品销售数量!O29+产品销售数量!P29+产品销售数量!S29+产品销售数量!T29+产品销售数量!AU29*0.9+产品销售数量!AW29*0.9+产品销售数量!BL29*0.9+产品销售数量!CH29*0.9+产品销售数量!CK29*0.9+产品销售数量!CN29*0.9+产品销售数量!CO29*0.9+产品销售数量!CQ29+产品销售数量!CV29+产品销售数量!CW29*0.9+产品销售数量!DB29</f>
        <v>54176</v>
      </c>
      <c r="CC32" s="5" t="e">
        <f t="shared" si="41"/>
        <v>#DIV/0!</v>
      </c>
      <c r="CD32" s="5">
        <f t="shared" si="42"/>
        <v>820766.4</v>
      </c>
      <c r="CE32" s="5" t="e">
        <f t="shared" si="43"/>
        <v>#DIV/0!</v>
      </c>
      <c r="CF32" s="6">
        <f>应产率辅助表!N29</f>
        <v>0</v>
      </c>
      <c r="CG32" s="6">
        <f>应产率辅助表!N58</f>
        <v>0</v>
      </c>
      <c r="CH32" s="7" t="e">
        <f t="shared" si="44"/>
        <v>#DIV/0!</v>
      </c>
      <c r="CI32" s="5">
        <f>产品销售数量!P29+产品销售数量!Z29*1.4+产品销售数量!L29</f>
        <v>1811.3999999999999</v>
      </c>
      <c r="CJ32" s="5" t="e">
        <f t="shared" si="45"/>
        <v>#DIV/0!</v>
      </c>
      <c r="CK32" s="5">
        <f t="shared" si="46"/>
        <v>820766.4</v>
      </c>
      <c r="CL32" s="5" t="e">
        <f t="shared" si="47"/>
        <v>#DIV/0!</v>
      </c>
      <c r="CM32" s="6">
        <f>应产率辅助表!O29</f>
        <v>0</v>
      </c>
      <c r="CN32" s="6">
        <f>应产率辅助表!O58</f>
        <v>0</v>
      </c>
      <c r="CO32" s="7" t="e">
        <f t="shared" si="48"/>
        <v>#DIV/0!</v>
      </c>
      <c r="CP32" s="5">
        <f>+产品销售数量!AE29*1.04+产品销售数量!AD29*1.279+产品销售数量!BW29*1.04+产品销售数量!BX29*1.279</f>
        <v>31994.591000000004</v>
      </c>
      <c r="CQ32" s="5" t="e">
        <f t="shared" si="49"/>
        <v>#DIV/0!</v>
      </c>
      <c r="CR32" s="5">
        <f t="shared" si="50"/>
        <v>1414160.9222000004</v>
      </c>
      <c r="CS32" s="5" t="e">
        <f t="shared" si="51"/>
        <v>#DIV/0!</v>
      </c>
      <c r="CT32" s="6">
        <f>应产率辅助表!P29</f>
        <v>0</v>
      </c>
      <c r="CU32" s="6">
        <f>应产率辅助表!P58</f>
        <v>0</v>
      </c>
      <c r="CV32" s="7">
        <f t="shared" si="52"/>
        <v>0</v>
      </c>
      <c r="CW32" s="5">
        <f>+产品销售数量!AC29*1.08+产品销售数量!AH29*1+产品销售数量!AG29*1.45+产品销售数量!BG29*0.834+产品销售数量!CU29*0.834+产品销售数量!DM29*1.19</f>
        <v>3070.5099999999998</v>
      </c>
      <c r="CX32" s="5" t="e">
        <f t="shared" si="53"/>
        <v>#DIV/0!</v>
      </c>
      <c r="CY32" s="5">
        <f t="shared" si="54"/>
        <v>135716.54199999999</v>
      </c>
      <c r="CZ32" s="5" t="e">
        <f t="shared" si="55"/>
        <v>#DIV/0!</v>
      </c>
      <c r="DA32" s="6">
        <f>应产率辅助表!Q29</f>
        <v>0</v>
      </c>
      <c r="DB32" s="6">
        <f>应产率辅助表!Q58</f>
        <v>0</v>
      </c>
      <c r="DC32" s="7" t="e">
        <f t="shared" si="56"/>
        <v>#DIV/0!</v>
      </c>
      <c r="DD32" s="5">
        <f>产品销售数量!AJ29*2+产品销售数量!AK29*1.38+产品销售数量!AL29+产品销售数量!BT29*1.38+产品销售数量!BU29*2</f>
        <v>0</v>
      </c>
      <c r="DE32" s="5" t="e">
        <f t="shared" si="57"/>
        <v>#DIV/0!</v>
      </c>
      <c r="DF32" s="5">
        <f t="shared" si="58"/>
        <v>0</v>
      </c>
      <c r="DG32" s="5" t="e">
        <f t="shared" si="59"/>
        <v>#DIV/0!</v>
      </c>
      <c r="DH32" s="6">
        <f>应产率辅助表!R29</f>
        <v>0</v>
      </c>
      <c r="DI32" s="6">
        <f>应产率辅助表!R58</f>
        <v>0</v>
      </c>
      <c r="DJ32" s="7" t="e">
        <f t="shared" si="60"/>
        <v>#DIV/0!</v>
      </c>
      <c r="DK32" s="5">
        <f>+产品销售数量!AM29*1.375+产品销售数量!AN29+产品销售数量!AO29*0.75+产品销售数量!BR29*0.57</f>
        <v>1901.35</v>
      </c>
      <c r="DL32" s="5" t="e">
        <f t="shared" si="61"/>
        <v>#DIV/0!</v>
      </c>
      <c r="DM32" s="5">
        <f t="shared" si="62"/>
        <v>84039.67</v>
      </c>
      <c r="DN32" s="5" t="e">
        <f t="shared" si="63"/>
        <v>#DIV/0!</v>
      </c>
      <c r="DO32" s="6">
        <f>应产率辅助表!S29+应产率辅助表!T29</f>
        <v>0</v>
      </c>
      <c r="DP32" s="6">
        <f>应产率辅助表!S58+应产率辅助表!T58</f>
        <v>0</v>
      </c>
      <c r="DQ32" s="7" t="e">
        <f t="shared" si="64"/>
        <v>#DIV/0!</v>
      </c>
      <c r="DR32" s="5" t="e">
        <f>+产品销售数量!Y29+产品销售数量!X29+产品销售数量!AB29*3+产品销售数量!CG29*3+产品销售数量!CJ29*2+产品销售数量!BN29*2+产品销售数量!CR29+产品销售数量!CS29+产品销售数量!CT29+产品销售数量!BM29+产品销售数量!#REF!*3+产品销售数量!AA29+产品销售数量!CF29</f>
        <v>#REF!</v>
      </c>
      <c r="DS32" s="5" t="e">
        <f t="shared" si="65"/>
        <v>#REF!</v>
      </c>
      <c r="DT32" s="5" t="e">
        <f t="shared" si="66"/>
        <v>#REF!</v>
      </c>
      <c r="DU32" s="5" t="e">
        <f t="shared" si="67"/>
        <v>#DIV/0!</v>
      </c>
      <c r="DV32" s="6">
        <f>应产率辅助表!U29</f>
        <v>0</v>
      </c>
      <c r="DW32" s="6">
        <f>应产率辅助表!U58</f>
        <v>0</v>
      </c>
      <c r="DX32" s="7" t="e">
        <f t="shared" si="68"/>
        <v>#DIV/0!</v>
      </c>
      <c r="DY32" s="5" t="e">
        <f>+产品销售数量!E29+产品销售数量!F29*2+产品销售数量!G29+产品销售数量!#REF!+产品销售数量!CY29+产品销售数量!DE29+产品销售数量!DH29</f>
        <v>#REF!</v>
      </c>
      <c r="DZ32" s="5" t="e">
        <f t="shared" si="69"/>
        <v>#REF!</v>
      </c>
      <c r="EA32" s="5" t="e">
        <f t="shared" si="70"/>
        <v>#REF!</v>
      </c>
      <c r="EB32" s="5" t="e">
        <f t="shared" si="71"/>
        <v>#DIV/0!</v>
      </c>
      <c r="EC32" s="6">
        <f>应产率辅助表!V29</f>
        <v>0</v>
      </c>
      <c r="ED32" s="6">
        <f>应产率辅助表!V58</f>
        <v>0</v>
      </c>
      <c r="EE32" s="7" t="e">
        <f t="shared" si="72"/>
        <v>#DIV/0!</v>
      </c>
      <c r="EF32" s="5">
        <f>+产品销售数量!AS29</f>
        <v>140</v>
      </c>
      <c r="EG32" s="5">
        <f t="shared" si="73"/>
        <v>0</v>
      </c>
      <c r="EH32" s="5">
        <f t="shared" si="74"/>
        <v>140</v>
      </c>
      <c r="EI32" s="5" t="e">
        <f t="shared" si="75"/>
        <v>#DIV/0!</v>
      </c>
      <c r="EJ32" s="6">
        <f>应产率辅助表!W29</f>
        <v>0</v>
      </c>
      <c r="EK32" s="6">
        <f>应产率辅助表!W58</f>
        <v>0</v>
      </c>
      <c r="EL32" s="7" t="e">
        <f t="shared" si="76"/>
        <v>#DIV/0!</v>
      </c>
      <c r="EM32" s="5">
        <f>+产品销售数量!AD29+产品销售数量!AE29+产品销售数量!AF29+产品销售数量!AG29+产品销售数量!AH29+产品销售数量!AI29+产品销售数量!AJ29+产品销售数量!AK29+产品销售数量!AL29+产品销售数量!AM29+产品销售数量!AN29+产品销售数量!AO29+产品销售数量!AQ29+产品销售数量!AP29+产品销售数量!AR29+产品销售数量!BR29+产品销售数量!AS29+产品销售数量!CA29+产品销售数量!BE29+产品销售数量!BF29</f>
        <v>31449</v>
      </c>
      <c r="EN32" s="5">
        <f t="shared" si="77"/>
        <v>0</v>
      </c>
      <c r="EO32" s="5">
        <f t="shared" si="78"/>
        <v>31449</v>
      </c>
      <c r="EP32" s="5" t="e">
        <f t="shared" si="79"/>
        <v>#DIV/0!</v>
      </c>
      <c r="EQ32" s="6">
        <f>应产率辅助表!X29</f>
        <v>0</v>
      </c>
      <c r="ER32" s="6">
        <f>应产率辅助表!X58</f>
        <v>0</v>
      </c>
      <c r="ES32" s="7" t="e">
        <f t="shared" si="80"/>
        <v>#DIV/0!</v>
      </c>
      <c r="ET32" s="5">
        <f>+产品销售数量!AQ29+产品销售数量!AP29+产品销售数量!AR29+产品销售数量!BR29+产品销售数量!AS29+产品销售数量!CA29+产品销售数量!BE29+产品销售数量!BF29</f>
        <v>3083</v>
      </c>
      <c r="EU32" s="5">
        <f t="shared" si="81"/>
        <v>0</v>
      </c>
      <c r="EV32" s="5">
        <f t="shared" si="82"/>
        <v>3083</v>
      </c>
      <c r="EW32" s="5" t="e">
        <f t="shared" si="83"/>
        <v>#DIV/0!</v>
      </c>
      <c r="EX32" s="6">
        <f>应产率辅助表!Y29</f>
        <v>0</v>
      </c>
      <c r="EY32" s="6">
        <f>应产率辅助表!Y58</f>
        <v>0</v>
      </c>
      <c r="EZ32" s="7" t="e">
        <f t="shared" si="84"/>
        <v>#DIV/0!</v>
      </c>
      <c r="FA32" s="5">
        <f>产品销售数量!H29</f>
        <v>2374</v>
      </c>
      <c r="FB32" s="5">
        <f t="shared" si="85"/>
        <v>0</v>
      </c>
      <c r="FC32" s="5">
        <f t="shared" si="86"/>
        <v>2374</v>
      </c>
      <c r="FD32" s="5" t="e">
        <f t="shared" si="87"/>
        <v>#DIV/0!</v>
      </c>
      <c r="FE32" s="6">
        <f>应产率辅助表!Z29</f>
        <v>0</v>
      </c>
      <c r="FF32" s="6">
        <f>应产率辅助表!Z58</f>
        <v>0</v>
      </c>
      <c r="FG32" s="7" t="e">
        <f t="shared" si="88"/>
        <v>#DIV/0!</v>
      </c>
      <c r="FH32" s="5">
        <f>+产品销售数量!J29+产品销售数量!K29+产品销售数量!L29+产品销售数量!M29+产品销售数量!O29+产品销售数量!P29+产品销售数量!S29+产品销售数量!T29+产品销售数量!BQ29+产品销售数量!BS29+产品销售数量!CC29+产品销售数量!CH29+产品销售数量!CI29+产品销售数量!CJ29+产品销售数量!CK29+产品销售数量!CL29+产品销售数量!BL29+产品销售数量!AU29++产品销售数量!AW29+产品销售数量!BQ29+产品销售数量!CN29+产品销售数量!CO29+产品销售数量!CQ29+产品销售数量!CX29+产品销售数量!CY29+产品销售数量!CM29</f>
        <v>64625</v>
      </c>
      <c r="FI32" s="5">
        <f t="shared" si="89"/>
        <v>0</v>
      </c>
      <c r="FJ32" s="5">
        <f t="shared" si="90"/>
        <v>64625</v>
      </c>
      <c r="FK32" s="5" t="e">
        <f t="shared" si="91"/>
        <v>#DIV/0!</v>
      </c>
      <c r="FL32" s="6">
        <f>应产率辅助表!AA29</f>
        <v>0</v>
      </c>
      <c r="FM32" s="6">
        <f>应产率辅助表!AA58</f>
        <v>0</v>
      </c>
      <c r="FN32" s="7" t="e">
        <f t="shared" si="92"/>
        <v>#DIV/0!</v>
      </c>
      <c r="FO32" s="5">
        <f>+产品销售数量!R29+产品销售数量!CE29</f>
        <v>0</v>
      </c>
      <c r="FP32" s="5" t="e">
        <f t="shared" si="93"/>
        <v>#DIV/0!</v>
      </c>
      <c r="FQ32" s="5">
        <f t="shared" si="94"/>
        <v>0</v>
      </c>
      <c r="FR32" s="5" t="e">
        <f t="shared" si="95"/>
        <v>#DIV/0!</v>
      </c>
      <c r="FS32" s="6">
        <f>应产率辅助表!AB29</f>
        <v>0</v>
      </c>
      <c r="FT32" s="5">
        <f t="shared" si="96"/>
        <v>0</v>
      </c>
      <c r="FU32" s="6">
        <f>应产率辅助表!AB58</f>
        <v>0</v>
      </c>
      <c r="FV32" s="7" t="e">
        <f t="shared" si="97"/>
        <v>#DIV/0!</v>
      </c>
      <c r="FW32" s="5" t="e">
        <f t="shared" si="98"/>
        <v>#DIV/0!</v>
      </c>
      <c r="FX32" s="6">
        <f>应产率辅助表!AC29</f>
        <v>0</v>
      </c>
      <c r="FY32" s="6">
        <f>应产率辅助表!AC58</f>
        <v>0</v>
      </c>
      <c r="FZ32" s="7" t="e">
        <f t="shared" si="99"/>
        <v>#DIV/0!</v>
      </c>
      <c r="GA32" s="5" t="e">
        <f t="shared" si="100"/>
        <v>#DIV/0!</v>
      </c>
      <c r="GB32" s="6">
        <f>应产率辅助表!AD29</f>
        <v>0</v>
      </c>
      <c r="GC32" s="6">
        <f>应产率辅助表!AD58</f>
        <v>0</v>
      </c>
      <c r="GD32" s="7" t="e">
        <f t="shared" si="101"/>
        <v>#DIV/0!</v>
      </c>
      <c r="GE32" s="6">
        <f>应产率辅助表!AE29</f>
        <v>0</v>
      </c>
      <c r="GF32" s="6">
        <f>应产率辅助表!AE58</f>
        <v>0</v>
      </c>
      <c r="GG32" s="7" t="e">
        <f t="shared" si="102"/>
        <v>#DIV/0!</v>
      </c>
      <c r="GH32" s="6">
        <f>应产率辅助表!AF29</f>
        <v>0</v>
      </c>
      <c r="GI32" s="6">
        <f>应产率辅助表!AF58</f>
        <v>0</v>
      </c>
      <c r="GJ32" s="7" t="e">
        <f t="shared" si="103"/>
        <v>#DIV/0!</v>
      </c>
      <c r="GK32" s="6">
        <f>应产率辅助表!AG29</f>
        <v>0</v>
      </c>
      <c r="GL32" s="6">
        <f>应产率辅助表!AG58</f>
        <v>0</v>
      </c>
      <c r="GM32" s="7" t="e">
        <f t="shared" si="104"/>
        <v>#DIV/0!</v>
      </c>
      <c r="GN32" s="6"/>
      <c r="GO32" s="6">
        <f>应产率辅助表!AH29</f>
        <v>0</v>
      </c>
      <c r="GP32" s="6">
        <f>应产率辅助表!AH58</f>
        <v>0</v>
      </c>
      <c r="GQ32" s="7" t="e">
        <f t="shared" si="105"/>
        <v>#DIV/0!</v>
      </c>
      <c r="GR32" s="6">
        <f>应产率辅助表!AI29</f>
        <v>0</v>
      </c>
      <c r="GS32" s="6">
        <f>应产率辅助表!AI58</f>
        <v>0</v>
      </c>
      <c r="GT32" s="7" t="e">
        <f t="shared" si="106"/>
        <v>#DIV/0!</v>
      </c>
      <c r="GU32" s="72">
        <f>应产率辅助表!AJ29</f>
        <v>0</v>
      </c>
      <c r="GV32" s="72">
        <f>应产率辅助表!AJ58</f>
        <v>0</v>
      </c>
      <c r="GW32" s="7"/>
      <c r="GX32" s="72">
        <f>应产率辅助表!AK29</f>
        <v>0</v>
      </c>
      <c r="GY32" s="72">
        <f>应产率辅助表!AK58</f>
        <v>0</v>
      </c>
      <c r="GZ32" s="7" t="e">
        <f t="shared" si="108"/>
        <v>#DIV/0!</v>
      </c>
      <c r="HA32" s="72">
        <f>应产率辅助表!AL29</f>
        <v>0</v>
      </c>
      <c r="HB32" s="72">
        <f>应产率辅助表!AL58</f>
        <v>0</v>
      </c>
      <c r="HC32" s="7" t="e">
        <f t="shared" si="109"/>
        <v>#DIV/0!</v>
      </c>
      <c r="HD32" s="72">
        <f>应产率辅助表!AM29</f>
        <v>0</v>
      </c>
      <c r="HE32" s="72">
        <f>应产率辅助表!AM58</f>
        <v>0</v>
      </c>
      <c r="HF32" s="7" t="e">
        <f t="shared" si="110"/>
        <v>#DIV/0!</v>
      </c>
      <c r="HG32" s="72">
        <f>应产率辅助表!AN29</f>
        <v>0</v>
      </c>
      <c r="HH32" s="72">
        <f>应产率辅助表!AN58</f>
        <v>0</v>
      </c>
      <c r="HI32" s="7" t="e">
        <f t="shared" si="111"/>
        <v>#DIV/0!</v>
      </c>
      <c r="HJ32" s="72">
        <f>应产率辅助表!AO29</f>
        <v>0</v>
      </c>
      <c r="HK32" s="72">
        <f>应产率辅助表!AO58</f>
        <v>0</v>
      </c>
      <c r="HL32" s="7" t="e">
        <f t="shared" si="112"/>
        <v>#DIV/0!</v>
      </c>
      <c r="HM32" s="72">
        <f>应产率辅助表!AP29</f>
        <v>0</v>
      </c>
      <c r="HN32" s="72">
        <f>应产率辅助表!AP58</f>
        <v>0</v>
      </c>
      <c r="HO32" s="7" t="e">
        <f t="shared" si="113"/>
        <v>#DIV/0!</v>
      </c>
      <c r="HP32" s="6"/>
      <c r="HQ32" s="6"/>
      <c r="HR32" s="5" t="e">
        <f t="shared" si="115"/>
        <v>#DIV/0!</v>
      </c>
      <c r="HS32" s="6">
        <v>0</v>
      </c>
      <c r="HT32" s="6">
        <v>0</v>
      </c>
      <c r="HU32" s="5" t="e">
        <f t="shared" si="116"/>
        <v>#DIV/0!</v>
      </c>
      <c r="HV32" s="6">
        <v>0</v>
      </c>
      <c r="HW32" s="6">
        <v>0</v>
      </c>
      <c r="HX32" s="5" t="e">
        <f t="shared" si="117"/>
        <v>#DIV/0!</v>
      </c>
      <c r="HY32" s="5"/>
      <c r="HZ32" s="5"/>
      <c r="IA32" s="5" t="e">
        <f t="shared" si="166"/>
        <v>#DIV/0!</v>
      </c>
      <c r="IB32" s="5">
        <f t="shared" si="118"/>
        <v>0</v>
      </c>
      <c r="IC32" s="5">
        <f t="shared" si="118"/>
        <v>0</v>
      </c>
      <c r="ID32" s="5" t="e">
        <f t="shared" si="119"/>
        <v>#DIV/0!</v>
      </c>
      <c r="IE32" s="7">
        <f t="shared" si="120"/>
        <v>0</v>
      </c>
      <c r="IF32" s="7">
        <f t="shared" si="120"/>
        <v>0</v>
      </c>
      <c r="IG32" s="5" t="e">
        <f t="shared" si="121"/>
        <v>#DIV/0!</v>
      </c>
      <c r="IH32" s="5" t="e">
        <f t="shared" si="122"/>
        <v>#DIV/0!</v>
      </c>
      <c r="II32" s="5" t="e">
        <f t="shared" si="123"/>
        <v>#DIV/0!</v>
      </c>
      <c r="IJ32" s="8" t="e">
        <f t="shared" si="124"/>
        <v>#DIV/0!</v>
      </c>
      <c r="IK32" s="8" t="e">
        <f t="shared" si="125"/>
        <v>#DIV/0!</v>
      </c>
      <c r="IL32" s="8" t="e">
        <f t="shared" si="126"/>
        <v>#DIV/0!</v>
      </c>
      <c r="IM32" s="8" t="e">
        <f t="shared" si="127"/>
        <v>#DIV/0!</v>
      </c>
      <c r="IN32" s="8" t="e">
        <f t="shared" si="128"/>
        <v>#DIV/0!</v>
      </c>
      <c r="IO32" s="8" t="e">
        <f t="shared" si="129"/>
        <v>#DIV/0!</v>
      </c>
      <c r="IP32" s="8" t="e">
        <f t="shared" si="130"/>
        <v>#DIV/0!</v>
      </c>
      <c r="IQ32" s="8" t="e">
        <f t="shared" si="131"/>
        <v>#DIV/0!</v>
      </c>
      <c r="IR32" s="8" t="e">
        <f t="shared" si="132"/>
        <v>#DIV/0!</v>
      </c>
      <c r="IS32" s="8" t="e">
        <f t="shared" si="133"/>
        <v>#DIV/0!</v>
      </c>
      <c r="IT32" s="8" t="e">
        <f t="shared" si="134"/>
        <v>#DIV/0!</v>
      </c>
      <c r="IU32" s="8" t="e">
        <f t="shared" si="135"/>
        <v>#DIV/0!</v>
      </c>
      <c r="IV32" s="8" t="e">
        <f t="shared" si="136"/>
        <v>#DIV/0!</v>
      </c>
      <c r="IW32" s="8" t="e">
        <f t="shared" si="137"/>
        <v>#DIV/0!</v>
      </c>
      <c r="IX32" s="8" t="e">
        <f t="shared" si="138"/>
        <v>#DIV/0!</v>
      </c>
      <c r="IY32" s="8" t="e">
        <f t="shared" si="139"/>
        <v>#DIV/0!</v>
      </c>
      <c r="IZ32" s="8" t="e">
        <f t="shared" si="140"/>
        <v>#DIV/0!</v>
      </c>
      <c r="JA32" s="8" t="e">
        <f t="shared" si="141"/>
        <v>#DIV/0!</v>
      </c>
      <c r="JB32" s="8" t="e">
        <f t="shared" si="142"/>
        <v>#DIV/0!</v>
      </c>
      <c r="JC32" s="8" t="e">
        <f t="shared" si="143"/>
        <v>#DIV/0!</v>
      </c>
      <c r="JD32" s="8" t="e">
        <f t="shared" si="144"/>
        <v>#DIV/0!</v>
      </c>
      <c r="JE32" s="8" t="e">
        <f t="shared" si="145"/>
        <v>#DIV/0!</v>
      </c>
      <c r="JF32" s="8" t="e">
        <f t="shared" si="146"/>
        <v>#DIV/0!</v>
      </c>
      <c r="JG32" s="8" t="e">
        <f t="shared" si="147"/>
        <v>#DIV/0!</v>
      </c>
      <c r="JH32" s="8" t="e">
        <f t="shared" si="148"/>
        <v>#DIV/0!</v>
      </c>
      <c r="JI32" s="8" t="e">
        <f t="shared" si="149"/>
        <v>#DIV/0!</v>
      </c>
      <c r="JJ32" s="8" t="e">
        <f t="shared" si="150"/>
        <v>#DIV/0!</v>
      </c>
      <c r="JK32" s="8" t="e">
        <f t="shared" si="151"/>
        <v>#DIV/0!</v>
      </c>
      <c r="JL32" s="8" t="e">
        <f t="shared" si="152"/>
        <v>#DIV/0!</v>
      </c>
      <c r="JM32" s="8" t="e">
        <f t="shared" si="153"/>
        <v>#DIV/0!</v>
      </c>
      <c r="JN32" s="8" t="e">
        <f t="shared" si="154"/>
        <v>#DIV/0!</v>
      </c>
      <c r="JO32" s="8" t="e">
        <f t="shared" si="155"/>
        <v>#DIV/0!</v>
      </c>
      <c r="JP32" s="9" t="e">
        <f t="shared" si="156"/>
        <v>#DIV/0!</v>
      </c>
      <c r="JQ32" s="9" t="e">
        <f t="shared" si="157"/>
        <v>#DIV/0!</v>
      </c>
      <c r="JR32" s="9" t="e">
        <f t="shared" si="158"/>
        <v>#DIV/0!</v>
      </c>
      <c r="JS32" s="9" t="e">
        <f t="shared" si="159"/>
        <v>#DIV/0!</v>
      </c>
      <c r="JT32" s="9" t="e">
        <f t="shared" si="160"/>
        <v>#DIV/0!</v>
      </c>
      <c r="JU32" s="9" t="e">
        <f t="shared" si="161"/>
        <v>#DIV/0!</v>
      </c>
      <c r="JV32" s="9" t="e">
        <f t="shared" si="162"/>
        <v>#DIV/0!</v>
      </c>
      <c r="JW32" s="9" t="e">
        <f t="shared" si="163"/>
        <v>#DIV/0!</v>
      </c>
    </row>
    <row r="33" spans="1:277" x14ac:dyDescent="0.15">
      <c r="D33" s="102" t="s">
        <v>167</v>
      </c>
      <c r="E33" s="63"/>
      <c r="AK33" s="12"/>
      <c r="AL33" s="13"/>
      <c r="AM33" s="13"/>
      <c r="AN33" s="13"/>
      <c r="AO33" s="13"/>
      <c r="DY33" s="64"/>
      <c r="GE33" s="60"/>
      <c r="GF33" s="60"/>
      <c r="IJ33" s="66"/>
      <c r="IK33" s="66"/>
      <c r="IL33" s="66"/>
      <c r="IM33" s="66"/>
      <c r="IN33" s="66"/>
      <c r="IO33" s="66"/>
      <c r="IP33" s="66"/>
      <c r="IQ33" s="66"/>
      <c r="IR33" s="66"/>
      <c r="IS33" s="66"/>
      <c r="IT33" s="66"/>
      <c r="IU33" s="66"/>
      <c r="IV33" s="66"/>
      <c r="IW33" s="66"/>
      <c r="IX33" s="66"/>
      <c r="IY33" s="66"/>
      <c r="IZ33" s="66"/>
      <c r="JA33" s="66"/>
      <c r="JB33" s="66"/>
      <c r="JC33" s="66"/>
      <c r="JD33" s="66"/>
      <c r="JE33" s="66"/>
      <c r="JF33" s="66"/>
      <c r="JG33" s="66"/>
      <c r="JH33" s="66"/>
      <c r="JI33" s="66"/>
      <c r="JJ33" s="66"/>
      <c r="JK33" s="66"/>
      <c r="JL33" s="66"/>
      <c r="JM33" s="66"/>
      <c r="JN33" s="66"/>
      <c r="JO33" s="66"/>
    </row>
    <row r="34" spans="1:277" s="60" customFormat="1" ht="14.25" x14ac:dyDescent="0.15">
      <c r="A34" s="67"/>
      <c r="B34" s="67"/>
      <c r="C34" s="67"/>
      <c r="D34" s="67"/>
      <c r="E34" s="67"/>
      <c r="F34" s="67" t="s">
        <v>332</v>
      </c>
      <c r="G34" s="67" t="s">
        <v>168</v>
      </c>
      <c r="H34" s="24" t="str">
        <f>F34&amp;G34</f>
        <v>郑州西悦城细薯条</v>
      </c>
      <c r="I34" s="67">
        <f>VLOOKUP(H34,盘点表!A$1:O$65536,15,0)</f>
        <v>-26</v>
      </c>
      <c r="J34" s="13"/>
      <c r="K34" s="13"/>
      <c r="L34" s="13"/>
      <c r="M34" s="67" t="s">
        <v>332</v>
      </c>
      <c r="N34" s="67" t="s">
        <v>4</v>
      </c>
      <c r="O34" s="12" t="str">
        <f>M34&amp;N34</f>
        <v>郑州西悦城玉米粒</v>
      </c>
      <c r="P34" s="67">
        <f>VLOOKUP(O34,盘点表!A$1:O$65536,15,0)</f>
        <v>-4</v>
      </c>
      <c r="Q34" s="13"/>
      <c r="R34" s="13"/>
      <c r="S34" s="13"/>
      <c r="T34" s="67" t="s">
        <v>332</v>
      </c>
      <c r="U34" s="67" t="s">
        <v>5</v>
      </c>
      <c r="V34" s="12" t="str">
        <f>T34&amp;U34</f>
        <v>郑州西悦城山东肉丁</v>
      </c>
      <c r="W34" s="67">
        <f>VLOOKUP(V34,盘点表!A$1:O$65536,15,0)</f>
        <v>198.9</v>
      </c>
      <c r="X34" s="13"/>
      <c r="Y34" s="13"/>
      <c r="Z34" s="13"/>
      <c r="AA34" s="67" t="s">
        <v>332</v>
      </c>
      <c r="AB34" s="67" t="s">
        <v>169</v>
      </c>
      <c r="AC34" s="12" t="str">
        <f>AA34&amp;AB34</f>
        <v>郑州西悦城门店生菜</v>
      </c>
      <c r="AD34" s="88">
        <f>VLOOKUP(AC34,盘点表!A$1:O$65536,15,0)</f>
        <v>9060</v>
      </c>
      <c r="AE34" s="13"/>
      <c r="AF34" s="13"/>
      <c r="AG34" s="13"/>
      <c r="AH34" s="67" t="s">
        <v>332</v>
      </c>
      <c r="AI34" s="24" t="s">
        <v>170</v>
      </c>
      <c r="AJ34" s="12" t="str">
        <f>AH34&amp;AI34</f>
        <v>郑州西悦城25号专用粉</v>
      </c>
      <c r="AK34" s="24">
        <f>VLOOKUP(AJ34,盘点表!A$1:O$65536,15,0)</f>
        <v>156025.85</v>
      </c>
      <c r="AL34" s="24"/>
      <c r="AO34" s="67" t="s">
        <v>332</v>
      </c>
      <c r="AP34" s="24" t="s">
        <v>8</v>
      </c>
      <c r="AQ34" s="12" t="str">
        <f>AO34&amp;AP34</f>
        <v>郑州西悦城川香酱</v>
      </c>
      <c r="AR34" s="24">
        <f>VLOOKUP(AQ34,盘点表!A$1:O$65536,15,0)</f>
        <v>266.39999999999998</v>
      </c>
      <c r="AS34" s="24"/>
      <c r="AW34" s="67" t="s">
        <v>332</v>
      </c>
      <c r="AX34" s="24" t="s">
        <v>9</v>
      </c>
      <c r="AY34" s="12" t="str">
        <f>AW34&amp;AX34</f>
        <v>郑州西悦城蜜汁酱</v>
      </c>
      <c r="AZ34" s="24">
        <f>VLOOKUP(AY34,盘点表!A$1:O$65536,15,0)</f>
        <v>881.6</v>
      </c>
      <c r="BD34" s="67" t="s">
        <v>332</v>
      </c>
      <c r="BE34" s="24" t="s">
        <v>171</v>
      </c>
      <c r="BF34" s="12" t="str">
        <f>BD34&amp;BE34</f>
        <v>郑州西悦城中辣味粉</v>
      </c>
      <c r="BG34" s="101">
        <f>VLOOKUP(BF34,盘点表!A$1:O$65536,15,0)</f>
        <v>54.4</v>
      </c>
      <c r="BK34" s="67" t="s">
        <v>332</v>
      </c>
      <c r="BL34" s="24" t="s">
        <v>63</v>
      </c>
      <c r="BM34" s="12" t="str">
        <f t="shared" ref="BM34:BM41" si="176">BK34&amp;BL34</f>
        <v>郑州西悦城鸡排粉</v>
      </c>
      <c r="BN34" s="24">
        <f>VLOOKUP(BM34,盘点表!A$1:O$65536,15,0)</f>
        <v>469.5</v>
      </c>
      <c r="BR34" s="67" t="s">
        <v>332</v>
      </c>
      <c r="BS34" s="24" t="s">
        <v>172</v>
      </c>
      <c r="BT34" s="12" t="str">
        <f t="shared" ref="BT34:BT41" si="177">BR34&amp;BS34</f>
        <v>郑州西悦城亿霖袋装沙司（后台）</v>
      </c>
      <c r="BU34" s="101">
        <f>VLOOKUP(BT34,盘点表!A$1:O$65536,15,0)</f>
        <v>468</v>
      </c>
      <c r="BY34" s="67" t="s">
        <v>332</v>
      </c>
      <c r="BZ34" s="24" t="s">
        <v>173</v>
      </c>
      <c r="CA34" s="12" t="str">
        <f t="shared" ref="CA34:CA41" si="178">BY34&amp;BZ34</f>
        <v>郑州西悦城沙拉酱</v>
      </c>
      <c r="CB34" s="24">
        <f>VLOOKUP(CA34,盘点表!A$1:O$65536,15,0)</f>
        <v>392.5</v>
      </c>
      <c r="CF34" s="67" t="s">
        <v>332</v>
      </c>
      <c r="CG34" s="24" t="s">
        <v>174</v>
      </c>
      <c r="CH34" s="12" t="str">
        <f t="shared" ref="CH34:CH62" si="179">CF34&amp;CG34</f>
        <v>郑州西悦城BBQ烤腌制粉</v>
      </c>
      <c r="CI34" s="24">
        <f>VLOOKUP(CH34,盘点表!A$1:O$65536,15,0)</f>
        <v>1347.6</v>
      </c>
      <c r="CM34" s="67" t="s">
        <v>332</v>
      </c>
      <c r="CN34" s="30" t="s">
        <v>66</v>
      </c>
      <c r="CO34" s="12" t="str">
        <f t="shared" ref="CO34:CO62" si="180">CM34&amp;CN34</f>
        <v>郑州西悦城可乐糖浆</v>
      </c>
      <c r="CP34" s="24">
        <f>VLOOKUP(CO34,盘点表!A$1:O$65536,15,0)</f>
        <v>618.41</v>
      </c>
      <c r="CT34" s="68" t="s">
        <v>332</v>
      </c>
      <c r="CU34" s="24" t="s">
        <v>67</v>
      </c>
      <c r="CV34" s="12" t="str">
        <f t="shared" ref="CV34:CV62" si="181">CT34&amp;CU34</f>
        <v>郑州西悦城七喜糖浆</v>
      </c>
      <c r="CW34" s="24">
        <f>VLOOKUP(CV34,盘点表!A$1:O$65536,15,0)</f>
        <v>-920</v>
      </c>
      <c r="DA34" s="68"/>
      <c r="DB34" s="24"/>
      <c r="DC34" s="12"/>
      <c r="DD34" s="24"/>
      <c r="DH34" s="67" t="s">
        <v>332</v>
      </c>
      <c r="DI34" s="24" t="s">
        <v>590</v>
      </c>
      <c r="DJ34" s="12" t="str">
        <f t="shared" ref="DJ34:DJ62" si="182">DH34&amp;DI34</f>
        <v>郑州西悦城橙C原材料</v>
      </c>
      <c r="DK34" s="24">
        <f>VLOOKUP(DJ34,盘点表!A$1:O$65536,15,0)</f>
        <v>329.4</v>
      </c>
      <c r="DL34" s="103"/>
      <c r="DO34" s="67"/>
      <c r="DP34" s="24"/>
      <c r="DQ34" s="12"/>
      <c r="DR34" s="24"/>
      <c r="DV34" s="67" t="s">
        <v>332</v>
      </c>
      <c r="DW34" s="24" t="s">
        <v>175</v>
      </c>
      <c r="DX34" s="12" t="str">
        <f t="shared" ref="DX34:DX62" si="183">DV34&amp;DW34</f>
        <v>郑州西悦城蕃茄沙司（前台）</v>
      </c>
      <c r="DY34" s="24">
        <f>VLOOKUP(DX34,盘点表!A$1:O$65536,15,0)</f>
        <v>-82</v>
      </c>
      <c r="EC34" s="67" t="s">
        <v>332</v>
      </c>
      <c r="ED34" s="24" t="s">
        <v>72</v>
      </c>
      <c r="EE34" s="12" t="str">
        <f t="shared" ref="EE34:EE62" si="184">EC34&amp;ED34</f>
        <v>郑州西悦城糖包</v>
      </c>
      <c r="EF34" s="24">
        <f>VLOOKUP(EE34,盘点表!A$1:O$65536,15,0)</f>
        <v>0</v>
      </c>
      <c r="EJ34" s="67" t="s">
        <v>332</v>
      </c>
      <c r="EK34" s="24" t="s">
        <v>73</v>
      </c>
      <c r="EL34" s="12" t="str">
        <f t="shared" ref="EL34:EL62" si="185">EJ34&amp;EK34</f>
        <v>郑州西悦城吸管</v>
      </c>
      <c r="EM34" s="24" t="e">
        <f>VLOOKUP(EL34,盘点表!A$1:O$65536,15,0)</f>
        <v>#N/A</v>
      </c>
      <c r="EQ34" s="67" t="s">
        <v>332</v>
      </c>
      <c r="ER34" s="24" t="s">
        <v>176</v>
      </c>
      <c r="ES34" s="12" t="str">
        <f t="shared" ref="ES34:ES62" si="186">EQ34&amp;ER34</f>
        <v>郑州西悦城搅拌棒</v>
      </c>
      <c r="ET34" s="24" t="e">
        <f>VLOOKUP(ES34,盘点表!A$1:O$65536,15,0)</f>
        <v>#N/A</v>
      </c>
      <c r="EU34" s="24"/>
      <c r="EV34" s="24"/>
      <c r="EW34" s="24"/>
      <c r="EX34" s="67" t="s">
        <v>332</v>
      </c>
      <c r="EY34" s="24" t="s">
        <v>25</v>
      </c>
      <c r="EZ34" s="12" t="str">
        <f t="shared" ref="EZ34:EZ62" si="187">EX34&amp;EY34</f>
        <v>郑州西悦城小勺</v>
      </c>
      <c r="FA34" s="24" t="e">
        <f>VLOOKUP(EZ34,盘点表!A$1:O$65536,15,0)</f>
        <v>#N/A</v>
      </c>
      <c r="FE34" s="67" t="s">
        <v>332</v>
      </c>
      <c r="FF34" s="24" t="s">
        <v>26</v>
      </c>
      <c r="FG34" s="64" t="str">
        <f t="shared" ref="FG34:FG62" si="188">FE34&amp;FF34</f>
        <v>郑州西悦城汉堡纸</v>
      </c>
      <c r="FH34" s="24">
        <f>VLOOKUP(FG34,盘点表!A$1:O$65536,15,0)</f>
        <v>-48</v>
      </c>
      <c r="FS34" s="67" t="s">
        <v>332</v>
      </c>
      <c r="FT34" s="24" t="s">
        <v>75</v>
      </c>
      <c r="FU34" s="64" t="str">
        <f t="shared" ref="FU34:FU62" si="189">FS34&amp;FT34</f>
        <v>郑州西悦城纸巾</v>
      </c>
      <c r="FV34" s="24">
        <f>VLOOKUP(FU34,盘点表!A$1:O$65536,15,0)</f>
        <v>-420</v>
      </c>
      <c r="FX34" s="67" t="s">
        <v>332</v>
      </c>
      <c r="FY34" s="24" t="s">
        <v>29</v>
      </c>
      <c r="FZ34" s="64" t="str">
        <f t="shared" ref="FZ34:FZ62" si="190">FX34&amp;FY34</f>
        <v>郑州西悦城托盘纸</v>
      </c>
      <c r="GA34" s="24">
        <f>VLOOKUP(FZ34,盘点表!A$1:O$65536,15,0)</f>
        <v>0</v>
      </c>
      <c r="GB34" s="67" t="s">
        <v>332</v>
      </c>
      <c r="GC34" s="24" t="s">
        <v>30</v>
      </c>
      <c r="GD34" s="64" t="str">
        <f t="shared" ref="GD34:GD62" si="191">GB34&amp;GC34</f>
        <v>郑州西悦城起酥油</v>
      </c>
      <c r="GE34" s="24">
        <f>VLOOKUP(GD34,盘点表!A$1:O$65536,15,0)</f>
        <v>-21</v>
      </c>
      <c r="GF34" s="24"/>
      <c r="GG34" s="64"/>
      <c r="GH34" s="24"/>
      <c r="GI34" s="24"/>
      <c r="GJ34" s="67"/>
      <c r="GK34" s="67" t="s">
        <v>332</v>
      </c>
      <c r="GL34" s="24" t="s">
        <v>77</v>
      </c>
      <c r="GM34" s="64" t="str">
        <f t="shared" ref="GM34:GM62" si="192">GK34&amp;GL34</f>
        <v>郑州西悦城打包袋</v>
      </c>
      <c r="GN34" s="24">
        <f>VLOOKUP(GM34,盘点表!A$1:O$65536,15,0)</f>
        <v>-1300</v>
      </c>
      <c r="GO34" s="24"/>
      <c r="GP34" s="24"/>
      <c r="GQ34" s="64"/>
      <c r="GR34" s="24"/>
      <c r="GS34" s="24"/>
      <c r="GT34" s="64"/>
      <c r="GU34" s="64"/>
      <c r="GV34" s="64"/>
      <c r="GW34" s="64"/>
      <c r="GX34" s="64"/>
      <c r="GY34" s="64"/>
      <c r="GZ34" s="64"/>
      <c r="HA34" s="64"/>
      <c r="HB34" s="64"/>
      <c r="HC34" s="64"/>
      <c r="HD34" s="64"/>
      <c r="HE34" s="64"/>
      <c r="HF34" s="64"/>
      <c r="HG34" s="64"/>
      <c r="HH34" s="64"/>
      <c r="HI34" s="64"/>
      <c r="HJ34" s="64"/>
      <c r="HK34" s="64"/>
      <c r="HL34" s="64"/>
      <c r="HM34" s="64"/>
      <c r="HN34" s="64"/>
      <c r="HO34" s="64"/>
      <c r="HP34" s="24"/>
      <c r="HQ34" s="24"/>
      <c r="HR34" s="24"/>
      <c r="HS34" s="24"/>
      <c r="HT34" s="24"/>
      <c r="HU34" s="24"/>
      <c r="HV34" s="24"/>
      <c r="HW34" s="24"/>
      <c r="HX34" s="24"/>
      <c r="HY34" s="24"/>
      <c r="HZ34" s="24"/>
      <c r="IA34" s="24"/>
      <c r="IB34" s="65"/>
      <c r="IC34" s="65"/>
      <c r="ID34" s="24"/>
      <c r="IE34" s="24"/>
      <c r="IF34" s="24"/>
      <c r="IG34" s="24"/>
      <c r="IH34" s="24"/>
      <c r="II34" s="24"/>
      <c r="IJ34" s="66"/>
      <c r="IK34" s="66"/>
      <c r="IL34" s="66"/>
      <c r="IM34" s="66"/>
      <c r="IN34" s="66"/>
      <c r="IO34" s="66"/>
      <c r="IP34" s="66"/>
      <c r="IQ34" s="66"/>
      <c r="IR34" s="66"/>
      <c r="IS34" s="66"/>
      <c r="IT34" s="66"/>
      <c r="IU34" s="66"/>
      <c r="IV34" s="66"/>
      <c r="IW34" s="66"/>
      <c r="IX34" s="66"/>
      <c r="IY34" s="66"/>
      <c r="IZ34" s="66"/>
      <c r="JA34" s="66"/>
      <c r="JB34" s="66"/>
      <c r="JC34" s="66"/>
      <c r="JD34" s="66"/>
      <c r="JE34" s="66"/>
      <c r="JF34" s="66"/>
      <c r="JG34" s="66"/>
      <c r="JH34" s="66"/>
      <c r="JI34" s="66"/>
      <c r="JJ34" s="66"/>
      <c r="JK34" s="66"/>
      <c r="JL34" s="66"/>
      <c r="JM34" s="66"/>
      <c r="JN34" s="66"/>
      <c r="JO34" s="66"/>
      <c r="JQ34" s="14"/>
    </row>
    <row r="35" spans="1:277" s="60" customFormat="1" ht="14.25" x14ac:dyDescent="0.2">
      <c r="A35" s="67"/>
      <c r="B35" s="67"/>
      <c r="C35" s="67"/>
      <c r="D35" s="67"/>
      <c r="E35" s="67"/>
      <c r="F35" s="67" t="s">
        <v>333</v>
      </c>
      <c r="G35" s="67" t="s">
        <v>168</v>
      </c>
      <c r="H35" s="24" t="str">
        <f>F35&amp;G35</f>
        <v>郑州瀚海海尚细薯条</v>
      </c>
      <c r="I35" s="67">
        <f>VLOOKUP(H35,盘点表!A$1:O$65536,15,0)</f>
        <v>-6576</v>
      </c>
      <c r="J35" s="13"/>
      <c r="K35" s="13"/>
      <c r="L35" s="13"/>
      <c r="M35" s="69" t="s">
        <v>333</v>
      </c>
      <c r="N35" s="67" t="s">
        <v>4</v>
      </c>
      <c r="O35" s="12" t="str">
        <f>M35&amp;N35</f>
        <v>郑州瀚海海尚玉米粒</v>
      </c>
      <c r="P35" s="67">
        <f>VLOOKUP(O35,盘点表!A$1:O$65536,15,0)</f>
        <v>-245.2</v>
      </c>
      <c r="Q35" s="13"/>
      <c r="R35" s="13"/>
      <c r="S35" s="13"/>
      <c r="T35" s="69" t="s">
        <v>333</v>
      </c>
      <c r="U35" s="67" t="s">
        <v>5</v>
      </c>
      <c r="V35" s="12" t="str">
        <f t="shared" ref="V35:V41" si="193">T35&amp;U35</f>
        <v>郑州瀚海海尚山东肉丁</v>
      </c>
      <c r="W35" s="67">
        <f>VLOOKUP(V35,盘点表!A$1:O$65536,15,0)</f>
        <v>768.6</v>
      </c>
      <c r="X35" s="13"/>
      <c r="Y35" s="13"/>
      <c r="Z35" s="13"/>
      <c r="AA35" s="69" t="s">
        <v>333</v>
      </c>
      <c r="AB35" s="67" t="s">
        <v>169</v>
      </c>
      <c r="AC35" s="12" t="str">
        <f>AA35&amp;AB35</f>
        <v>郑州瀚海海尚门店生菜</v>
      </c>
      <c r="AD35" s="67">
        <f>VLOOKUP(AC35,盘点表!A$1:O$65536,15,0)</f>
        <v>-3662.3</v>
      </c>
      <c r="AE35" s="13"/>
      <c r="AF35" s="13"/>
      <c r="AG35" s="13"/>
      <c r="AH35" s="69" t="s">
        <v>333</v>
      </c>
      <c r="AI35" s="24" t="s">
        <v>170</v>
      </c>
      <c r="AJ35" s="12" t="str">
        <f>AH35&amp;AI35</f>
        <v>郑州瀚海海尚25号专用粉</v>
      </c>
      <c r="AK35" s="24">
        <f>VLOOKUP(AJ35,盘点表!A$1:O$65536,15,0)</f>
        <v>36120.199999999997</v>
      </c>
      <c r="AL35" s="24"/>
      <c r="AO35" s="69" t="s">
        <v>333</v>
      </c>
      <c r="AP35" s="24" t="s">
        <v>8</v>
      </c>
      <c r="AQ35" s="12" t="str">
        <f>AO35&amp;AP35</f>
        <v>郑州瀚海海尚川香酱</v>
      </c>
      <c r="AR35" s="24">
        <f>VLOOKUP(AQ35,盘点表!A$1:O$65536,15,0)</f>
        <v>1460.1</v>
      </c>
      <c r="AS35" s="24"/>
      <c r="AW35" s="69" t="s">
        <v>333</v>
      </c>
      <c r="AX35" s="24" t="s">
        <v>9</v>
      </c>
      <c r="AY35" s="12" t="str">
        <f>AW35&amp;AX35</f>
        <v>郑州瀚海海尚蜜汁酱</v>
      </c>
      <c r="AZ35" s="24">
        <f>VLOOKUP(AY35,盘点表!A$1:O$65536,15,0)</f>
        <v>62.8</v>
      </c>
      <c r="BD35" s="69" t="s">
        <v>333</v>
      </c>
      <c r="BE35" s="24" t="s">
        <v>171</v>
      </c>
      <c r="BF35" s="12" t="str">
        <f>BD35&amp;BE35</f>
        <v>郑州瀚海海尚中辣味粉</v>
      </c>
      <c r="BG35" s="24">
        <f>VLOOKUP(BF35,盘点表!A$1:O$65536,15,0)</f>
        <v>71.849999999999994</v>
      </c>
      <c r="BK35" s="69" t="s">
        <v>333</v>
      </c>
      <c r="BL35" s="24" t="s">
        <v>63</v>
      </c>
      <c r="BM35" s="12" t="str">
        <f t="shared" si="176"/>
        <v>郑州瀚海海尚鸡排粉</v>
      </c>
      <c r="BN35" s="24">
        <f>VLOOKUP(BM35,盘点表!A$1:O$65536,15,0)</f>
        <v>1763.4</v>
      </c>
      <c r="BR35" s="69" t="s">
        <v>333</v>
      </c>
      <c r="BS35" s="24" t="s">
        <v>172</v>
      </c>
      <c r="BT35" s="12" t="str">
        <f t="shared" si="177"/>
        <v>郑州瀚海海尚亿霖袋装沙司（后台）</v>
      </c>
      <c r="BU35" s="101">
        <f>VLOOKUP(BT35,盘点表!A$1:O$65536,15,0)</f>
        <v>13747.6</v>
      </c>
      <c r="BY35" s="69" t="s">
        <v>333</v>
      </c>
      <c r="BZ35" s="24" t="s">
        <v>173</v>
      </c>
      <c r="CA35" s="12" t="str">
        <f t="shared" si="178"/>
        <v>郑州瀚海海尚沙拉酱</v>
      </c>
      <c r="CB35" s="24">
        <f>VLOOKUP(CA35,盘点表!A$1:O$65536,15,0)</f>
        <v>22556.3</v>
      </c>
      <c r="CF35" s="69" t="s">
        <v>333</v>
      </c>
      <c r="CG35" s="24" t="s">
        <v>174</v>
      </c>
      <c r="CH35" s="12" t="str">
        <f t="shared" si="179"/>
        <v>郑州瀚海海尚BBQ烤腌制粉</v>
      </c>
      <c r="CI35" s="24">
        <f>VLOOKUP(CH35,盘点表!A$1:O$65536,15,0)</f>
        <v>702</v>
      </c>
      <c r="CM35" s="69" t="s">
        <v>333</v>
      </c>
      <c r="CN35" s="30" t="s">
        <v>66</v>
      </c>
      <c r="CO35" s="12" t="str">
        <f t="shared" si="180"/>
        <v>郑州瀚海海尚可乐糖浆</v>
      </c>
      <c r="CP35" s="24">
        <f>VLOOKUP(CO35,盘点表!A$1:O$65536,15,0)</f>
        <v>607.13</v>
      </c>
      <c r="CT35" s="68" t="s">
        <v>333</v>
      </c>
      <c r="CU35" s="24" t="s">
        <v>67</v>
      </c>
      <c r="CV35" s="12" t="str">
        <f t="shared" si="181"/>
        <v>郑州瀚海海尚七喜糖浆</v>
      </c>
      <c r="CW35" s="24">
        <f>VLOOKUP(CV35,盘点表!A$1:O$65536,15,0)</f>
        <v>197.74</v>
      </c>
      <c r="DA35" s="68"/>
      <c r="DB35" s="24"/>
      <c r="DC35" s="69"/>
      <c r="DD35" s="24"/>
      <c r="DH35" s="69" t="s">
        <v>333</v>
      </c>
      <c r="DI35" s="24" t="s">
        <v>590</v>
      </c>
      <c r="DJ35" s="12" t="str">
        <f t="shared" si="182"/>
        <v>郑州瀚海海尚橙C原材料</v>
      </c>
      <c r="DK35" s="24">
        <f>VLOOKUP(DJ35,盘点表!A$1:O$65536,15,0)</f>
        <v>359.8</v>
      </c>
      <c r="DL35" s="103"/>
      <c r="DO35" s="69"/>
      <c r="DP35" s="24"/>
      <c r="DQ35" s="69"/>
      <c r="DR35" s="24"/>
      <c r="DV35" s="69" t="s">
        <v>333</v>
      </c>
      <c r="DW35" s="24" t="s">
        <v>175</v>
      </c>
      <c r="DX35" s="12" t="str">
        <f t="shared" si="183"/>
        <v>郑州瀚海海尚蕃茄沙司（前台）</v>
      </c>
      <c r="DY35" s="24">
        <f>VLOOKUP(DX35,盘点表!A$1:O$65536,15,0)</f>
        <v>-131</v>
      </c>
      <c r="EC35" s="69" t="s">
        <v>333</v>
      </c>
      <c r="ED35" s="24" t="s">
        <v>72</v>
      </c>
      <c r="EE35" s="12" t="str">
        <f t="shared" si="184"/>
        <v>郑州瀚海海尚糖包</v>
      </c>
      <c r="EF35" s="24">
        <f>VLOOKUP(EE35,盘点表!A$1:O$65536,15,0)</f>
        <v>19</v>
      </c>
      <c r="EJ35" s="69" t="s">
        <v>333</v>
      </c>
      <c r="EK35" s="24" t="s">
        <v>73</v>
      </c>
      <c r="EL35" s="12" t="str">
        <f t="shared" si="185"/>
        <v>郑州瀚海海尚吸管</v>
      </c>
      <c r="EM35" s="24" t="e">
        <f>VLOOKUP(EL35,盘点表!A$1:O$65536,15,0)</f>
        <v>#N/A</v>
      </c>
      <c r="EQ35" s="69" t="s">
        <v>333</v>
      </c>
      <c r="ER35" s="24" t="s">
        <v>176</v>
      </c>
      <c r="ES35" s="12" t="str">
        <f t="shared" si="186"/>
        <v>郑州瀚海海尚搅拌棒</v>
      </c>
      <c r="ET35" s="24" t="e">
        <f>VLOOKUP(ES35,盘点表!A$1:O$65536,15,0)</f>
        <v>#N/A</v>
      </c>
      <c r="EU35" s="24"/>
      <c r="EV35" s="24"/>
      <c r="EW35" s="24"/>
      <c r="EX35" s="69" t="s">
        <v>333</v>
      </c>
      <c r="EY35" s="24" t="s">
        <v>25</v>
      </c>
      <c r="EZ35" s="12" t="str">
        <f t="shared" si="187"/>
        <v>郑州瀚海海尚小勺</v>
      </c>
      <c r="FA35" s="24" t="e">
        <f>VLOOKUP(EZ35,盘点表!A$1:O$65536,15,0)</f>
        <v>#N/A</v>
      </c>
      <c r="FE35" s="69" t="s">
        <v>333</v>
      </c>
      <c r="FF35" s="24" t="s">
        <v>26</v>
      </c>
      <c r="FG35" s="64" t="str">
        <f t="shared" si="188"/>
        <v>郑州瀚海海尚汉堡纸</v>
      </c>
      <c r="FH35" s="24">
        <f>VLOOKUP(FG35,盘点表!A$1:O$65536,15,0)</f>
        <v>-477</v>
      </c>
      <c r="FS35" s="69" t="s">
        <v>333</v>
      </c>
      <c r="FT35" s="24" t="s">
        <v>75</v>
      </c>
      <c r="FU35" s="64" t="str">
        <f t="shared" si="189"/>
        <v>郑州瀚海海尚纸巾</v>
      </c>
      <c r="FV35" s="24">
        <f>VLOOKUP(FU35,盘点表!A$1:O$65536,15,0)</f>
        <v>-198</v>
      </c>
      <c r="FX35" s="69" t="s">
        <v>333</v>
      </c>
      <c r="FY35" s="24" t="s">
        <v>29</v>
      </c>
      <c r="FZ35" s="64" t="str">
        <f t="shared" si="190"/>
        <v>郑州瀚海海尚托盘纸</v>
      </c>
      <c r="GA35" s="24">
        <f>VLOOKUP(FZ35,盘点表!A$1:O$65536,15,0)</f>
        <v>200</v>
      </c>
      <c r="GB35" s="69" t="s">
        <v>333</v>
      </c>
      <c r="GC35" s="24" t="s">
        <v>30</v>
      </c>
      <c r="GD35" s="64" t="str">
        <f t="shared" si="191"/>
        <v>郑州瀚海海尚起酥油</v>
      </c>
      <c r="GE35" s="24">
        <f>VLOOKUP(GD35,盘点表!A$1:O$65536,15,0)</f>
        <v>-14.5</v>
      </c>
      <c r="GF35" s="24"/>
      <c r="GG35" s="64"/>
      <c r="GH35" s="68"/>
      <c r="GI35" s="24"/>
      <c r="GJ35" s="69"/>
      <c r="GK35" s="69" t="s">
        <v>333</v>
      </c>
      <c r="GL35" s="24" t="s">
        <v>77</v>
      </c>
      <c r="GM35" s="64" t="str">
        <f t="shared" si="192"/>
        <v>郑州瀚海海尚打包袋</v>
      </c>
      <c r="GN35" s="24" t="e">
        <f>VLOOKUP(GM35,盘点表!A$1:O$65536,15,0)</f>
        <v>#N/A</v>
      </c>
      <c r="GO35" s="24"/>
      <c r="GP35" s="24"/>
      <c r="GQ35" s="64"/>
      <c r="GR35" s="24"/>
      <c r="GS35" s="24"/>
      <c r="GT35" s="64"/>
      <c r="GU35" s="64"/>
      <c r="GV35" s="64"/>
      <c r="GW35" s="64"/>
      <c r="GX35" s="64"/>
      <c r="GY35" s="64"/>
      <c r="GZ35" s="64"/>
      <c r="HA35" s="64"/>
      <c r="HB35" s="64"/>
      <c r="HC35" s="64"/>
      <c r="HD35" s="64"/>
      <c r="HE35" s="64"/>
      <c r="HF35" s="64"/>
      <c r="HG35" s="64"/>
      <c r="HH35" s="64"/>
      <c r="HI35" s="64"/>
      <c r="HJ35" s="64"/>
      <c r="HK35" s="64"/>
      <c r="HL35" s="64"/>
      <c r="HM35" s="64"/>
      <c r="HN35" s="64"/>
      <c r="HO35" s="83" t="s">
        <v>689</v>
      </c>
      <c r="HP35" s="3">
        <v>6</v>
      </c>
      <c r="HQ35" s="24"/>
      <c r="HR35" s="24"/>
      <c r="HS35" s="24"/>
      <c r="HT35" s="24"/>
      <c r="HU35" s="24"/>
      <c r="HV35" s="24"/>
      <c r="HW35" s="24"/>
      <c r="HX35" s="24"/>
      <c r="HY35" s="24"/>
      <c r="HZ35" s="24"/>
      <c r="IA35" s="24"/>
      <c r="IB35" s="65"/>
      <c r="IC35" s="65"/>
      <c r="ID35" s="24"/>
      <c r="IE35" s="24"/>
      <c r="IF35" s="24"/>
      <c r="IG35" s="24"/>
      <c r="IH35" s="24"/>
      <c r="II35" s="24"/>
      <c r="IJ35" s="66"/>
      <c r="IK35" s="66"/>
      <c r="IL35" s="66"/>
      <c r="IM35" s="66"/>
      <c r="IN35" s="66"/>
      <c r="IO35" s="66"/>
      <c r="IP35" s="66"/>
      <c r="IQ35" s="66"/>
      <c r="IR35" s="66"/>
      <c r="IS35" s="66"/>
      <c r="IT35" s="66"/>
      <c r="IU35" s="66"/>
      <c r="IV35" s="66"/>
      <c r="IW35" s="66"/>
      <c r="IX35" s="66"/>
      <c r="IY35" s="66"/>
      <c r="IZ35" s="66"/>
      <c r="JA35" s="66"/>
      <c r="JB35" s="66"/>
      <c r="JC35" s="66"/>
      <c r="JD35" s="66"/>
      <c r="JE35" s="66"/>
      <c r="JF35" s="66"/>
      <c r="JG35" s="66"/>
      <c r="JH35" s="66"/>
      <c r="JI35" s="66"/>
      <c r="JJ35" s="66"/>
      <c r="JK35" s="66"/>
      <c r="JL35" s="66"/>
      <c r="JM35" s="66"/>
      <c r="JN35" s="66"/>
      <c r="JO35" s="66"/>
      <c r="JQ35" s="14"/>
    </row>
    <row r="36" spans="1:277" s="60" customFormat="1" ht="14.25" x14ac:dyDescent="0.2">
      <c r="A36" s="67"/>
      <c r="B36" s="67"/>
      <c r="C36" s="67"/>
      <c r="D36" s="67"/>
      <c r="E36" s="67"/>
      <c r="F36" s="67" t="s">
        <v>334</v>
      </c>
      <c r="G36" s="67" t="s">
        <v>168</v>
      </c>
      <c r="H36" s="24" t="str">
        <f>F36&amp;G36</f>
        <v>清丰凤鸣细薯条</v>
      </c>
      <c r="I36" s="67">
        <f>VLOOKUP(H36,盘点表!A$1:O$65536,15,0)</f>
        <v>502</v>
      </c>
      <c r="J36" s="13"/>
      <c r="K36" s="13"/>
      <c r="L36" s="13"/>
      <c r="M36" s="69" t="s">
        <v>334</v>
      </c>
      <c r="N36" s="67" t="s">
        <v>4</v>
      </c>
      <c r="O36" s="12" t="str">
        <f t="shared" ref="O36:O62" si="194">M36&amp;N36</f>
        <v>清丰凤鸣玉米粒</v>
      </c>
      <c r="P36" s="67">
        <f>VLOOKUP(O36,盘点表!A$1:O$65536,15,0)</f>
        <v>483.5</v>
      </c>
      <c r="Q36" s="13"/>
      <c r="R36" s="13"/>
      <c r="S36" s="13"/>
      <c r="T36" s="69" t="s">
        <v>334</v>
      </c>
      <c r="U36" s="67" t="s">
        <v>5</v>
      </c>
      <c r="V36" s="12" t="str">
        <f t="shared" si="193"/>
        <v>清丰凤鸣山东肉丁</v>
      </c>
      <c r="W36" s="67">
        <f>VLOOKUP(V36,盘点表!A$1:O$65536,15,0)</f>
        <v>740.5</v>
      </c>
      <c r="X36" s="13"/>
      <c r="Y36" s="13"/>
      <c r="Z36" s="13"/>
      <c r="AA36" s="69" t="s">
        <v>334</v>
      </c>
      <c r="AB36" s="67" t="s">
        <v>169</v>
      </c>
      <c r="AC36" s="12" t="str">
        <f t="shared" ref="AC36:AC41" si="195">AA36&amp;AB36</f>
        <v>清丰凤鸣门店生菜</v>
      </c>
      <c r="AD36" s="67">
        <f>VLOOKUP(AC36,盘点表!A$1:O$65536,15,0)</f>
        <v>-211</v>
      </c>
      <c r="AE36" s="13"/>
      <c r="AF36" s="13"/>
      <c r="AG36" s="13"/>
      <c r="AH36" s="69" t="s">
        <v>334</v>
      </c>
      <c r="AI36" s="24" t="s">
        <v>170</v>
      </c>
      <c r="AJ36" s="12" t="str">
        <f t="shared" ref="AJ36:AJ41" si="196">AH36&amp;AI36</f>
        <v>清丰凤鸣25号专用粉</v>
      </c>
      <c r="AK36" s="24">
        <f>VLOOKUP(AJ36,盘点表!A$1:O$65536,15,0)</f>
        <v>-286.85000000000002</v>
      </c>
      <c r="AL36" s="24"/>
      <c r="AO36" s="69" t="s">
        <v>334</v>
      </c>
      <c r="AP36" s="24" t="s">
        <v>8</v>
      </c>
      <c r="AQ36" s="12" t="str">
        <f>AO36&amp;AP36</f>
        <v>清丰凤鸣川香酱</v>
      </c>
      <c r="AR36" s="24">
        <f>VLOOKUP(AQ36,盘点表!A$1:O$65536,15,0)</f>
        <v>-94.5</v>
      </c>
      <c r="AS36" s="24"/>
      <c r="AW36" s="69" t="s">
        <v>334</v>
      </c>
      <c r="AX36" s="24" t="s">
        <v>9</v>
      </c>
      <c r="AY36" s="12" t="str">
        <f t="shared" ref="AY36:AY41" si="197">AW36&amp;AX36</f>
        <v>清丰凤鸣蜜汁酱</v>
      </c>
      <c r="AZ36" s="24">
        <f>VLOOKUP(AY36,盘点表!A$1:O$65536,15,0)</f>
        <v>-58.8</v>
      </c>
      <c r="BD36" s="69" t="s">
        <v>334</v>
      </c>
      <c r="BE36" s="24" t="s">
        <v>171</v>
      </c>
      <c r="BF36" s="12" t="str">
        <f>BD36&amp;BE36</f>
        <v>清丰凤鸣中辣味粉</v>
      </c>
      <c r="BG36" s="24">
        <f>VLOOKUP(BF36,盘点表!A$1:O$65536,15,0)</f>
        <v>-100.9</v>
      </c>
      <c r="BK36" s="69" t="s">
        <v>334</v>
      </c>
      <c r="BL36" s="24" t="s">
        <v>63</v>
      </c>
      <c r="BM36" s="12" t="str">
        <f t="shared" si="176"/>
        <v>清丰凤鸣鸡排粉</v>
      </c>
      <c r="BN36" s="24">
        <f>VLOOKUP(BM36,盘点表!A$1:O$65536,15,0)</f>
        <v>321.8</v>
      </c>
      <c r="BR36" s="69" t="s">
        <v>334</v>
      </c>
      <c r="BS36" s="24" t="s">
        <v>172</v>
      </c>
      <c r="BT36" s="12" t="str">
        <f t="shared" si="177"/>
        <v>清丰凤鸣亿霖袋装沙司（后台）</v>
      </c>
      <c r="BU36" s="24">
        <f>VLOOKUP(BT36,盘点表!A$1:O$65536,15,0)</f>
        <v>1440.8</v>
      </c>
      <c r="BY36" s="69" t="s">
        <v>334</v>
      </c>
      <c r="BZ36" s="24" t="s">
        <v>173</v>
      </c>
      <c r="CA36" s="12" t="str">
        <f t="shared" si="178"/>
        <v>清丰凤鸣沙拉酱</v>
      </c>
      <c r="CB36" s="24">
        <f>VLOOKUP(CA36,盘点表!A$1:O$65536,15,0)</f>
        <v>8229.4</v>
      </c>
      <c r="CF36" s="69" t="s">
        <v>334</v>
      </c>
      <c r="CG36" s="24" t="s">
        <v>174</v>
      </c>
      <c r="CH36" s="12" t="str">
        <f t="shared" si="179"/>
        <v>清丰凤鸣BBQ烤腌制粉</v>
      </c>
      <c r="CI36" s="24">
        <f>VLOOKUP(CH36,盘点表!A$1:O$65536,15,0)</f>
        <v>298.8</v>
      </c>
      <c r="CM36" s="69" t="s">
        <v>334</v>
      </c>
      <c r="CN36" s="30" t="s">
        <v>66</v>
      </c>
      <c r="CO36" s="12" t="str">
        <f t="shared" si="180"/>
        <v>清丰凤鸣可乐糖浆</v>
      </c>
      <c r="CP36" s="24">
        <f>VLOOKUP(CO36,盘点表!A$1:O$65536,15,0)</f>
        <v>-145.26</v>
      </c>
      <c r="CT36" s="68" t="s">
        <v>334</v>
      </c>
      <c r="CU36" s="24" t="s">
        <v>67</v>
      </c>
      <c r="CV36" s="12" t="str">
        <f t="shared" si="181"/>
        <v>清丰凤鸣七喜糖浆</v>
      </c>
      <c r="CW36" s="24">
        <f>VLOOKUP(CV36,盘点表!A$1:O$65536,15,0)</f>
        <v>-16.62</v>
      </c>
      <c r="DA36" s="68"/>
      <c r="DB36" s="24"/>
      <c r="DC36" s="69"/>
      <c r="DD36" s="24"/>
      <c r="DH36" s="69" t="s">
        <v>334</v>
      </c>
      <c r="DI36" s="24" t="s">
        <v>590</v>
      </c>
      <c r="DJ36" s="12" t="str">
        <f t="shared" si="182"/>
        <v>清丰凤鸣橙C原材料</v>
      </c>
      <c r="DK36" s="24">
        <f>VLOOKUP(DJ36,盘点表!A$1:O$65536,15,0)</f>
        <v>409.2</v>
      </c>
      <c r="DL36" s="103"/>
      <c r="DO36" s="69"/>
      <c r="DP36" s="24"/>
      <c r="DQ36" s="69"/>
      <c r="DR36" s="24"/>
      <c r="DV36" s="69" t="s">
        <v>334</v>
      </c>
      <c r="DW36" s="24" t="s">
        <v>175</v>
      </c>
      <c r="DX36" s="12" t="str">
        <f t="shared" si="183"/>
        <v>清丰凤鸣蕃茄沙司（前台）</v>
      </c>
      <c r="DY36" s="24">
        <f>VLOOKUP(DX36,盘点表!A$1:O$65536,15,0)</f>
        <v>46</v>
      </c>
      <c r="EC36" s="69" t="s">
        <v>334</v>
      </c>
      <c r="ED36" s="24" t="s">
        <v>72</v>
      </c>
      <c r="EE36" s="12" t="str">
        <f t="shared" si="184"/>
        <v>清丰凤鸣糖包</v>
      </c>
      <c r="EF36" s="24">
        <f>VLOOKUP(EE36,盘点表!A$1:O$65536,15,0)</f>
        <v>-5</v>
      </c>
      <c r="EJ36" s="69" t="s">
        <v>334</v>
      </c>
      <c r="EK36" s="24" t="s">
        <v>73</v>
      </c>
      <c r="EL36" s="12" t="str">
        <f t="shared" si="185"/>
        <v>清丰凤鸣吸管</v>
      </c>
      <c r="EM36" s="24" t="e">
        <f>VLOOKUP(EL36,盘点表!A$1:O$65536,15,0)</f>
        <v>#N/A</v>
      </c>
      <c r="EQ36" s="69" t="s">
        <v>334</v>
      </c>
      <c r="ER36" s="24" t="s">
        <v>176</v>
      </c>
      <c r="ES36" s="12" t="str">
        <f t="shared" si="186"/>
        <v>清丰凤鸣搅拌棒</v>
      </c>
      <c r="ET36" s="24" t="e">
        <f>VLOOKUP(ES36,盘点表!A$1:O$65536,15,0)</f>
        <v>#N/A</v>
      </c>
      <c r="EU36" s="24"/>
      <c r="EV36" s="24"/>
      <c r="EW36" s="24"/>
      <c r="EX36" s="69" t="s">
        <v>334</v>
      </c>
      <c r="EY36" s="24" t="s">
        <v>25</v>
      </c>
      <c r="EZ36" s="12" t="str">
        <f t="shared" si="187"/>
        <v>清丰凤鸣小勺</v>
      </c>
      <c r="FA36" s="24" t="e">
        <f>VLOOKUP(EZ36,盘点表!A$1:O$65536,15,0)</f>
        <v>#N/A</v>
      </c>
      <c r="FE36" s="69" t="s">
        <v>334</v>
      </c>
      <c r="FF36" s="24" t="s">
        <v>26</v>
      </c>
      <c r="FG36" s="64" t="str">
        <f t="shared" si="188"/>
        <v>清丰凤鸣汉堡纸</v>
      </c>
      <c r="FH36" s="24">
        <f>VLOOKUP(FG36,盘点表!A$1:O$65536,15,0)</f>
        <v>-45</v>
      </c>
      <c r="FS36" s="69" t="s">
        <v>334</v>
      </c>
      <c r="FT36" s="24" t="s">
        <v>75</v>
      </c>
      <c r="FU36" s="64" t="str">
        <f t="shared" si="189"/>
        <v>清丰凤鸣纸巾</v>
      </c>
      <c r="FV36" s="24">
        <f>VLOOKUP(FU36,盘点表!A$1:O$65536,15,0)</f>
        <v>-139</v>
      </c>
      <c r="FX36" s="69" t="s">
        <v>334</v>
      </c>
      <c r="FY36" s="24" t="s">
        <v>29</v>
      </c>
      <c r="FZ36" s="64" t="str">
        <f t="shared" si="190"/>
        <v>清丰凤鸣托盘纸</v>
      </c>
      <c r="GA36" s="24">
        <f>VLOOKUP(FZ36,盘点表!A$1:O$65536,15,0)</f>
        <v>0</v>
      </c>
      <c r="GB36" s="69" t="s">
        <v>334</v>
      </c>
      <c r="GC36" s="24" t="s">
        <v>30</v>
      </c>
      <c r="GD36" s="64" t="str">
        <f t="shared" si="191"/>
        <v>清丰凤鸣起酥油</v>
      </c>
      <c r="GE36" s="24">
        <f>VLOOKUP(GD36,盘点表!A$1:O$65536,15,0)</f>
        <v>-12</v>
      </c>
      <c r="GF36" s="24"/>
      <c r="GG36" s="64"/>
      <c r="GH36" s="68"/>
      <c r="GI36" s="24"/>
      <c r="GJ36" s="69"/>
      <c r="GK36" s="69" t="s">
        <v>334</v>
      </c>
      <c r="GL36" s="24" t="s">
        <v>77</v>
      </c>
      <c r="GM36" s="64" t="str">
        <f t="shared" si="192"/>
        <v>清丰凤鸣打包袋</v>
      </c>
      <c r="GN36" s="24">
        <f>VLOOKUP(GM36,盘点表!A$1:O$65536,15,0)</f>
        <v>-1610</v>
      </c>
      <c r="GO36" s="24"/>
      <c r="GP36" s="24"/>
      <c r="GQ36" s="64"/>
      <c r="GR36" s="24"/>
      <c r="GS36" s="24"/>
      <c r="GT36" s="64"/>
      <c r="GU36" s="64"/>
      <c r="GV36" s="64"/>
      <c r="GW36" s="64"/>
      <c r="GX36" s="64"/>
      <c r="GY36" s="64"/>
      <c r="GZ36" s="64"/>
      <c r="HA36" s="64"/>
      <c r="HB36" s="64"/>
      <c r="HC36" s="64"/>
      <c r="HD36" s="64"/>
      <c r="HE36" s="64"/>
      <c r="HF36" s="64"/>
      <c r="HG36" s="64"/>
      <c r="HH36" s="64"/>
      <c r="HI36" s="64"/>
      <c r="HJ36" s="64"/>
      <c r="HK36" s="64"/>
      <c r="HL36" s="64"/>
      <c r="HM36" s="64"/>
      <c r="HN36" s="64"/>
      <c r="HO36" s="83" t="s">
        <v>690</v>
      </c>
      <c r="HP36" s="3">
        <v>10</v>
      </c>
      <c r="HQ36" s="24"/>
      <c r="HR36" s="24"/>
      <c r="HS36" s="24"/>
      <c r="HT36" s="24"/>
      <c r="HU36" s="24"/>
      <c r="HV36" s="24"/>
      <c r="HW36" s="24"/>
      <c r="HX36" s="24"/>
      <c r="HY36" s="24"/>
      <c r="HZ36" s="24"/>
      <c r="IA36" s="24"/>
      <c r="IB36" s="65"/>
      <c r="IC36" s="65"/>
      <c r="ID36" s="24"/>
      <c r="IE36" s="24"/>
      <c r="IF36" s="24"/>
      <c r="IG36" s="24"/>
      <c r="IH36" s="24"/>
      <c r="II36" s="24"/>
      <c r="IJ36" s="66"/>
      <c r="IK36" s="66"/>
      <c r="IL36" s="66"/>
      <c r="IM36" s="66"/>
      <c r="IN36" s="66"/>
      <c r="IO36" s="66"/>
      <c r="IP36" s="66"/>
      <c r="IQ36" s="66"/>
      <c r="IR36" s="66"/>
      <c r="IS36" s="66"/>
      <c r="IT36" s="66"/>
      <c r="IU36" s="66"/>
      <c r="IV36" s="66"/>
      <c r="IW36" s="66"/>
      <c r="IX36" s="66"/>
      <c r="IY36" s="66"/>
      <c r="IZ36" s="66"/>
      <c r="JA36" s="66"/>
      <c r="JB36" s="66"/>
      <c r="JC36" s="66"/>
      <c r="JD36" s="66"/>
      <c r="JE36" s="66"/>
      <c r="JF36" s="66"/>
      <c r="JG36" s="66"/>
      <c r="JH36" s="66"/>
      <c r="JI36" s="66"/>
      <c r="JJ36" s="66"/>
      <c r="JK36" s="66"/>
      <c r="JL36" s="66"/>
      <c r="JM36" s="66"/>
      <c r="JN36" s="66"/>
      <c r="JO36" s="66"/>
      <c r="JQ36" s="14"/>
    </row>
    <row r="37" spans="1:277" s="60" customFormat="1" ht="14.25" x14ac:dyDescent="0.2">
      <c r="A37" s="67"/>
      <c r="B37" s="67"/>
      <c r="C37" s="67"/>
      <c r="D37" s="67"/>
      <c r="E37" s="67"/>
      <c r="F37" s="67" t="s">
        <v>335</v>
      </c>
      <c r="G37" s="67" t="s">
        <v>168</v>
      </c>
      <c r="H37" s="24" t="str">
        <f>F37&amp;G37</f>
        <v>新蔡水韵天街细薯条</v>
      </c>
      <c r="I37" s="67">
        <f>VLOOKUP(H37,盘点表!A$1:O$65536,15,0)</f>
        <v>-6</v>
      </c>
      <c r="J37" s="13"/>
      <c r="K37" s="13"/>
      <c r="L37" s="13"/>
      <c r="M37" s="69" t="s">
        <v>335</v>
      </c>
      <c r="N37" s="67" t="s">
        <v>4</v>
      </c>
      <c r="O37" s="12" t="str">
        <f t="shared" si="194"/>
        <v>新蔡水韵天街玉米粒</v>
      </c>
      <c r="P37" s="67">
        <f>VLOOKUP(O37,盘点表!A$1:O$65536,15,0)</f>
        <v>-54.1</v>
      </c>
      <c r="Q37" s="13"/>
      <c r="R37" s="13"/>
      <c r="S37" s="13"/>
      <c r="T37" s="69" t="s">
        <v>335</v>
      </c>
      <c r="U37" s="67" t="s">
        <v>5</v>
      </c>
      <c r="V37" s="12" t="str">
        <f t="shared" si="193"/>
        <v>新蔡水韵天街山东肉丁</v>
      </c>
      <c r="W37" s="67">
        <f>VLOOKUP(V37,盘点表!A$1:O$65536,15,0)</f>
        <v>-359.2</v>
      </c>
      <c r="X37" s="13"/>
      <c r="Y37" s="13"/>
      <c r="Z37" s="13"/>
      <c r="AA37" s="69" t="s">
        <v>335</v>
      </c>
      <c r="AB37" s="67" t="s">
        <v>169</v>
      </c>
      <c r="AC37" s="12" t="str">
        <f t="shared" si="195"/>
        <v>新蔡水韵天街门店生菜</v>
      </c>
      <c r="AD37" s="67">
        <f>VLOOKUP(AC37,盘点表!A$1:O$65536,15,0)</f>
        <v>5.7</v>
      </c>
      <c r="AE37" s="13"/>
      <c r="AF37" s="13"/>
      <c r="AG37" s="13"/>
      <c r="AH37" s="69" t="s">
        <v>335</v>
      </c>
      <c r="AI37" s="24" t="s">
        <v>170</v>
      </c>
      <c r="AJ37" s="12" t="str">
        <f t="shared" si="196"/>
        <v>新蔡水韵天街25号专用粉</v>
      </c>
      <c r="AK37" s="100">
        <f>VLOOKUP(AJ37,盘点表!A$1:O$65536,15,0)</f>
        <v>4291.3999999999996</v>
      </c>
      <c r="AL37" s="24"/>
      <c r="AO37" s="69" t="s">
        <v>335</v>
      </c>
      <c r="AP37" s="24" t="s">
        <v>8</v>
      </c>
      <c r="AQ37" s="12" t="str">
        <f t="shared" ref="AQ37:AQ41" si="198">AO37&amp;AP37</f>
        <v>新蔡水韵天街川香酱</v>
      </c>
      <c r="AR37" s="24">
        <f>VLOOKUP(AQ37,盘点表!A$1:O$65536,15,0)</f>
        <v>303.5</v>
      </c>
      <c r="AS37" s="24"/>
      <c r="AW37" s="69" t="s">
        <v>335</v>
      </c>
      <c r="AX37" s="24" t="s">
        <v>9</v>
      </c>
      <c r="AY37" s="12" t="str">
        <f t="shared" si="197"/>
        <v>新蔡水韵天街蜜汁酱</v>
      </c>
      <c r="AZ37" s="24">
        <f>VLOOKUP(AY37,盘点表!A$1:O$65536,15,0)</f>
        <v>-202</v>
      </c>
      <c r="BD37" s="69" t="s">
        <v>335</v>
      </c>
      <c r="BE37" s="24" t="s">
        <v>171</v>
      </c>
      <c r="BF37" s="12" t="str">
        <f>BD37&amp;BE37</f>
        <v>新蔡水韵天街中辣味粉</v>
      </c>
      <c r="BG37" s="24">
        <f>VLOOKUP(BF37,盘点表!A$1:O$65536,15,0)</f>
        <v>310.75</v>
      </c>
      <c r="BK37" s="69" t="s">
        <v>335</v>
      </c>
      <c r="BL37" s="24" t="s">
        <v>63</v>
      </c>
      <c r="BM37" s="12" t="str">
        <f t="shared" si="176"/>
        <v>新蔡水韵天街鸡排粉</v>
      </c>
      <c r="BN37" s="24">
        <f>VLOOKUP(BM37,盘点表!A$1:O$65536,15,0)</f>
        <v>359.7</v>
      </c>
      <c r="BR37" s="69" t="s">
        <v>335</v>
      </c>
      <c r="BS37" s="24" t="s">
        <v>172</v>
      </c>
      <c r="BT37" s="12" t="str">
        <f t="shared" si="177"/>
        <v>新蔡水韵天街亿霖袋装沙司（后台）</v>
      </c>
      <c r="BU37" s="24">
        <f>VLOOKUP(BT37,盘点表!A$1:O$65536,15,0)</f>
        <v>243.4</v>
      </c>
      <c r="BY37" s="69" t="s">
        <v>335</v>
      </c>
      <c r="BZ37" s="24" t="s">
        <v>173</v>
      </c>
      <c r="CA37" s="12" t="str">
        <f t="shared" si="178"/>
        <v>新蔡水韵天街沙拉酱</v>
      </c>
      <c r="CB37" s="24">
        <f>VLOOKUP(CA37,盘点表!A$1:O$65536,15,0)</f>
        <v>-837.3</v>
      </c>
      <c r="CF37" s="69" t="s">
        <v>335</v>
      </c>
      <c r="CG37" s="24" t="s">
        <v>174</v>
      </c>
      <c r="CH37" s="12" t="str">
        <f t="shared" si="179"/>
        <v>新蔡水韵天街BBQ烤腌制粉</v>
      </c>
      <c r="CI37" s="24">
        <f>VLOOKUP(CH37,盘点表!A$1:O$65536,15,0)</f>
        <v>300</v>
      </c>
      <c r="CM37" s="69" t="s">
        <v>335</v>
      </c>
      <c r="CN37" s="30" t="s">
        <v>66</v>
      </c>
      <c r="CO37" s="12" t="str">
        <f t="shared" si="180"/>
        <v>新蔡水韵天街可乐糖浆</v>
      </c>
      <c r="CP37" s="24">
        <f>VLOOKUP(CO37,盘点表!A$1:O$65536,15,0)</f>
        <v>315</v>
      </c>
      <c r="CT37" s="68" t="s">
        <v>335</v>
      </c>
      <c r="CU37" s="24" t="s">
        <v>67</v>
      </c>
      <c r="CV37" s="12" t="str">
        <f t="shared" si="181"/>
        <v>新蔡水韵天街七喜糖浆</v>
      </c>
      <c r="CW37" s="24">
        <f>VLOOKUP(CV37,盘点表!A$1:O$65536,15,0)</f>
        <v>-343.14</v>
      </c>
      <c r="DA37" s="68"/>
      <c r="DB37" s="24"/>
      <c r="DC37" s="69"/>
      <c r="DD37" s="24"/>
      <c r="DH37" s="69" t="s">
        <v>335</v>
      </c>
      <c r="DI37" s="24" t="s">
        <v>590</v>
      </c>
      <c r="DJ37" s="12" t="str">
        <f t="shared" si="182"/>
        <v>新蔡水韵天街橙C原材料</v>
      </c>
      <c r="DK37" s="24">
        <f>VLOOKUP(DJ37,盘点表!A$1:O$65536,15,0)</f>
        <v>-99.7</v>
      </c>
      <c r="DL37" s="103"/>
      <c r="DO37" s="69"/>
      <c r="DP37" s="24"/>
      <c r="DQ37" s="69"/>
      <c r="DR37" s="24"/>
      <c r="DV37" s="69" t="s">
        <v>335</v>
      </c>
      <c r="DW37" s="24" t="s">
        <v>175</v>
      </c>
      <c r="DX37" s="12" t="str">
        <f t="shared" si="183"/>
        <v>新蔡水韵天街蕃茄沙司（前台）</v>
      </c>
      <c r="DY37" s="24">
        <f>VLOOKUP(DX37,盘点表!A$1:O$65536,15,0)</f>
        <v>92</v>
      </c>
      <c r="EC37" s="69" t="s">
        <v>335</v>
      </c>
      <c r="ED37" s="24" t="s">
        <v>72</v>
      </c>
      <c r="EE37" s="12" t="str">
        <f t="shared" si="184"/>
        <v>新蔡水韵天街糖包</v>
      </c>
      <c r="EF37" s="24">
        <f>VLOOKUP(EE37,盘点表!A$1:O$65536,15,0)</f>
        <v>-1</v>
      </c>
      <c r="EJ37" s="69" t="s">
        <v>335</v>
      </c>
      <c r="EK37" s="24" t="s">
        <v>73</v>
      </c>
      <c r="EL37" s="12" t="str">
        <f t="shared" si="185"/>
        <v>新蔡水韵天街吸管</v>
      </c>
      <c r="EM37" s="24" t="e">
        <f>VLOOKUP(EL37,盘点表!A$1:O$65536,15,0)</f>
        <v>#N/A</v>
      </c>
      <c r="EQ37" s="69" t="s">
        <v>335</v>
      </c>
      <c r="ER37" s="24" t="s">
        <v>176</v>
      </c>
      <c r="ES37" s="12" t="str">
        <f t="shared" si="186"/>
        <v>新蔡水韵天街搅拌棒</v>
      </c>
      <c r="ET37" s="24" t="e">
        <f>VLOOKUP(ES37,盘点表!A$1:O$65536,15,0)</f>
        <v>#N/A</v>
      </c>
      <c r="EU37" s="24"/>
      <c r="EV37" s="24"/>
      <c r="EW37" s="24"/>
      <c r="EX37" s="69" t="s">
        <v>335</v>
      </c>
      <c r="EY37" s="24" t="s">
        <v>25</v>
      </c>
      <c r="EZ37" s="12" t="str">
        <f t="shared" si="187"/>
        <v>新蔡水韵天街小勺</v>
      </c>
      <c r="FA37" s="24" t="e">
        <f>VLOOKUP(EZ37,盘点表!A$1:O$65536,15,0)</f>
        <v>#N/A</v>
      </c>
      <c r="FE37" s="69" t="s">
        <v>335</v>
      </c>
      <c r="FF37" s="24" t="s">
        <v>26</v>
      </c>
      <c r="FG37" s="64" t="str">
        <f t="shared" si="188"/>
        <v>新蔡水韵天街汉堡纸</v>
      </c>
      <c r="FH37" s="24">
        <f>VLOOKUP(FG37,盘点表!A$1:O$65536,15,0)</f>
        <v>-88</v>
      </c>
      <c r="FS37" s="69" t="s">
        <v>335</v>
      </c>
      <c r="FT37" s="24" t="s">
        <v>75</v>
      </c>
      <c r="FU37" s="64" t="str">
        <f t="shared" si="189"/>
        <v>新蔡水韵天街纸巾</v>
      </c>
      <c r="FV37" s="24">
        <f>VLOOKUP(FU37,盘点表!A$1:O$65536,15,0)</f>
        <v>-202</v>
      </c>
      <c r="FX37" s="69" t="s">
        <v>335</v>
      </c>
      <c r="FY37" s="24" t="s">
        <v>29</v>
      </c>
      <c r="FZ37" s="64" t="str">
        <f t="shared" si="190"/>
        <v>新蔡水韵天街托盘纸</v>
      </c>
      <c r="GA37" s="24">
        <f>VLOOKUP(FZ37,盘点表!A$1:O$65536,15,0)</f>
        <v>-2000</v>
      </c>
      <c r="GB37" s="69" t="s">
        <v>335</v>
      </c>
      <c r="GC37" s="24" t="s">
        <v>30</v>
      </c>
      <c r="GD37" s="64" t="str">
        <f t="shared" si="191"/>
        <v>新蔡水韵天街起酥油</v>
      </c>
      <c r="GE37" s="24">
        <f>VLOOKUP(GD37,盘点表!A$1:O$65536,15,0)</f>
        <v>-12</v>
      </c>
      <c r="GF37" s="24"/>
      <c r="GG37" s="64"/>
      <c r="GH37" s="68"/>
      <c r="GI37" s="24"/>
      <c r="GJ37" s="69"/>
      <c r="GK37" s="69" t="s">
        <v>335</v>
      </c>
      <c r="GL37" s="24" t="s">
        <v>77</v>
      </c>
      <c r="GM37" s="64" t="str">
        <f t="shared" si="192"/>
        <v>新蔡水韵天街打包袋</v>
      </c>
      <c r="GN37" s="24">
        <f>VLOOKUP(GM37,盘点表!A$1:O$65536,15,0)</f>
        <v>-800</v>
      </c>
      <c r="GO37" s="24"/>
      <c r="GP37" s="24"/>
      <c r="GQ37" s="64"/>
      <c r="GR37" s="24"/>
      <c r="GS37" s="24"/>
      <c r="GT37" s="64"/>
      <c r="GU37" s="64"/>
      <c r="GV37" s="64"/>
      <c r="GW37" s="64"/>
      <c r="GX37" s="64"/>
      <c r="GY37" s="64"/>
      <c r="GZ37" s="64"/>
      <c r="HA37" s="64"/>
      <c r="HB37" s="64"/>
      <c r="HC37" s="64"/>
      <c r="HD37" s="64"/>
      <c r="HE37" s="64"/>
      <c r="HF37" s="64"/>
      <c r="HG37" s="64"/>
      <c r="HH37" s="64"/>
      <c r="HI37" s="64"/>
      <c r="HJ37" s="64"/>
      <c r="HK37" s="64"/>
      <c r="HL37" s="64"/>
      <c r="HM37" s="64"/>
      <c r="HN37" s="64"/>
      <c r="HO37" s="83" t="s">
        <v>691</v>
      </c>
      <c r="HP37" s="3">
        <v>19</v>
      </c>
      <c r="HQ37" s="24"/>
      <c r="HR37" s="24"/>
      <c r="HS37" s="24"/>
      <c r="HT37" s="24"/>
      <c r="HU37" s="24"/>
      <c r="HV37" s="24"/>
      <c r="HW37" s="24"/>
      <c r="HX37" s="24"/>
      <c r="HY37" s="24"/>
      <c r="HZ37" s="24"/>
      <c r="IA37" s="24"/>
      <c r="IB37" s="65"/>
      <c r="IC37" s="65"/>
      <c r="ID37" s="24"/>
      <c r="IE37" s="24"/>
      <c r="IF37" s="24"/>
      <c r="IG37" s="24"/>
      <c r="IH37" s="24"/>
      <c r="II37" s="24"/>
      <c r="IJ37" s="24"/>
      <c r="IK37" s="24"/>
      <c r="IL37" s="24"/>
      <c r="IM37" s="24"/>
      <c r="IN37" s="64"/>
      <c r="IO37" s="64"/>
      <c r="IP37" s="24"/>
      <c r="IQ37" s="24"/>
      <c r="JQ37" s="14"/>
    </row>
    <row r="38" spans="1:277" ht="14.25" x14ac:dyDescent="0.2">
      <c r="E38" s="65"/>
      <c r="F38" s="24" t="s">
        <v>591</v>
      </c>
      <c r="G38" s="67" t="s">
        <v>168</v>
      </c>
      <c r="H38" s="24" t="str">
        <f t="shared" ref="H38:H62" si="199">F38&amp;G38</f>
        <v>郑州政六街细薯条</v>
      </c>
      <c r="I38" s="67">
        <f>VLOOKUP(H38,盘点表!A$1:O$65536,15,0)</f>
        <v>-1288</v>
      </c>
      <c r="M38" s="24" t="s">
        <v>591</v>
      </c>
      <c r="N38" s="67" t="s">
        <v>4</v>
      </c>
      <c r="O38" s="12" t="str">
        <f t="shared" si="194"/>
        <v>郑州政六街玉米粒</v>
      </c>
      <c r="P38" s="67">
        <f>VLOOKUP(O38,盘点表!A$1:O$65536,15,0)</f>
        <v>892.4</v>
      </c>
      <c r="Q38" s="13"/>
      <c r="T38" s="24" t="s">
        <v>591</v>
      </c>
      <c r="U38" s="67" t="s">
        <v>5</v>
      </c>
      <c r="V38" s="12" t="str">
        <f t="shared" si="193"/>
        <v>郑州政六街山东肉丁</v>
      </c>
      <c r="W38" s="67">
        <f>VLOOKUP(V38,盘点表!A$1:O$65536,15,0)</f>
        <v>-12508.8</v>
      </c>
      <c r="AA38" s="24" t="s">
        <v>591</v>
      </c>
      <c r="AB38" s="67" t="s">
        <v>169</v>
      </c>
      <c r="AC38" s="12" t="str">
        <f t="shared" si="195"/>
        <v>郑州政六街门店生菜</v>
      </c>
      <c r="AD38" s="67">
        <f>VLOOKUP(AC38,盘点表!A$1:O$65536,15,0)</f>
        <v>37695.1</v>
      </c>
      <c r="AH38" s="24" t="s">
        <v>591</v>
      </c>
      <c r="AI38" s="24" t="s">
        <v>170</v>
      </c>
      <c r="AJ38" s="12" t="str">
        <f t="shared" si="196"/>
        <v>郑州政六街25号专用粉</v>
      </c>
      <c r="AK38" s="24">
        <f>VLOOKUP(AJ38,盘点表!A$1:O$65536,15,0)</f>
        <v>68640.399999999994</v>
      </c>
      <c r="AO38" s="24" t="s">
        <v>591</v>
      </c>
      <c r="AP38" s="24" t="s">
        <v>8</v>
      </c>
      <c r="AQ38" s="12" t="str">
        <f t="shared" si="198"/>
        <v>郑州政六街川香酱</v>
      </c>
      <c r="AR38" s="24">
        <f>VLOOKUP(AQ38,盘点表!A$1:O$65536,15,0)</f>
        <v>726.9</v>
      </c>
      <c r="AW38" s="24" t="s">
        <v>591</v>
      </c>
      <c r="AX38" s="24" t="s">
        <v>9</v>
      </c>
      <c r="AY38" s="12" t="str">
        <f t="shared" si="197"/>
        <v>郑州政六街蜜汁酱</v>
      </c>
      <c r="AZ38" s="26">
        <f>VLOOKUP(AY38,盘点表!A$1:O$65536,15,0)</f>
        <v>1086</v>
      </c>
      <c r="BD38" s="24" t="s">
        <v>591</v>
      </c>
      <c r="BE38" s="24" t="s">
        <v>171</v>
      </c>
      <c r="BF38" s="12" t="str">
        <f>BD38&amp;BE38</f>
        <v>郑州政六街中辣味粉</v>
      </c>
      <c r="BG38" s="24">
        <f>VLOOKUP(BF38,盘点表!A$1:O$65536,15,0)</f>
        <v>2686.6</v>
      </c>
      <c r="BK38" s="24" t="s">
        <v>591</v>
      </c>
      <c r="BL38" s="24" t="s">
        <v>63</v>
      </c>
      <c r="BM38" s="12" t="str">
        <f t="shared" si="176"/>
        <v>郑州政六街鸡排粉</v>
      </c>
      <c r="BN38" s="24">
        <f>VLOOKUP(BM38,盘点表!A$1:O$65536,15,0)</f>
        <v>-50.2</v>
      </c>
      <c r="BR38" s="24" t="s">
        <v>591</v>
      </c>
      <c r="BS38" s="24" t="s">
        <v>172</v>
      </c>
      <c r="BT38" s="12" t="str">
        <f t="shared" si="177"/>
        <v>郑州政六街亿霖袋装沙司（后台）</v>
      </c>
      <c r="BU38" s="24">
        <f>VLOOKUP(BT38,盘点表!A$1:O$65536,15,0)</f>
        <v>8422.7999999999993</v>
      </c>
      <c r="BY38" s="24" t="s">
        <v>591</v>
      </c>
      <c r="BZ38" s="24" t="s">
        <v>173</v>
      </c>
      <c r="CA38" s="12" t="str">
        <f t="shared" si="178"/>
        <v>郑州政六街沙拉酱</v>
      </c>
      <c r="CB38" s="24">
        <f>VLOOKUP(CA38,盘点表!A$1:O$65536,15,0)</f>
        <v>-7417.3</v>
      </c>
      <c r="CF38" s="24" t="s">
        <v>591</v>
      </c>
      <c r="CG38" s="24" t="s">
        <v>174</v>
      </c>
      <c r="CH38" s="12" t="str">
        <f t="shared" si="179"/>
        <v>郑州政六街BBQ烤腌制粉</v>
      </c>
      <c r="CI38" s="24">
        <f>VLOOKUP(CH38,盘点表!A$1:O$65536,15,0)</f>
        <v>1435.2</v>
      </c>
      <c r="CM38" s="24" t="s">
        <v>591</v>
      </c>
      <c r="CN38" s="30" t="s">
        <v>66</v>
      </c>
      <c r="CO38" s="12" t="str">
        <f t="shared" si="180"/>
        <v>郑州政六街可乐糖浆</v>
      </c>
      <c r="CP38" s="24">
        <f>VLOOKUP(CO38,盘点表!A$1:O$65536,15,0)</f>
        <v>-150.80000000000001</v>
      </c>
      <c r="CT38" s="24" t="s">
        <v>591</v>
      </c>
      <c r="CU38" s="24" t="s">
        <v>67</v>
      </c>
      <c r="CV38" s="12" t="str">
        <f t="shared" si="181"/>
        <v>郑州政六街七喜糖浆</v>
      </c>
      <c r="CW38" s="24">
        <f>VLOOKUP(CV38,盘点表!A$1:O$65536,15,0)</f>
        <v>-104.66</v>
      </c>
      <c r="DH38" s="24" t="s">
        <v>591</v>
      </c>
      <c r="DI38" s="24" t="s">
        <v>590</v>
      </c>
      <c r="DJ38" s="12" t="str">
        <f t="shared" si="182"/>
        <v>郑州政六街橙C原材料</v>
      </c>
      <c r="DK38" s="24">
        <f>VLOOKUP(DJ38,盘点表!A$1:O$65536,15,0)</f>
        <v>-939.7</v>
      </c>
      <c r="DV38" s="24" t="s">
        <v>591</v>
      </c>
      <c r="DW38" s="24" t="s">
        <v>175</v>
      </c>
      <c r="DX38" s="12" t="str">
        <f t="shared" si="183"/>
        <v>郑州政六街蕃茄沙司（前台）</v>
      </c>
      <c r="DY38" s="24">
        <f>VLOOKUP(DX38,盘点表!A$1:O$65536,15,0)</f>
        <v>-46</v>
      </c>
      <c r="EC38" s="24" t="s">
        <v>591</v>
      </c>
      <c r="ED38" s="24" t="s">
        <v>72</v>
      </c>
      <c r="EE38" s="12" t="str">
        <f t="shared" si="184"/>
        <v>郑州政六街糖包</v>
      </c>
      <c r="EF38" s="24">
        <f>VLOOKUP(EE38,盘点表!A$1:O$65536,15,0)</f>
        <v>-132</v>
      </c>
      <c r="EJ38" s="24" t="s">
        <v>591</v>
      </c>
      <c r="EK38" s="24" t="s">
        <v>73</v>
      </c>
      <c r="EL38" s="12" t="str">
        <f t="shared" si="185"/>
        <v>郑州政六街吸管</v>
      </c>
      <c r="EM38" s="24" t="e">
        <f>VLOOKUP(EL38,盘点表!A$1:O$65536,15,0)</f>
        <v>#N/A</v>
      </c>
      <c r="EQ38" s="24" t="s">
        <v>591</v>
      </c>
      <c r="ER38" s="24" t="s">
        <v>176</v>
      </c>
      <c r="ES38" s="12" t="str">
        <f t="shared" si="186"/>
        <v>郑州政六街搅拌棒</v>
      </c>
      <c r="ET38" s="24" t="e">
        <f>VLOOKUP(ES38,盘点表!A$1:O$65536,15,0)</f>
        <v>#N/A</v>
      </c>
      <c r="EX38" s="24" t="s">
        <v>591</v>
      </c>
      <c r="EY38" s="24" t="s">
        <v>25</v>
      </c>
      <c r="EZ38" s="12" t="str">
        <f t="shared" si="187"/>
        <v>郑州政六街小勺</v>
      </c>
      <c r="FA38" s="24" t="e">
        <f>VLOOKUP(EZ38,盘点表!A$1:O$65536,15,0)</f>
        <v>#N/A</v>
      </c>
      <c r="FE38" s="24" t="s">
        <v>591</v>
      </c>
      <c r="FF38" s="24" t="s">
        <v>26</v>
      </c>
      <c r="FG38" s="64" t="str">
        <f t="shared" si="188"/>
        <v>郑州政六街汉堡纸</v>
      </c>
      <c r="FH38" s="24">
        <f>VLOOKUP(FG38,盘点表!A$1:O$65536,15,0)</f>
        <v>350</v>
      </c>
      <c r="FS38" s="24" t="s">
        <v>591</v>
      </c>
      <c r="FT38" s="24" t="s">
        <v>75</v>
      </c>
      <c r="FU38" s="64" t="str">
        <f t="shared" si="189"/>
        <v>郑州政六街纸巾</v>
      </c>
      <c r="FV38" s="24">
        <f>VLOOKUP(FU38,盘点表!A$1:O$65536,15,0)</f>
        <v>-201</v>
      </c>
      <c r="FX38" s="24" t="s">
        <v>591</v>
      </c>
      <c r="FY38" s="24" t="s">
        <v>29</v>
      </c>
      <c r="FZ38" s="64" t="str">
        <f t="shared" si="190"/>
        <v>郑州政六街托盘纸</v>
      </c>
      <c r="GA38" s="24">
        <f>VLOOKUP(FZ38,盘点表!A$1:O$65536,15,0)</f>
        <v>-1565</v>
      </c>
      <c r="GB38" s="24" t="s">
        <v>591</v>
      </c>
      <c r="GC38" s="24" t="s">
        <v>30</v>
      </c>
      <c r="GD38" s="64" t="str">
        <f t="shared" si="191"/>
        <v>郑州政六街起酥油</v>
      </c>
      <c r="GE38" s="24">
        <f>VLOOKUP(GD38,盘点表!A$1:O$65536,15,0)</f>
        <v>-19</v>
      </c>
      <c r="GJ38" s="24"/>
      <c r="GK38" s="24" t="s">
        <v>591</v>
      </c>
      <c r="GL38" s="24" t="s">
        <v>77</v>
      </c>
      <c r="GM38" s="64" t="str">
        <f t="shared" si="192"/>
        <v>郑州政六街打包袋</v>
      </c>
      <c r="GN38" s="24">
        <f>VLOOKUP(GM38,盘点表!A$1:O$65536,15,0)</f>
        <v>-600</v>
      </c>
      <c r="HO38" s="83" t="s">
        <v>692</v>
      </c>
      <c r="HP38" s="3">
        <v>11</v>
      </c>
    </row>
    <row r="39" spans="1:277" ht="14.25" x14ac:dyDescent="0.2">
      <c r="E39" s="65"/>
      <c r="F39" s="24" t="s">
        <v>592</v>
      </c>
      <c r="G39" s="67" t="s">
        <v>168</v>
      </c>
      <c r="H39" s="24" t="str">
        <f t="shared" si="199"/>
        <v>郑州铁英街细薯条</v>
      </c>
      <c r="I39" s="67">
        <f>VLOOKUP(H39,盘点表!A$1:O$65536,15,0)</f>
        <v>-1122</v>
      </c>
      <c r="M39" s="24" t="s">
        <v>592</v>
      </c>
      <c r="N39" s="67" t="s">
        <v>4</v>
      </c>
      <c r="O39" s="12" t="str">
        <f t="shared" si="194"/>
        <v>郑州铁英街玉米粒</v>
      </c>
      <c r="P39" s="67">
        <f>VLOOKUP(O39,盘点表!A$1:O$65536,15,0)</f>
        <v>1255.4000000000001</v>
      </c>
      <c r="T39" s="24" t="s">
        <v>592</v>
      </c>
      <c r="U39" s="67" t="s">
        <v>5</v>
      </c>
      <c r="V39" s="12" t="str">
        <f t="shared" si="193"/>
        <v>郑州铁英街山东肉丁</v>
      </c>
      <c r="W39" s="67">
        <f>VLOOKUP(V39,盘点表!A$1:O$65536,15,0)</f>
        <v>377.1</v>
      </c>
      <c r="AA39" s="24" t="s">
        <v>592</v>
      </c>
      <c r="AB39" s="67" t="s">
        <v>169</v>
      </c>
      <c r="AC39" s="12" t="str">
        <f t="shared" si="195"/>
        <v>郑州铁英街门店生菜</v>
      </c>
      <c r="AD39" s="67">
        <f>VLOOKUP(AC39,盘点表!A$1:O$65536,15,0)</f>
        <v>5365</v>
      </c>
      <c r="AH39" s="24" t="s">
        <v>592</v>
      </c>
      <c r="AI39" s="24" t="s">
        <v>170</v>
      </c>
      <c r="AJ39" s="12" t="str">
        <f t="shared" si="196"/>
        <v>郑州铁英街25号专用粉</v>
      </c>
      <c r="AK39" s="24">
        <f>VLOOKUP(AJ39,盘点表!A$1:O$65536,15,0)</f>
        <v>64403.85</v>
      </c>
      <c r="AO39" s="24" t="s">
        <v>592</v>
      </c>
      <c r="AP39" s="24" t="s">
        <v>8</v>
      </c>
      <c r="AQ39" s="12" t="str">
        <f t="shared" si="198"/>
        <v>郑州铁英街川香酱</v>
      </c>
      <c r="AR39" s="24">
        <f>VLOOKUP(AQ39,盘点表!A$1:O$65536,15,0)</f>
        <v>227.8</v>
      </c>
      <c r="AW39" s="24" t="s">
        <v>592</v>
      </c>
      <c r="AX39" s="24" t="s">
        <v>9</v>
      </c>
      <c r="AY39" s="12" t="str">
        <f t="shared" si="197"/>
        <v>郑州铁英街蜜汁酱</v>
      </c>
      <c r="AZ39" s="24">
        <f>VLOOKUP(AY39,盘点表!A$1:O$65536,15,0)</f>
        <v>250</v>
      </c>
      <c r="BD39" s="24" t="s">
        <v>592</v>
      </c>
      <c r="BE39" s="24" t="s">
        <v>171</v>
      </c>
      <c r="BF39" s="12" t="str">
        <f t="shared" ref="BF39:BF41" si="200">BD39&amp;BE39</f>
        <v>郑州铁英街中辣味粉</v>
      </c>
      <c r="BG39" s="24">
        <f>VLOOKUP(BF39,盘点表!A$1:O$65536,15,0)</f>
        <v>23.8</v>
      </c>
      <c r="BK39" s="24" t="s">
        <v>592</v>
      </c>
      <c r="BL39" s="24" t="s">
        <v>63</v>
      </c>
      <c r="BM39" s="12" t="str">
        <f t="shared" si="176"/>
        <v>郑州铁英街鸡排粉</v>
      </c>
      <c r="BN39" s="24">
        <f>VLOOKUP(BM39,盘点表!A$1:O$65536,15,0)</f>
        <v>321.39999999999998</v>
      </c>
      <c r="BR39" s="24" t="s">
        <v>592</v>
      </c>
      <c r="BS39" s="24" t="s">
        <v>172</v>
      </c>
      <c r="BT39" s="12" t="str">
        <f t="shared" si="177"/>
        <v>郑州铁英街亿霖袋装沙司（后台）</v>
      </c>
      <c r="BU39" s="24">
        <f>VLOOKUP(BT39,盘点表!A$1:O$65536,15,0)</f>
        <v>92.4</v>
      </c>
      <c r="BY39" s="24" t="s">
        <v>592</v>
      </c>
      <c r="BZ39" s="24" t="s">
        <v>173</v>
      </c>
      <c r="CA39" s="12" t="str">
        <f t="shared" si="178"/>
        <v>郑州铁英街沙拉酱</v>
      </c>
      <c r="CB39" s="24">
        <f>VLOOKUP(CA39,盘点表!A$1:O$65536,15,0)</f>
        <v>817.4</v>
      </c>
      <c r="CF39" s="24" t="s">
        <v>592</v>
      </c>
      <c r="CG39" s="24" t="s">
        <v>174</v>
      </c>
      <c r="CH39" s="12" t="str">
        <f t="shared" si="179"/>
        <v>郑州铁英街BBQ烤腌制粉</v>
      </c>
      <c r="CI39" s="24">
        <f>VLOOKUP(CH39,盘点表!A$1:O$65536,15,0)</f>
        <v>70.400000000000006</v>
      </c>
      <c r="CM39" s="24" t="s">
        <v>592</v>
      </c>
      <c r="CN39" s="30" t="s">
        <v>66</v>
      </c>
      <c r="CO39" s="12" t="str">
        <f t="shared" si="180"/>
        <v>郑州铁英街可乐糖浆</v>
      </c>
      <c r="CP39" s="24">
        <f>VLOOKUP(CO39,盘点表!A$1:O$65536,15,0)</f>
        <v>1215.3</v>
      </c>
      <c r="CT39" s="24" t="s">
        <v>592</v>
      </c>
      <c r="CU39" s="24" t="s">
        <v>67</v>
      </c>
      <c r="CV39" s="12" t="str">
        <f t="shared" si="181"/>
        <v>郑州铁英街七喜糖浆</v>
      </c>
      <c r="CW39" s="24">
        <f>VLOOKUP(CV39,盘点表!A$1:O$65536,15,0)</f>
        <v>126.92</v>
      </c>
      <c r="DH39" s="24" t="s">
        <v>592</v>
      </c>
      <c r="DI39" s="24" t="s">
        <v>590</v>
      </c>
      <c r="DJ39" s="12" t="str">
        <f t="shared" si="182"/>
        <v>郑州铁英街橙C原材料</v>
      </c>
      <c r="DK39" s="24">
        <f>VLOOKUP(DJ39,盘点表!A$1:O$65536,15,0)</f>
        <v>613.5</v>
      </c>
      <c r="DV39" s="24" t="s">
        <v>592</v>
      </c>
      <c r="DW39" s="24" t="s">
        <v>175</v>
      </c>
      <c r="DX39" s="12" t="str">
        <f t="shared" si="183"/>
        <v>郑州铁英街蕃茄沙司（前台）</v>
      </c>
      <c r="DY39" s="24">
        <f>VLOOKUP(DX39,盘点表!A$1:O$65536,15,0)</f>
        <v>-139</v>
      </c>
      <c r="EC39" s="24" t="s">
        <v>592</v>
      </c>
      <c r="ED39" s="24" t="s">
        <v>72</v>
      </c>
      <c r="EE39" s="12" t="str">
        <f t="shared" si="184"/>
        <v>郑州铁英街糖包</v>
      </c>
      <c r="EF39" s="24">
        <f>VLOOKUP(EE39,盘点表!A$1:O$65536,15,0)</f>
        <v>-26</v>
      </c>
      <c r="EJ39" s="24" t="s">
        <v>592</v>
      </c>
      <c r="EK39" s="24" t="s">
        <v>73</v>
      </c>
      <c r="EL39" s="12" t="str">
        <f t="shared" si="185"/>
        <v>郑州铁英街吸管</v>
      </c>
      <c r="EM39" s="24" t="e">
        <f>VLOOKUP(EL39,盘点表!A$1:O$65536,15,0)</f>
        <v>#N/A</v>
      </c>
      <c r="EQ39" s="24" t="s">
        <v>592</v>
      </c>
      <c r="ER39" s="24" t="s">
        <v>176</v>
      </c>
      <c r="ES39" s="12" t="str">
        <f t="shared" si="186"/>
        <v>郑州铁英街搅拌棒</v>
      </c>
      <c r="ET39" s="24" t="e">
        <f>VLOOKUP(ES39,盘点表!A$1:O$65536,15,0)</f>
        <v>#N/A</v>
      </c>
      <c r="EX39" s="24" t="s">
        <v>592</v>
      </c>
      <c r="EY39" s="24" t="s">
        <v>25</v>
      </c>
      <c r="EZ39" s="12" t="str">
        <f t="shared" si="187"/>
        <v>郑州铁英街小勺</v>
      </c>
      <c r="FA39" s="24" t="e">
        <f>VLOOKUP(EZ39,盘点表!A$1:O$65536,15,0)</f>
        <v>#N/A</v>
      </c>
      <c r="FE39" s="24" t="s">
        <v>592</v>
      </c>
      <c r="FF39" s="24" t="s">
        <v>26</v>
      </c>
      <c r="FG39" s="64" t="str">
        <f t="shared" si="188"/>
        <v>郑州铁英街汉堡纸</v>
      </c>
      <c r="FH39" s="24">
        <f>VLOOKUP(FG39,盘点表!A$1:O$65536,15,0)</f>
        <v>788</v>
      </c>
      <c r="FS39" s="24" t="s">
        <v>592</v>
      </c>
      <c r="FT39" s="24" t="s">
        <v>75</v>
      </c>
      <c r="FU39" s="64" t="str">
        <f t="shared" si="189"/>
        <v>郑州铁英街纸巾</v>
      </c>
      <c r="FV39" s="24">
        <f>VLOOKUP(FU39,盘点表!A$1:O$65536,15,0)</f>
        <v>-142</v>
      </c>
      <c r="FX39" s="24" t="s">
        <v>592</v>
      </c>
      <c r="FY39" s="24" t="s">
        <v>29</v>
      </c>
      <c r="FZ39" s="64" t="str">
        <f t="shared" si="190"/>
        <v>郑州铁英街托盘纸</v>
      </c>
      <c r="GA39" s="24">
        <f>VLOOKUP(FZ39,盘点表!A$1:O$65536,15,0)</f>
        <v>485</v>
      </c>
      <c r="GB39" s="24" t="s">
        <v>592</v>
      </c>
      <c r="GC39" s="24" t="s">
        <v>30</v>
      </c>
      <c r="GD39" s="64" t="str">
        <f t="shared" si="191"/>
        <v>郑州铁英街起酥油</v>
      </c>
      <c r="GE39" s="24">
        <f>VLOOKUP(GD39,盘点表!A$1:O$65536,15,0)</f>
        <v>-15</v>
      </c>
      <c r="GJ39" s="24"/>
      <c r="GK39" s="24" t="s">
        <v>592</v>
      </c>
      <c r="GL39" s="24" t="s">
        <v>77</v>
      </c>
      <c r="GM39" s="64" t="str">
        <f t="shared" si="192"/>
        <v>郑州铁英街打包袋</v>
      </c>
      <c r="GN39" s="24" t="e">
        <f>VLOOKUP(GM39,盘点表!A$1:O$65536,15,0)</f>
        <v>#N/A</v>
      </c>
      <c r="HO39" s="83" t="s">
        <v>693</v>
      </c>
      <c r="HP39" s="3">
        <v>4</v>
      </c>
    </row>
    <row r="40" spans="1:277" ht="14.25" x14ac:dyDescent="0.2">
      <c r="E40" s="65"/>
      <c r="F40" s="24" t="s">
        <v>593</v>
      </c>
      <c r="G40" s="67" t="s">
        <v>168</v>
      </c>
      <c r="H40" s="24" t="str">
        <f t="shared" si="199"/>
        <v>郑州康复中街细薯条</v>
      </c>
      <c r="I40" s="67">
        <f>VLOOKUP(H40,盘点表!A$1:O$65536,15,0)</f>
        <v>0</v>
      </c>
      <c r="M40" s="24" t="s">
        <v>593</v>
      </c>
      <c r="N40" s="67" t="s">
        <v>4</v>
      </c>
      <c r="O40" s="12" t="str">
        <f t="shared" si="194"/>
        <v>郑州康复中街玉米粒</v>
      </c>
      <c r="P40" s="67">
        <f>VLOOKUP(O40,盘点表!A$1:O$65536,15,0)</f>
        <v>-35.299999999999997</v>
      </c>
      <c r="T40" s="24" t="s">
        <v>593</v>
      </c>
      <c r="U40" s="67" t="s">
        <v>5</v>
      </c>
      <c r="V40" s="12" t="str">
        <f t="shared" si="193"/>
        <v>郑州康复中街山东肉丁</v>
      </c>
      <c r="W40" s="67">
        <f>VLOOKUP(V40,盘点表!A$1:O$65536,15,0)</f>
        <v>-0.9</v>
      </c>
      <c r="AA40" s="24" t="s">
        <v>593</v>
      </c>
      <c r="AB40" s="67" t="s">
        <v>169</v>
      </c>
      <c r="AC40" s="12" t="str">
        <f t="shared" si="195"/>
        <v>郑州康复中街门店生菜</v>
      </c>
      <c r="AD40" s="67">
        <f>VLOOKUP(AC40,盘点表!A$1:O$65536,15,0)</f>
        <v>59364.4</v>
      </c>
      <c r="AH40" s="24" t="s">
        <v>593</v>
      </c>
      <c r="AI40" s="24" t="s">
        <v>170</v>
      </c>
      <c r="AJ40" s="12" t="str">
        <f t="shared" si="196"/>
        <v>郑州康复中街25号专用粉</v>
      </c>
      <c r="AK40" s="24">
        <f>VLOOKUP(AJ40,盘点表!A$1:O$65536,15,0)</f>
        <v>36764.199999999997</v>
      </c>
      <c r="AO40" s="24" t="s">
        <v>593</v>
      </c>
      <c r="AP40" s="24" t="s">
        <v>8</v>
      </c>
      <c r="AQ40" s="12" t="str">
        <f t="shared" si="198"/>
        <v>郑州康复中街川香酱</v>
      </c>
      <c r="AR40" s="24">
        <f>VLOOKUP(AQ40,盘点表!A$1:O$65536,15,0)</f>
        <v>-0.6</v>
      </c>
      <c r="AW40" s="24" t="s">
        <v>593</v>
      </c>
      <c r="AX40" s="24" t="s">
        <v>9</v>
      </c>
      <c r="AY40" s="12" t="str">
        <f t="shared" si="197"/>
        <v>郑州康复中街蜜汁酱</v>
      </c>
      <c r="AZ40" s="24">
        <f>VLOOKUP(AY40,盘点表!A$1:O$65536,15,0)</f>
        <v>-73.599999999999994</v>
      </c>
      <c r="BD40" s="24" t="s">
        <v>593</v>
      </c>
      <c r="BE40" s="24" t="s">
        <v>171</v>
      </c>
      <c r="BF40" s="12" t="str">
        <f t="shared" si="200"/>
        <v>郑州康复中街中辣味粉</v>
      </c>
      <c r="BG40" s="24">
        <f>VLOOKUP(BF40,盘点表!A$1:O$65536,15,0)</f>
        <v>4711.8500000000004</v>
      </c>
      <c r="BK40" s="24" t="s">
        <v>593</v>
      </c>
      <c r="BL40" s="24" t="s">
        <v>63</v>
      </c>
      <c r="BM40" s="12" t="str">
        <f t="shared" si="176"/>
        <v>郑州康复中街鸡排粉</v>
      </c>
      <c r="BN40" s="24">
        <f>VLOOKUP(BM40,盘点表!A$1:O$65536,15,0)</f>
        <v>1832.9</v>
      </c>
      <c r="BR40" s="24" t="s">
        <v>593</v>
      </c>
      <c r="BS40" s="24" t="s">
        <v>172</v>
      </c>
      <c r="BT40" s="12" t="str">
        <f t="shared" si="177"/>
        <v>郑州康复中街亿霖袋装沙司（后台）</v>
      </c>
      <c r="BU40" s="24">
        <f>VLOOKUP(BT40,盘点表!A$1:O$65536,15,0)</f>
        <v>-0.6</v>
      </c>
      <c r="BY40" s="24" t="s">
        <v>593</v>
      </c>
      <c r="BZ40" s="24" t="s">
        <v>173</v>
      </c>
      <c r="CA40" s="12" t="str">
        <f t="shared" si="178"/>
        <v>郑州康复中街沙拉酱</v>
      </c>
      <c r="CB40" s="24">
        <f>VLOOKUP(CA40,盘点表!A$1:O$65536,15,0)</f>
        <v>-0.9</v>
      </c>
      <c r="CF40" s="24" t="s">
        <v>593</v>
      </c>
      <c r="CG40" s="24" t="s">
        <v>174</v>
      </c>
      <c r="CH40" s="12" t="str">
        <f t="shared" si="179"/>
        <v>郑州康复中街BBQ烤腌制粉</v>
      </c>
      <c r="CI40" s="24">
        <f>VLOOKUP(CH40,盘点表!A$1:O$65536,15,0)</f>
        <v>9.8000000000000007</v>
      </c>
      <c r="CM40" s="24" t="s">
        <v>593</v>
      </c>
      <c r="CN40" s="30" t="s">
        <v>66</v>
      </c>
      <c r="CO40" s="12" t="str">
        <f t="shared" si="180"/>
        <v>郑州康复中街可乐糖浆</v>
      </c>
      <c r="CP40" s="24">
        <f>VLOOKUP(CO40,盘点表!A$1:O$65536,15,0)</f>
        <v>17648.52</v>
      </c>
      <c r="CT40" s="24" t="s">
        <v>593</v>
      </c>
      <c r="CU40" s="24" t="s">
        <v>67</v>
      </c>
      <c r="CV40" s="12" t="str">
        <f t="shared" si="181"/>
        <v>郑州康复中街七喜糖浆</v>
      </c>
      <c r="CW40" s="24">
        <f>VLOOKUP(CV40,盘点表!A$1:O$65536,15,0)</f>
        <v>-43.92</v>
      </c>
      <c r="DH40" s="24" t="s">
        <v>593</v>
      </c>
      <c r="DI40" s="24" t="s">
        <v>590</v>
      </c>
      <c r="DJ40" s="12" t="str">
        <f t="shared" si="182"/>
        <v>郑州康复中街橙C原材料</v>
      </c>
      <c r="DK40" s="24">
        <f>VLOOKUP(DJ40,盘点表!A$1:O$65536,15,0)</f>
        <v>-172.9</v>
      </c>
      <c r="DV40" s="24" t="s">
        <v>593</v>
      </c>
      <c r="DW40" s="24" t="s">
        <v>175</v>
      </c>
      <c r="DX40" s="12" t="str">
        <f t="shared" si="183"/>
        <v>郑州康复中街蕃茄沙司（前台）</v>
      </c>
      <c r="DY40" s="24">
        <f>VLOOKUP(DX40,盘点表!A$1:O$65536,15,0)</f>
        <v>-8</v>
      </c>
      <c r="EC40" s="24" t="s">
        <v>593</v>
      </c>
      <c r="ED40" s="24" t="s">
        <v>72</v>
      </c>
      <c r="EE40" s="12" t="str">
        <f t="shared" si="184"/>
        <v>郑州康复中街糖包</v>
      </c>
      <c r="EF40" s="24">
        <f>VLOOKUP(EE40,盘点表!A$1:O$65536,15,0)</f>
        <v>-108</v>
      </c>
      <c r="EJ40" s="24" t="s">
        <v>593</v>
      </c>
      <c r="EK40" s="24" t="s">
        <v>73</v>
      </c>
      <c r="EL40" s="12" t="str">
        <f t="shared" si="185"/>
        <v>郑州康复中街吸管</v>
      </c>
      <c r="EM40" s="24" t="e">
        <f>VLOOKUP(EL40,盘点表!A$1:O$65536,15,0)</f>
        <v>#N/A</v>
      </c>
      <c r="EQ40" s="24" t="s">
        <v>593</v>
      </c>
      <c r="ER40" s="24" t="s">
        <v>176</v>
      </c>
      <c r="ES40" s="12" t="str">
        <f t="shared" si="186"/>
        <v>郑州康复中街搅拌棒</v>
      </c>
      <c r="ET40" s="24" t="e">
        <f>VLOOKUP(ES40,盘点表!A$1:O$65536,15,0)</f>
        <v>#N/A</v>
      </c>
      <c r="EX40" s="24" t="s">
        <v>593</v>
      </c>
      <c r="EY40" s="24" t="s">
        <v>25</v>
      </c>
      <c r="EZ40" s="12" t="str">
        <f t="shared" si="187"/>
        <v>郑州康复中街小勺</v>
      </c>
      <c r="FA40" s="24" t="e">
        <f>VLOOKUP(EZ40,盘点表!A$1:O$65536,15,0)</f>
        <v>#N/A</v>
      </c>
      <c r="FE40" s="24" t="s">
        <v>593</v>
      </c>
      <c r="FF40" s="24" t="s">
        <v>26</v>
      </c>
      <c r="FG40" s="64" t="str">
        <f t="shared" si="188"/>
        <v>郑州康复中街汉堡纸</v>
      </c>
      <c r="FH40" s="24">
        <f>VLOOKUP(FG40,盘点表!A$1:O$65536,15,0)</f>
        <v>-2897</v>
      </c>
      <c r="FS40" s="24" t="s">
        <v>593</v>
      </c>
      <c r="FT40" s="24" t="s">
        <v>75</v>
      </c>
      <c r="FU40" s="64" t="str">
        <f t="shared" si="189"/>
        <v>郑州康复中街纸巾</v>
      </c>
      <c r="FV40" s="24">
        <f>VLOOKUP(FU40,盘点表!A$1:O$65536,15,0)</f>
        <v>-30</v>
      </c>
      <c r="FX40" s="24" t="s">
        <v>593</v>
      </c>
      <c r="FY40" s="24" t="s">
        <v>29</v>
      </c>
      <c r="FZ40" s="64" t="str">
        <f t="shared" si="190"/>
        <v>郑州康复中街托盘纸</v>
      </c>
      <c r="GA40" s="24">
        <f>VLOOKUP(FZ40,盘点表!A$1:O$65536,15,0)</f>
        <v>-1000</v>
      </c>
      <c r="GB40" s="24" t="s">
        <v>593</v>
      </c>
      <c r="GC40" s="24" t="s">
        <v>30</v>
      </c>
      <c r="GD40" s="64" t="str">
        <f t="shared" si="191"/>
        <v>郑州康复中街起酥油</v>
      </c>
      <c r="GE40" s="24">
        <f>VLOOKUP(GD40,盘点表!A$1:O$65536,15,0)</f>
        <v>-19</v>
      </c>
      <c r="GJ40" s="24"/>
      <c r="GK40" s="24" t="s">
        <v>593</v>
      </c>
      <c r="GL40" s="24" t="s">
        <v>77</v>
      </c>
      <c r="GM40" s="64" t="str">
        <f t="shared" si="192"/>
        <v>郑州康复中街打包袋</v>
      </c>
      <c r="GN40" s="24" t="e">
        <f>VLOOKUP(GM40,盘点表!A$1:O$65536,15,0)</f>
        <v>#N/A</v>
      </c>
      <c r="HO40" s="83" t="s">
        <v>694</v>
      </c>
      <c r="HP40" s="3">
        <v>23</v>
      </c>
    </row>
    <row r="41" spans="1:277" ht="14.25" x14ac:dyDescent="0.2">
      <c r="E41" s="65"/>
      <c r="F41" s="24" t="s">
        <v>594</v>
      </c>
      <c r="G41" s="67" t="s">
        <v>168</v>
      </c>
      <c r="H41" s="24" t="str">
        <f t="shared" si="199"/>
        <v>方城锦城国际细薯条</v>
      </c>
      <c r="I41" s="67">
        <f>VLOOKUP(H41,盘点表!A$1:O$65536,15,0)</f>
        <v>242</v>
      </c>
      <c r="M41" s="24" t="s">
        <v>594</v>
      </c>
      <c r="N41" s="67" t="s">
        <v>4</v>
      </c>
      <c r="O41" s="12" t="str">
        <f t="shared" si="194"/>
        <v>方城锦城国际玉米粒</v>
      </c>
      <c r="P41" s="67">
        <f>VLOOKUP(O41,盘点表!A$1:O$65536,15,0)</f>
        <v>1300.2</v>
      </c>
      <c r="T41" s="24" t="s">
        <v>594</v>
      </c>
      <c r="U41" s="67" t="s">
        <v>5</v>
      </c>
      <c r="V41" s="12" t="str">
        <f t="shared" si="193"/>
        <v>方城锦城国际山东肉丁</v>
      </c>
      <c r="W41" s="67">
        <f>VLOOKUP(V41,盘点表!A$1:O$65536,15,0)</f>
        <v>1608.9</v>
      </c>
      <c r="AA41" s="24" t="s">
        <v>594</v>
      </c>
      <c r="AB41" s="67" t="s">
        <v>169</v>
      </c>
      <c r="AC41" s="12" t="str">
        <f t="shared" si="195"/>
        <v>方城锦城国际门店生菜</v>
      </c>
      <c r="AD41" s="67">
        <f>VLOOKUP(AC41,盘点表!A$1:O$65536,15,0)</f>
        <v>16789.7</v>
      </c>
      <c r="AH41" s="24" t="s">
        <v>594</v>
      </c>
      <c r="AI41" s="24" t="s">
        <v>170</v>
      </c>
      <c r="AJ41" s="12" t="str">
        <f t="shared" si="196"/>
        <v>方城锦城国际25号专用粉</v>
      </c>
      <c r="AK41" s="24">
        <f>VLOOKUP(AJ41,盘点表!A$1:O$65536,15,0)</f>
        <v>20690.900000000001</v>
      </c>
      <c r="AO41" s="24" t="s">
        <v>594</v>
      </c>
      <c r="AP41" s="24" t="s">
        <v>8</v>
      </c>
      <c r="AQ41" s="12" t="str">
        <f t="shared" si="198"/>
        <v>方城锦城国际川香酱</v>
      </c>
      <c r="AR41" s="24">
        <f>VLOOKUP(AQ41,盘点表!A$1:O$65536,15,0)</f>
        <v>-569</v>
      </c>
      <c r="AW41" s="24" t="s">
        <v>594</v>
      </c>
      <c r="AX41" s="24" t="s">
        <v>9</v>
      </c>
      <c r="AY41" s="12" t="str">
        <f t="shared" si="197"/>
        <v>方城锦城国际蜜汁酱</v>
      </c>
      <c r="AZ41" s="24">
        <f>VLOOKUP(AY41,盘点表!A$1:O$65536,15,0)</f>
        <v>964</v>
      </c>
      <c r="BD41" s="24" t="s">
        <v>594</v>
      </c>
      <c r="BE41" s="24" t="s">
        <v>171</v>
      </c>
      <c r="BF41" s="12" t="str">
        <f t="shared" si="200"/>
        <v>方城锦城国际中辣味粉</v>
      </c>
      <c r="BG41" s="24">
        <f>VLOOKUP(BF41,盘点表!A$1:O$65536,15,0)</f>
        <v>837.15</v>
      </c>
      <c r="BK41" s="24" t="s">
        <v>594</v>
      </c>
      <c r="BL41" s="24" t="s">
        <v>63</v>
      </c>
      <c r="BM41" s="12" t="str">
        <f t="shared" si="176"/>
        <v>方城锦城国际鸡排粉</v>
      </c>
      <c r="BN41" s="24">
        <f>VLOOKUP(BM41,盘点表!A$1:O$65536,15,0)</f>
        <v>855.1</v>
      </c>
      <c r="BR41" s="24" t="s">
        <v>594</v>
      </c>
      <c r="BS41" s="24" t="s">
        <v>172</v>
      </c>
      <c r="BT41" s="12" t="str">
        <f t="shared" si="177"/>
        <v>方城锦城国际亿霖袋装沙司（后台）</v>
      </c>
      <c r="BU41" s="24">
        <f>VLOOKUP(BT41,盘点表!A$1:O$65536,15,0)</f>
        <v>-1138.2</v>
      </c>
      <c r="BY41" s="24" t="s">
        <v>594</v>
      </c>
      <c r="BZ41" s="24" t="s">
        <v>173</v>
      </c>
      <c r="CA41" s="12" t="str">
        <f t="shared" si="178"/>
        <v>方城锦城国际沙拉酱</v>
      </c>
      <c r="CB41" s="24">
        <f>VLOOKUP(CA41,盘点表!A$1:O$65536,15,0)</f>
        <v>653.5</v>
      </c>
      <c r="CF41" s="24" t="s">
        <v>594</v>
      </c>
      <c r="CG41" s="24" t="s">
        <v>174</v>
      </c>
      <c r="CH41" s="12" t="str">
        <f t="shared" si="179"/>
        <v>方城锦城国际BBQ烤腌制粉</v>
      </c>
      <c r="CI41" s="24">
        <f>VLOOKUP(CH41,盘点表!A$1:O$65536,15,0)</f>
        <v>1716</v>
      </c>
      <c r="CM41" s="24" t="s">
        <v>594</v>
      </c>
      <c r="CN41" s="30" t="s">
        <v>66</v>
      </c>
      <c r="CO41" s="12" t="str">
        <f t="shared" si="180"/>
        <v>方城锦城国际可乐糖浆</v>
      </c>
      <c r="CP41" s="24">
        <f>VLOOKUP(CO41,盘点表!A$1:O$65536,15,0)</f>
        <v>897.49</v>
      </c>
      <c r="CT41" s="24" t="s">
        <v>594</v>
      </c>
      <c r="CU41" s="24" t="s">
        <v>67</v>
      </c>
      <c r="CV41" s="12" t="str">
        <f t="shared" si="181"/>
        <v>方城锦城国际七喜糖浆</v>
      </c>
      <c r="CW41" s="24">
        <f>VLOOKUP(CV41,盘点表!A$1:O$65536,15,0)</f>
        <v>4281.66</v>
      </c>
      <c r="DH41" s="24" t="s">
        <v>594</v>
      </c>
      <c r="DI41" s="24" t="s">
        <v>590</v>
      </c>
      <c r="DJ41" s="12" t="str">
        <f t="shared" si="182"/>
        <v>方城锦城国际橙C原材料</v>
      </c>
      <c r="DK41" s="24">
        <f>VLOOKUP(DJ41,盘点表!A$1:O$65536,15,0)</f>
        <v>2.6</v>
      </c>
      <c r="DV41" s="24" t="s">
        <v>594</v>
      </c>
      <c r="DW41" s="24" t="s">
        <v>175</v>
      </c>
      <c r="DX41" s="12" t="str">
        <f t="shared" si="183"/>
        <v>方城锦城国际蕃茄沙司（前台）</v>
      </c>
      <c r="DY41" s="24">
        <f>VLOOKUP(DX41,盘点表!A$1:O$65536,15,0)</f>
        <v>-301</v>
      </c>
      <c r="EC41" s="24" t="s">
        <v>594</v>
      </c>
      <c r="ED41" s="24" t="s">
        <v>72</v>
      </c>
      <c r="EE41" s="12" t="str">
        <f t="shared" si="184"/>
        <v>方城锦城国际糖包</v>
      </c>
      <c r="EF41" s="24">
        <f>VLOOKUP(EE41,盘点表!A$1:O$65536,15,0)</f>
        <v>-2</v>
      </c>
      <c r="EJ41" s="24" t="s">
        <v>594</v>
      </c>
      <c r="EK41" s="24" t="s">
        <v>73</v>
      </c>
      <c r="EL41" s="12" t="str">
        <f t="shared" si="185"/>
        <v>方城锦城国际吸管</v>
      </c>
      <c r="EM41" s="24" t="e">
        <f>VLOOKUP(EL41,盘点表!A$1:O$65536,15,0)</f>
        <v>#N/A</v>
      </c>
      <c r="EQ41" s="24" t="s">
        <v>594</v>
      </c>
      <c r="ER41" s="24" t="s">
        <v>176</v>
      </c>
      <c r="ES41" s="12" t="str">
        <f t="shared" si="186"/>
        <v>方城锦城国际搅拌棒</v>
      </c>
      <c r="ET41" s="24" t="e">
        <f>VLOOKUP(ES41,盘点表!A$1:O$65536,15,0)</f>
        <v>#N/A</v>
      </c>
      <c r="EX41" s="24" t="s">
        <v>594</v>
      </c>
      <c r="EY41" s="24" t="s">
        <v>25</v>
      </c>
      <c r="EZ41" s="12" t="str">
        <f t="shared" si="187"/>
        <v>方城锦城国际小勺</v>
      </c>
      <c r="FA41" s="24" t="e">
        <f>VLOOKUP(EZ41,盘点表!A$1:O$65536,15,0)</f>
        <v>#N/A</v>
      </c>
      <c r="FE41" s="24" t="s">
        <v>594</v>
      </c>
      <c r="FF41" s="24" t="s">
        <v>26</v>
      </c>
      <c r="FG41" s="64" t="str">
        <f t="shared" si="188"/>
        <v>方城锦城国际汉堡纸</v>
      </c>
      <c r="FH41" s="24">
        <f>VLOOKUP(FG41,盘点表!A$1:O$65536,15,0)</f>
        <v>-227</v>
      </c>
      <c r="FS41" s="24" t="s">
        <v>594</v>
      </c>
      <c r="FT41" s="24" t="s">
        <v>75</v>
      </c>
      <c r="FU41" s="64" t="str">
        <f t="shared" si="189"/>
        <v>方城锦城国际纸巾</v>
      </c>
      <c r="FV41" s="24">
        <f>VLOOKUP(FU41,盘点表!A$1:O$65536,15,0)</f>
        <v>-143</v>
      </c>
      <c r="FX41" s="24" t="s">
        <v>594</v>
      </c>
      <c r="FY41" s="24" t="s">
        <v>29</v>
      </c>
      <c r="FZ41" s="64" t="str">
        <f t="shared" si="190"/>
        <v>方城锦城国际托盘纸</v>
      </c>
      <c r="GA41" s="24">
        <f>VLOOKUP(FZ41,盘点表!A$1:O$65536,15,0)</f>
        <v>0</v>
      </c>
      <c r="GB41" s="24" t="s">
        <v>594</v>
      </c>
      <c r="GC41" s="24" t="s">
        <v>30</v>
      </c>
      <c r="GD41" s="64" t="str">
        <f t="shared" si="191"/>
        <v>方城锦城国际起酥油</v>
      </c>
      <c r="GE41" s="24">
        <f>VLOOKUP(GD41,盘点表!A$1:O$65536,15,0)</f>
        <v>-15</v>
      </c>
      <c r="GJ41" s="24"/>
      <c r="GK41" s="24" t="s">
        <v>594</v>
      </c>
      <c r="GL41" s="24" t="s">
        <v>77</v>
      </c>
      <c r="GM41" s="64" t="str">
        <f t="shared" si="192"/>
        <v>方城锦城国际打包袋</v>
      </c>
      <c r="GN41" s="24">
        <f>VLOOKUP(GM41,盘点表!A$1:O$65536,15,0)</f>
        <v>-2364</v>
      </c>
      <c r="HO41" s="83" t="s">
        <v>695</v>
      </c>
      <c r="HP41" s="3">
        <v>5</v>
      </c>
    </row>
    <row r="42" spans="1:277" ht="14.25" x14ac:dyDescent="0.2">
      <c r="E42" s="65"/>
      <c r="G42" s="67" t="s">
        <v>168</v>
      </c>
      <c r="H42" s="24" t="str">
        <f t="shared" si="199"/>
        <v>细薯条</v>
      </c>
      <c r="I42" s="67" t="e">
        <f>VLOOKUP(H42,盘点表!A$1:O$65536,15,0)</f>
        <v>#N/A</v>
      </c>
      <c r="M42" s="24" t="s">
        <v>36</v>
      </c>
      <c r="N42" s="67" t="s">
        <v>4</v>
      </c>
      <c r="O42" s="12" t="str">
        <f t="shared" si="194"/>
        <v>吉利玉米粒</v>
      </c>
      <c r="P42" s="67" t="e">
        <f>VLOOKUP(O42,盘点表!A$1:O$65536,15,0)</f>
        <v>#N/A</v>
      </c>
      <c r="U42" s="67" t="s">
        <v>5</v>
      </c>
      <c r="V42" s="12" t="str">
        <f t="shared" ref="V42:V62" si="201">T42&amp;U42</f>
        <v>山东肉丁</v>
      </c>
      <c r="W42" s="67" t="e">
        <f>VLOOKUP(V42,盘点表!A$1:O$65536,15,0)</f>
        <v>#N/A</v>
      </c>
      <c r="AB42" s="67" t="s">
        <v>169</v>
      </c>
      <c r="AC42" s="12" t="str">
        <f t="shared" ref="AC42:AC62" si="202">AA42&amp;AB42</f>
        <v>门店生菜</v>
      </c>
      <c r="AD42" s="67" t="e">
        <f>VLOOKUP(AC42,盘点表!A$1:O$65536,15,0)</f>
        <v>#N/A</v>
      </c>
      <c r="AI42" s="24" t="s">
        <v>170</v>
      </c>
      <c r="AJ42" s="12" t="str">
        <f t="shared" ref="AJ42:AJ62" si="203">AH42&amp;AI42</f>
        <v>25号专用粉</v>
      </c>
      <c r="AK42" s="24" t="e">
        <f>VLOOKUP(AJ42,盘点表!A$1:O$65536,15,0)</f>
        <v>#N/A</v>
      </c>
      <c r="AO42" s="24"/>
      <c r="AP42" s="24" t="s">
        <v>8</v>
      </c>
      <c r="AQ42" s="12" t="str">
        <f t="shared" ref="AQ42:AQ62" si="204">AO42&amp;AP42</f>
        <v>川香酱</v>
      </c>
      <c r="AR42" s="24" t="e">
        <f>VLOOKUP(AQ42,盘点表!A$1:O$65536,15,0)</f>
        <v>#N/A</v>
      </c>
      <c r="AX42" s="24" t="s">
        <v>9</v>
      </c>
      <c r="AY42" s="12" t="str">
        <f t="shared" ref="AY42:AY62" si="205">AW42&amp;AX42</f>
        <v>蜜汁酱</v>
      </c>
      <c r="AZ42" s="24" t="e">
        <f>VLOOKUP(AY42,盘点表!A$1:O$65536,15,0)</f>
        <v>#N/A</v>
      </c>
      <c r="BD42" s="24" t="s">
        <v>36</v>
      </c>
      <c r="BE42" s="24" t="s">
        <v>171</v>
      </c>
      <c r="BF42" s="12" t="str">
        <f t="shared" ref="BF42:BF62" si="206">BD42&amp;BE42</f>
        <v>吉利中辣味粉</v>
      </c>
      <c r="BG42" s="24" t="e">
        <f>VLOOKUP(BF42,盘点表!A$1:O$65536,15,0)</f>
        <v>#N/A</v>
      </c>
      <c r="BK42" s="24" t="s">
        <v>36</v>
      </c>
      <c r="BL42" s="24" t="s">
        <v>63</v>
      </c>
      <c r="BM42" s="12" t="str">
        <f t="shared" ref="BM42:BM62" si="207">BK42&amp;BL42</f>
        <v>吉利鸡排粉</v>
      </c>
      <c r="BN42" s="24" t="e">
        <f>VLOOKUP(BM42,盘点表!A$1:O$65536,15,0)</f>
        <v>#N/A</v>
      </c>
      <c r="BR42" s="24" t="s">
        <v>36</v>
      </c>
      <c r="BS42" s="24" t="s">
        <v>172</v>
      </c>
      <c r="BT42" s="12" t="str">
        <f t="shared" ref="BT42:BT62" si="208">BR42&amp;BS42</f>
        <v>吉利亿霖袋装沙司（后台）</v>
      </c>
      <c r="BU42" s="24" t="e">
        <f>VLOOKUP(BT42,盘点表!A$1:O$65536,15,0)</f>
        <v>#N/A</v>
      </c>
      <c r="BY42" s="24" t="s">
        <v>36</v>
      </c>
      <c r="BZ42" s="24" t="s">
        <v>173</v>
      </c>
      <c r="CA42" s="12" t="str">
        <f t="shared" ref="CA42:CA62" si="209">BY42&amp;BZ42</f>
        <v>吉利沙拉酱</v>
      </c>
      <c r="CB42" s="24" t="e">
        <f>VLOOKUP(CA42,盘点表!A$1:O$65536,15,0)</f>
        <v>#N/A</v>
      </c>
      <c r="CF42" s="24" t="s">
        <v>36</v>
      </c>
      <c r="CG42" s="24" t="s">
        <v>174</v>
      </c>
      <c r="CH42" s="12" t="str">
        <f t="shared" si="179"/>
        <v>吉利BBQ烤腌制粉</v>
      </c>
      <c r="CI42" s="24" t="e">
        <f>VLOOKUP(CH42,盘点表!A$1:O$65536,15,0)</f>
        <v>#N/A</v>
      </c>
      <c r="CM42" s="24" t="s">
        <v>36</v>
      </c>
      <c r="CN42" s="30" t="s">
        <v>66</v>
      </c>
      <c r="CO42" s="12" t="str">
        <f t="shared" si="180"/>
        <v>吉利可乐糖浆</v>
      </c>
      <c r="CP42" s="24" t="e">
        <f>VLOOKUP(CO42,盘点表!A$1:O$65536,15,0)</f>
        <v>#N/A</v>
      </c>
      <c r="CT42" s="24" t="s">
        <v>36</v>
      </c>
      <c r="CU42" s="24" t="s">
        <v>67</v>
      </c>
      <c r="CV42" s="12" t="str">
        <f t="shared" si="181"/>
        <v>吉利七喜糖浆</v>
      </c>
      <c r="CW42" s="24" t="e">
        <f>VLOOKUP(CV42,盘点表!A$1:O$65536,15,0)</f>
        <v>#N/A</v>
      </c>
      <c r="DH42" s="24" t="s">
        <v>36</v>
      </c>
      <c r="DI42" s="24" t="s">
        <v>590</v>
      </c>
      <c r="DJ42" s="12" t="str">
        <f t="shared" si="182"/>
        <v>吉利橙C原材料</v>
      </c>
      <c r="DK42" s="24" t="e">
        <f>VLOOKUP(DJ42,盘点表!A$1:O$65536,15,0)</f>
        <v>#N/A</v>
      </c>
      <c r="DV42" s="24" t="s">
        <v>36</v>
      </c>
      <c r="DW42" s="24" t="s">
        <v>175</v>
      </c>
      <c r="DX42" s="12" t="str">
        <f t="shared" si="183"/>
        <v>吉利蕃茄沙司（前台）</v>
      </c>
      <c r="DY42" s="24" t="e">
        <f>VLOOKUP(DX42,盘点表!A$1:O$65536,15,0)</f>
        <v>#N/A</v>
      </c>
      <c r="EC42" s="24" t="s">
        <v>36</v>
      </c>
      <c r="ED42" s="24" t="s">
        <v>72</v>
      </c>
      <c r="EE42" s="12" t="str">
        <f t="shared" si="184"/>
        <v>吉利糖包</v>
      </c>
      <c r="EF42" s="24" t="e">
        <f>VLOOKUP(EE42,盘点表!A$1:O$65536,15,0)</f>
        <v>#N/A</v>
      </c>
      <c r="EJ42" s="24" t="s">
        <v>36</v>
      </c>
      <c r="EK42" s="24" t="s">
        <v>73</v>
      </c>
      <c r="EL42" s="12" t="str">
        <f t="shared" si="185"/>
        <v>吉利吸管</v>
      </c>
      <c r="EM42" s="24" t="e">
        <f>VLOOKUP(EL42,盘点表!A$1:O$65536,15,0)</f>
        <v>#N/A</v>
      </c>
      <c r="EQ42" s="24" t="s">
        <v>36</v>
      </c>
      <c r="ER42" s="24" t="s">
        <v>176</v>
      </c>
      <c r="ES42" s="12" t="str">
        <f t="shared" si="186"/>
        <v>吉利搅拌棒</v>
      </c>
      <c r="ET42" s="24" t="e">
        <f>VLOOKUP(ES42,盘点表!A$1:O$65536,15,0)</f>
        <v>#N/A</v>
      </c>
      <c r="EX42" s="24" t="s">
        <v>36</v>
      </c>
      <c r="EY42" s="24" t="s">
        <v>25</v>
      </c>
      <c r="EZ42" s="12" t="str">
        <f t="shared" si="187"/>
        <v>吉利小勺</v>
      </c>
      <c r="FA42" s="24" t="e">
        <f>VLOOKUP(EZ42,盘点表!A$1:O$65536,15,0)</f>
        <v>#N/A</v>
      </c>
      <c r="FE42" s="24" t="s">
        <v>36</v>
      </c>
      <c r="FF42" s="24" t="s">
        <v>26</v>
      </c>
      <c r="FG42" s="64" t="str">
        <f t="shared" si="188"/>
        <v>吉利汉堡纸</v>
      </c>
      <c r="FH42" s="24" t="e">
        <f>VLOOKUP(FG42,盘点表!A$1:O$65536,15,0)</f>
        <v>#N/A</v>
      </c>
      <c r="FS42" s="24" t="s">
        <v>36</v>
      </c>
      <c r="FT42" s="24" t="s">
        <v>75</v>
      </c>
      <c r="FU42" s="64" t="str">
        <f t="shared" si="189"/>
        <v>吉利纸巾</v>
      </c>
      <c r="FV42" s="24" t="e">
        <f>VLOOKUP(FU42,盘点表!A$1:O$65536,15,0)</f>
        <v>#N/A</v>
      </c>
      <c r="FX42" s="24" t="s">
        <v>637</v>
      </c>
      <c r="FY42" s="24" t="s">
        <v>29</v>
      </c>
      <c r="FZ42" s="64" t="str">
        <f t="shared" si="190"/>
        <v>郑州盛华里托盘纸</v>
      </c>
      <c r="GA42" s="24">
        <f>VLOOKUP(FZ42,盘点表!A$1:O$65536,15,0)</f>
        <v>0</v>
      </c>
      <c r="GC42" s="24" t="s">
        <v>30</v>
      </c>
      <c r="GD42" s="64" t="str">
        <f t="shared" si="191"/>
        <v>起酥油</v>
      </c>
      <c r="GE42" s="24" t="e">
        <f>VLOOKUP(GD42,盘点表!A$1:O$65536,15,0)</f>
        <v>#N/A</v>
      </c>
      <c r="GJ42" s="24"/>
      <c r="GL42" s="24" t="s">
        <v>77</v>
      </c>
      <c r="GM42" s="64" t="str">
        <f t="shared" si="192"/>
        <v>打包袋</v>
      </c>
      <c r="GN42" s="24" t="e">
        <f>VLOOKUP(GM42,盘点表!A$1:O$65536,15,0)</f>
        <v>#N/A</v>
      </c>
      <c r="HO42" s="83" t="s">
        <v>696</v>
      </c>
      <c r="HP42" s="3">
        <v>13</v>
      </c>
    </row>
    <row r="43" spans="1:277" ht="14.25" x14ac:dyDescent="0.2">
      <c r="E43" s="65"/>
      <c r="F43" s="15"/>
      <c r="G43" s="67" t="s">
        <v>168</v>
      </c>
      <c r="H43" s="24" t="str">
        <f t="shared" si="199"/>
        <v>细薯条</v>
      </c>
      <c r="I43" s="67" t="e">
        <f>VLOOKUP(H43,盘点表!A$1:O$65536,15,0)</f>
        <v>#N/A</v>
      </c>
      <c r="M43" s="15" t="s">
        <v>177</v>
      </c>
      <c r="N43" s="67" t="s">
        <v>4</v>
      </c>
      <c r="O43" s="12" t="str">
        <f t="shared" si="194"/>
        <v>凤凰玉米粒</v>
      </c>
      <c r="P43" s="67" t="e">
        <f>VLOOKUP(O43,盘点表!A$1:O$65536,15,0)</f>
        <v>#N/A</v>
      </c>
      <c r="T43" s="15"/>
      <c r="U43" s="67" t="s">
        <v>5</v>
      </c>
      <c r="V43" s="12" t="str">
        <f t="shared" si="201"/>
        <v>山东肉丁</v>
      </c>
      <c r="W43" s="67" t="e">
        <f>VLOOKUP(V43,盘点表!A$1:O$65536,15,0)</f>
        <v>#N/A</v>
      </c>
      <c r="AA43" s="15"/>
      <c r="AB43" s="67" t="s">
        <v>169</v>
      </c>
      <c r="AC43" s="12" t="str">
        <f t="shared" si="202"/>
        <v>门店生菜</v>
      </c>
      <c r="AD43" s="67" t="e">
        <f>VLOOKUP(AC43,盘点表!A$1:O$65536,15,0)</f>
        <v>#N/A</v>
      </c>
      <c r="AH43" s="15"/>
      <c r="AI43" s="24" t="s">
        <v>170</v>
      </c>
      <c r="AJ43" s="12" t="str">
        <f t="shared" si="203"/>
        <v>25号专用粉</v>
      </c>
      <c r="AK43" s="24" t="e">
        <f>VLOOKUP(AJ43,盘点表!A$1:O$65536,15,0)</f>
        <v>#N/A</v>
      </c>
      <c r="AO43" s="15"/>
      <c r="AP43" s="24" t="s">
        <v>8</v>
      </c>
      <c r="AQ43" s="12" t="str">
        <f t="shared" si="204"/>
        <v>川香酱</v>
      </c>
      <c r="AR43" s="24" t="e">
        <f>VLOOKUP(AQ43,盘点表!A$1:O$65536,15,0)</f>
        <v>#N/A</v>
      </c>
      <c r="AW43" s="15"/>
      <c r="AX43" s="24" t="s">
        <v>9</v>
      </c>
      <c r="AY43" s="12" t="str">
        <f t="shared" si="205"/>
        <v>蜜汁酱</v>
      </c>
      <c r="AZ43" s="24" t="e">
        <f>VLOOKUP(AY43,盘点表!A$1:O$65536,15,0)</f>
        <v>#N/A</v>
      </c>
      <c r="BD43" s="15" t="s">
        <v>177</v>
      </c>
      <c r="BE43" s="24" t="s">
        <v>171</v>
      </c>
      <c r="BF43" s="12" t="str">
        <f t="shared" si="206"/>
        <v>凤凰中辣味粉</v>
      </c>
      <c r="BG43" s="24" t="e">
        <f>VLOOKUP(BF43,盘点表!A$1:O$65536,15,0)</f>
        <v>#N/A</v>
      </c>
      <c r="BK43" s="15" t="s">
        <v>177</v>
      </c>
      <c r="BL43" s="24" t="s">
        <v>63</v>
      </c>
      <c r="BM43" s="12" t="str">
        <f t="shared" si="207"/>
        <v>凤凰鸡排粉</v>
      </c>
      <c r="BN43" s="24" t="e">
        <f>VLOOKUP(BM43,盘点表!A$1:O$65536,15,0)</f>
        <v>#N/A</v>
      </c>
      <c r="BR43" s="15" t="s">
        <v>177</v>
      </c>
      <c r="BS43" s="24" t="s">
        <v>172</v>
      </c>
      <c r="BT43" s="12" t="str">
        <f t="shared" si="208"/>
        <v>凤凰亿霖袋装沙司（后台）</v>
      </c>
      <c r="BU43" s="24" t="e">
        <f>VLOOKUP(BT43,盘点表!A$1:O$65536,15,0)</f>
        <v>#N/A</v>
      </c>
      <c r="BY43" s="15" t="s">
        <v>177</v>
      </c>
      <c r="BZ43" s="24" t="s">
        <v>173</v>
      </c>
      <c r="CA43" s="12" t="str">
        <f t="shared" si="209"/>
        <v>凤凰沙拉酱</v>
      </c>
      <c r="CB43" s="24" t="e">
        <f>VLOOKUP(CA43,盘点表!A$1:O$65536,15,0)</f>
        <v>#N/A</v>
      </c>
      <c r="CF43" s="15" t="s">
        <v>177</v>
      </c>
      <c r="CG43" s="24" t="s">
        <v>174</v>
      </c>
      <c r="CH43" s="12" t="str">
        <f t="shared" si="179"/>
        <v>凤凰BBQ烤腌制粉</v>
      </c>
      <c r="CI43" s="24" t="e">
        <f>VLOOKUP(CH43,盘点表!A$1:O$65536,15,0)</f>
        <v>#N/A</v>
      </c>
      <c r="CM43" s="15" t="s">
        <v>177</v>
      </c>
      <c r="CN43" s="30" t="s">
        <v>66</v>
      </c>
      <c r="CO43" s="12" t="str">
        <f t="shared" si="180"/>
        <v>凤凰可乐糖浆</v>
      </c>
      <c r="CP43" s="24" t="e">
        <f>VLOOKUP(CO43,盘点表!A$1:O$65536,15,0)</f>
        <v>#N/A</v>
      </c>
      <c r="CT43" s="15" t="s">
        <v>177</v>
      </c>
      <c r="CU43" s="24" t="s">
        <v>67</v>
      </c>
      <c r="CV43" s="12" t="str">
        <f t="shared" si="181"/>
        <v>凤凰七喜糖浆</v>
      </c>
      <c r="CW43" s="24" t="e">
        <f>VLOOKUP(CV43,盘点表!A$1:O$65536,15,0)</f>
        <v>#N/A</v>
      </c>
      <c r="DH43" s="15" t="s">
        <v>177</v>
      </c>
      <c r="DI43" s="24" t="s">
        <v>590</v>
      </c>
      <c r="DJ43" s="12" t="str">
        <f t="shared" si="182"/>
        <v>凤凰橙C原材料</v>
      </c>
      <c r="DK43" s="24" t="e">
        <f>VLOOKUP(DJ43,盘点表!A$1:O$65536,15,0)</f>
        <v>#N/A</v>
      </c>
      <c r="DV43" s="15" t="s">
        <v>177</v>
      </c>
      <c r="DW43" s="24" t="s">
        <v>175</v>
      </c>
      <c r="DX43" s="12" t="str">
        <f t="shared" si="183"/>
        <v>凤凰蕃茄沙司（前台）</v>
      </c>
      <c r="DY43" s="24" t="e">
        <f>VLOOKUP(DX43,盘点表!A$1:O$65536,15,0)</f>
        <v>#N/A</v>
      </c>
      <c r="EC43" s="15" t="s">
        <v>177</v>
      </c>
      <c r="ED43" s="24" t="s">
        <v>72</v>
      </c>
      <c r="EE43" s="12" t="str">
        <f t="shared" si="184"/>
        <v>凤凰糖包</v>
      </c>
      <c r="EF43" s="24" t="e">
        <f>VLOOKUP(EE43,盘点表!A$1:O$65536,15,0)</f>
        <v>#N/A</v>
      </c>
      <c r="EJ43" s="15" t="s">
        <v>177</v>
      </c>
      <c r="EK43" s="24" t="s">
        <v>73</v>
      </c>
      <c r="EL43" s="12" t="str">
        <f t="shared" si="185"/>
        <v>凤凰吸管</v>
      </c>
      <c r="EM43" s="24" t="e">
        <f>VLOOKUP(EL43,盘点表!A$1:O$65536,15,0)</f>
        <v>#N/A</v>
      </c>
      <c r="EQ43" s="15" t="s">
        <v>177</v>
      </c>
      <c r="ER43" s="24" t="s">
        <v>176</v>
      </c>
      <c r="ES43" s="12" t="str">
        <f t="shared" si="186"/>
        <v>凤凰搅拌棒</v>
      </c>
      <c r="ET43" s="24" t="e">
        <f>VLOOKUP(ES43,盘点表!A$1:O$65536,15,0)</f>
        <v>#N/A</v>
      </c>
      <c r="EX43" s="15" t="s">
        <v>177</v>
      </c>
      <c r="EY43" s="24" t="s">
        <v>25</v>
      </c>
      <c r="EZ43" s="12" t="str">
        <f t="shared" si="187"/>
        <v>凤凰小勺</v>
      </c>
      <c r="FA43" s="24" t="e">
        <f>VLOOKUP(EZ43,盘点表!A$1:O$65536,15,0)</f>
        <v>#N/A</v>
      </c>
      <c r="FE43" s="15" t="s">
        <v>177</v>
      </c>
      <c r="FF43" s="24" t="s">
        <v>26</v>
      </c>
      <c r="FG43" s="64" t="str">
        <f t="shared" si="188"/>
        <v>凤凰汉堡纸</v>
      </c>
      <c r="FH43" s="24" t="e">
        <f>VLOOKUP(FG43,盘点表!A$1:O$65536,15,0)</f>
        <v>#N/A</v>
      </c>
      <c r="FS43" s="15" t="s">
        <v>177</v>
      </c>
      <c r="FT43" s="24" t="s">
        <v>75</v>
      </c>
      <c r="FU43" s="64" t="str">
        <f t="shared" si="189"/>
        <v>凤凰纸巾</v>
      </c>
      <c r="FV43" s="24" t="e">
        <f>VLOOKUP(FU43,盘点表!A$1:O$65536,15,0)</f>
        <v>#N/A</v>
      </c>
      <c r="FX43" s="15" t="s">
        <v>639</v>
      </c>
      <c r="FY43" s="24" t="s">
        <v>29</v>
      </c>
      <c r="FZ43" s="64" t="str">
        <f t="shared" si="190"/>
        <v>滑县滑台托盘纸</v>
      </c>
      <c r="GA43" s="24">
        <f>VLOOKUP(FZ43,盘点表!A$1:O$65536,15,0)</f>
        <v>0</v>
      </c>
      <c r="GB43" s="15"/>
      <c r="GC43" s="24" t="s">
        <v>30</v>
      </c>
      <c r="GD43" s="64" t="str">
        <f t="shared" si="191"/>
        <v>起酥油</v>
      </c>
      <c r="GE43" s="24" t="e">
        <f>VLOOKUP(GD43,盘点表!A$1:O$65536,15,0)</f>
        <v>#N/A</v>
      </c>
      <c r="GJ43" s="24"/>
      <c r="GK43" s="15"/>
      <c r="GL43" s="24" t="s">
        <v>77</v>
      </c>
      <c r="GM43" s="64" t="str">
        <f t="shared" si="192"/>
        <v>打包袋</v>
      </c>
      <c r="GN43" s="24" t="e">
        <f>VLOOKUP(GM43,盘点表!A$1:O$65536,15,0)</f>
        <v>#N/A</v>
      </c>
      <c r="HO43" s="83" t="s">
        <v>697</v>
      </c>
      <c r="HP43" s="3">
        <v>5</v>
      </c>
    </row>
    <row r="44" spans="1:277" ht="14.25" x14ac:dyDescent="0.2">
      <c r="E44" s="65"/>
      <c r="G44" s="67" t="s">
        <v>168</v>
      </c>
      <c r="H44" s="24" t="str">
        <f t="shared" si="199"/>
        <v>细薯条</v>
      </c>
      <c r="I44" s="67" t="e">
        <f>VLOOKUP(H44,盘点表!A$1:O$65536,15,0)</f>
        <v>#N/A</v>
      </c>
      <c r="M44" s="24" t="s">
        <v>37</v>
      </c>
      <c r="N44" s="67" t="s">
        <v>4</v>
      </c>
      <c r="O44" s="12" t="str">
        <f t="shared" si="194"/>
        <v>长城玉米粒</v>
      </c>
      <c r="P44" s="67" t="e">
        <f>VLOOKUP(O44,盘点表!A$1:O$65536,15,0)</f>
        <v>#N/A</v>
      </c>
      <c r="U44" s="67" t="s">
        <v>5</v>
      </c>
      <c r="V44" s="12" t="str">
        <f t="shared" si="201"/>
        <v>山东肉丁</v>
      </c>
      <c r="W44" s="67" t="e">
        <f>VLOOKUP(V44,盘点表!A$1:O$65536,15,0)</f>
        <v>#N/A</v>
      </c>
      <c r="AB44" s="67" t="s">
        <v>169</v>
      </c>
      <c r="AC44" s="12" t="str">
        <f t="shared" si="202"/>
        <v>门店生菜</v>
      </c>
      <c r="AD44" s="67" t="e">
        <f>VLOOKUP(AC44,盘点表!A$1:O$65536,15,0)</f>
        <v>#N/A</v>
      </c>
      <c r="AI44" s="24" t="s">
        <v>170</v>
      </c>
      <c r="AJ44" s="12" t="str">
        <f t="shared" si="203"/>
        <v>25号专用粉</v>
      </c>
      <c r="AK44" s="24" t="e">
        <f>VLOOKUP(AJ44,盘点表!A$1:O$65536,15,0)</f>
        <v>#N/A</v>
      </c>
      <c r="AO44" s="24"/>
      <c r="AP44" s="24" t="s">
        <v>8</v>
      </c>
      <c r="AQ44" s="12" t="str">
        <f t="shared" si="204"/>
        <v>川香酱</v>
      </c>
      <c r="AR44" s="24" t="e">
        <f>VLOOKUP(AQ44,盘点表!A$1:O$65536,15,0)</f>
        <v>#N/A</v>
      </c>
      <c r="AX44" s="24" t="s">
        <v>9</v>
      </c>
      <c r="AY44" s="12" t="str">
        <f t="shared" si="205"/>
        <v>蜜汁酱</v>
      </c>
      <c r="AZ44" s="24" t="e">
        <f>VLOOKUP(AY44,盘点表!A$1:O$65536,15,0)</f>
        <v>#N/A</v>
      </c>
      <c r="BD44" s="24" t="s">
        <v>37</v>
      </c>
      <c r="BE44" s="24" t="s">
        <v>171</v>
      </c>
      <c r="BF44" s="12" t="str">
        <f t="shared" si="206"/>
        <v>长城中辣味粉</v>
      </c>
      <c r="BG44" s="24" t="e">
        <f>VLOOKUP(BF44,盘点表!A$1:O$65536,15,0)</f>
        <v>#N/A</v>
      </c>
      <c r="BK44" s="24" t="s">
        <v>37</v>
      </c>
      <c r="BL44" s="24" t="s">
        <v>63</v>
      </c>
      <c r="BM44" s="12" t="str">
        <f t="shared" si="207"/>
        <v>长城鸡排粉</v>
      </c>
      <c r="BN44" s="24" t="e">
        <f>VLOOKUP(BM44,盘点表!A$1:O$65536,15,0)</f>
        <v>#N/A</v>
      </c>
      <c r="BR44" s="24" t="s">
        <v>37</v>
      </c>
      <c r="BS44" s="24" t="s">
        <v>172</v>
      </c>
      <c r="BT44" s="12" t="str">
        <f t="shared" si="208"/>
        <v>长城亿霖袋装沙司（后台）</v>
      </c>
      <c r="BU44" s="24" t="e">
        <f>VLOOKUP(BT44,盘点表!A$1:O$65536,15,0)</f>
        <v>#N/A</v>
      </c>
      <c r="BY44" s="24" t="s">
        <v>37</v>
      </c>
      <c r="BZ44" s="24" t="s">
        <v>173</v>
      </c>
      <c r="CA44" s="12" t="str">
        <f t="shared" si="209"/>
        <v>长城沙拉酱</v>
      </c>
      <c r="CB44" s="24" t="e">
        <f>VLOOKUP(CA44,盘点表!A$1:O$65536,15,0)</f>
        <v>#N/A</v>
      </c>
      <c r="CF44" s="24" t="s">
        <v>37</v>
      </c>
      <c r="CG44" s="24" t="s">
        <v>174</v>
      </c>
      <c r="CH44" s="12" t="str">
        <f t="shared" si="179"/>
        <v>长城BBQ烤腌制粉</v>
      </c>
      <c r="CI44" s="24" t="e">
        <f>VLOOKUP(CH44,盘点表!A$1:O$65536,15,0)</f>
        <v>#N/A</v>
      </c>
      <c r="CM44" s="24" t="s">
        <v>37</v>
      </c>
      <c r="CN44" s="30" t="s">
        <v>66</v>
      </c>
      <c r="CO44" s="12" t="str">
        <f t="shared" si="180"/>
        <v>长城可乐糖浆</v>
      </c>
      <c r="CP44" s="24" t="e">
        <f>VLOOKUP(CO44,盘点表!A$1:O$65536,15,0)</f>
        <v>#N/A</v>
      </c>
      <c r="CT44" s="24" t="s">
        <v>37</v>
      </c>
      <c r="CU44" s="24" t="s">
        <v>67</v>
      </c>
      <c r="CV44" s="12" t="str">
        <f t="shared" si="181"/>
        <v>长城七喜糖浆</v>
      </c>
      <c r="CW44" s="24" t="e">
        <f>VLOOKUP(CV44,盘点表!A$1:O$65536,15,0)</f>
        <v>#N/A</v>
      </c>
      <c r="DH44" s="24" t="s">
        <v>37</v>
      </c>
      <c r="DI44" s="24" t="s">
        <v>590</v>
      </c>
      <c r="DJ44" s="12" t="str">
        <f t="shared" si="182"/>
        <v>长城橙C原材料</v>
      </c>
      <c r="DK44" s="24" t="e">
        <f>VLOOKUP(DJ44,盘点表!A$1:O$65536,15,0)</f>
        <v>#N/A</v>
      </c>
      <c r="DV44" s="24" t="s">
        <v>37</v>
      </c>
      <c r="DW44" s="24" t="s">
        <v>175</v>
      </c>
      <c r="DX44" s="12" t="str">
        <f t="shared" si="183"/>
        <v>长城蕃茄沙司（前台）</v>
      </c>
      <c r="DY44" s="24" t="e">
        <f>VLOOKUP(DX44,盘点表!A$1:O$65536,15,0)</f>
        <v>#N/A</v>
      </c>
      <c r="EC44" s="24" t="s">
        <v>37</v>
      </c>
      <c r="ED44" s="24" t="s">
        <v>72</v>
      </c>
      <c r="EE44" s="12" t="str">
        <f t="shared" si="184"/>
        <v>长城糖包</v>
      </c>
      <c r="EF44" s="24" t="e">
        <f>VLOOKUP(EE44,盘点表!A$1:O$65536,15,0)</f>
        <v>#N/A</v>
      </c>
      <c r="EJ44" s="24" t="s">
        <v>37</v>
      </c>
      <c r="EK44" s="24" t="s">
        <v>73</v>
      </c>
      <c r="EL44" s="12" t="str">
        <f t="shared" si="185"/>
        <v>长城吸管</v>
      </c>
      <c r="EM44" s="24" t="e">
        <f>VLOOKUP(EL44,盘点表!A$1:O$65536,15,0)</f>
        <v>#N/A</v>
      </c>
      <c r="EQ44" s="24" t="s">
        <v>37</v>
      </c>
      <c r="ER44" s="24" t="s">
        <v>176</v>
      </c>
      <c r="ES44" s="12" t="str">
        <f t="shared" si="186"/>
        <v>长城搅拌棒</v>
      </c>
      <c r="ET44" s="24" t="e">
        <f>VLOOKUP(ES44,盘点表!A$1:O$65536,15,0)</f>
        <v>#N/A</v>
      </c>
      <c r="EX44" s="24" t="s">
        <v>37</v>
      </c>
      <c r="EY44" s="24" t="s">
        <v>25</v>
      </c>
      <c r="EZ44" s="12" t="str">
        <f t="shared" si="187"/>
        <v>长城小勺</v>
      </c>
      <c r="FA44" s="24" t="e">
        <f>VLOOKUP(EZ44,盘点表!A$1:O$65536,15,0)</f>
        <v>#N/A</v>
      </c>
      <c r="FE44" s="24" t="s">
        <v>37</v>
      </c>
      <c r="FF44" s="24" t="s">
        <v>26</v>
      </c>
      <c r="FG44" s="64" t="str">
        <f t="shared" si="188"/>
        <v>长城汉堡纸</v>
      </c>
      <c r="FH44" s="24" t="e">
        <f>VLOOKUP(FG44,盘点表!A$1:O$65536,15,0)</f>
        <v>#N/A</v>
      </c>
      <c r="FS44" s="24" t="s">
        <v>37</v>
      </c>
      <c r="FT44" s="24" t="s">
        <v>75</v>
      </c>
      <c r="FU44" s="64" t="str">
        <f t="shared" si="189"/>
        <v>长城纸巾</v>
      </c>
      <c r="FV44" s="24" t="e">
        <f>VLOOKUP(FU44,盘点表!A$1:O$65536,15,0)</f>
        <v>#N/A</v>
      </c>
      <c r="FX44" s="24" t="s">
        <v>641</v>
      </c>
      <c r="FY44" s="24" t="s">
        <v>29</v>
      </c>
      <c r="FZ44" s="64" t="str">
        <f t="shared" si="190"/>
        <v>郑州裕华托盘纸</v>
      </c>
      <c r="GA44" s="24">
        <f>VLOOKUP(FZ44,盘点表!A$1:O$65536,15,0)</f>
        <v>-500</v>
      </c>
      <c r="GC44" s="24" t="s">
        <v>30</v>
      </c>
      <c r="GD44" s="64" t="str">
        <f t="shared" si="191"/>
        <v>起酥油</v>
      </c>
      <c r="GE44" s="24" t="e">
        <f>VLOOKUP(GD44,盘点表!A$1:O$65536,15,0)</f>
        <v>#N/A</v>
      </c>
      <c r="GJ44" s="24"/>
      <c r="GL44" s="24" t="s">
        <v>77</v>
      </c>
      <c r="GM44" s="64" t="str">
        <f t="shared" si="192"/>
        <v>打包袋</v>
      </c>
      <c r="GN44" s="24" t="e">
        <f>VLOOKUP(GM44,盘点表!A$1:O$65536,15,0)</f>
        <v>#N/A</v>
      </c>
      <c r="HO44" s="83" t="s">
        <v>698</v>
      </c>
      <c r="HP44" s="3">
        <v>13</v>
      </c>
    </row>
    <row r="45" spans="1:277" ht="14.25" x14ac:dyDescent="0.2">
      <c r="E45" s="65"/>
      <c r="G45" s="67" t="s">
        <v>168</v>
      </c>
      <c r="H45" s="24" t="str">
        <f t="shared" si="199"/>
        <v>细薯条</v>
      </c>
      <c r="I45" s="67" t="e">
        <f>VLOOKUP(H45,盘点表!A$1:O$65536,15,0)</f>
        <v>#N/A</v>
      </c>
      <c r="M45" s="24" t="s">
        <v>38</v>
      </c>
      <c r="N45" s="67" t="s">
        <v>4</v>
      </c>
      <c r="O45" s="12" t="str">
        <f t="shared" si="194"/>
        <v>万方玉米粒</v>
      </c>
      <c r="P45" s="67" t="e">
        <f>VLOOKUP(O45,盘点表!A$1:O$65536,15,0)</f>
        <v>#N/A</v>
      </c>
      <c r="U45" s="67" t="s">
        <v>5</v>
      </c>
      <c r="V45" s="12" t="str">
        <f t="shared" si="201"/>
        <v>山东肉丁</v>
      </c>
      <c r="W45" s="67" t="e">
        <f>VLOOKUP(V45,盘点表!A$1:O$65536,15,0)</f>
        <v>#N/A</v>
      </c>
      <c r="AB45" s="67" t="s">
        <v>169</v>
      </c>
      <c r="AC45" s="12" t="str">
        <f t="shared" si="202"/>
        <v>门店生菜</v>
      </c>
      <c r="AD45" s="67" t="e">
        <f>VLOOKUP(AC45,盘点表!A$1:O$65536,15,0)</f>
        <v>#N/A</v>
      </c>
      <c r="AI45" s="24" t="s">
        <v>170</v>
      </c>
      <c r="AJ45" s="12" t="str">
        <f t="shared" si="203"/>
        <v>25号专用粉</v>
      </c>
      <c r="AK45" s="24" t="e">
        <f>VLOOKUP(AJ45,盘点表!A$1:O$65536,15,0)</f>
        <v>#N/A</v>
      </c>
      <c r="AO45" s="24"/>
      <c r="AP45" s="24" t="s">
        <v>8</v>
      </c>
      <c r="AQ45" s="12" t="str">
        <f t="shared" si="204"/>
        <v>川香酱</v>
      </c>
      <c r="AR45" s="24" t="e">
        <f>VLOOKUP(AQ45,盘点表!A$1:O$65536,15,0)</f>
        <v>#N/A</v>
      </c>
      <c r="AX45" s="24" t="s">
        <v>9</v>
      </c>
      <c r="AY45" s="12" t="str">
        <f t="shared" si="205"/>
        <v>蜜汁酱</v>
      </c>
      <c r="AZ45" s="24" t="e">
        <f>VLOOKUP(AY45,盘点表!A$1:O$65536,15,0)</f>
        <v>#N/A</v>
      </c>
      <c r="BD45" s="24" t="s">
        <v>38</v>
      </c>
      <c r="BE45" s="24" t="s">
        <v>171</v>
      </c>
      <c r="BF45" s="12" t="str">
        <f t="shared" si="206"/>
        <v>万方中辣味粉</v>
      </c>
      <c r="BG45" s="24" t="e">
        <f>VLOOKUP(BF45,盘点表!A$1:O$65536,15,0)</f>
        <v>#N/A</v>
      </c>
      <c r="BK45" s="24" t="s">
        <v>38</v>
      </c>
      <c r="BL45" s="24" t="s">
        <v>63</v>
      </c>
      <c r="BM45" s="12" t="str">
        <f t="shared" si="207"/>
        <v>万方鸡排粉</v>
      </c>
      <c r="BN45" s="24" t="e">
        <f>VLOOKUP(BM45,盘点表!A$1:O$65536,15,0)</f>
        <v>#N/A</v>
      </c>
      <c r="BR45" s="24" t="s">
        <v>38</v>
      </c>
      <c r="BS45" s="24" t="s">
        <v>172</v>
      </c>
      <c r="BT45" s="12" t="str">
        <f t="shared" si="208"/>
        <v>万方亿霖袋装沙司（后台）</v>
      </c>
      <c r="BU45" s="24" t="e">
        <f>VLOOKUP(BT45,盘点表!A$1:O$65536,15,0)</f>
        <v>#N/A</v>
      </c>
      <c r="BY45" s="24" t="s">
        <v>38</v>
      </c>
      <c r="BZ45" s="24" t="s">
        <v>173</v>
      </c>
      <c r="CA45" s="12" t="str">
        <f t="shared" si="209"/>
        <v>万方沙拉酱</v>
      </c>
      <c r="CB45" s="24" t="e">
        <f>VLOOKUP(CA45,盘点表!A$1:O$65536,15,0)</f>
        <v>#N/A</v>
      </c>
      <c r="CF45" s="24" t="s">
        <v>38</v>
      </c>
      <c r="CG45" s="24" t="s">
        <v>174</v>
      </c>
      <c r="CH45" s="12" t="str">
        <f t="shared" si="179"/>
        <v>万方BBQ烤腌制粉</v>
      </c>
      <c r="CI45" s="24" t="e">
        <f>VLOOKUP(CH45,盘点表!A$1:O$65536,15,0)</f>
        <v>#N/A</v>
      </c>
      <c r="CM45" s="24" t="s">
        <v>38</v>
      </c>
      <c r="CN45" s="30" t="s">
        <v>66</v>
      </c>
      <c r="CO45" s="12" t="str">
        <f t="shared" si="180"/>
        <v>万方可乐糖浆</v>
      </c>
      <c r="CP45" s="24" t="e">
        <f>VLOOKUP(CO45,盘点表!A$1:O$65536,15,0)</f>
        <v>#N/A</v>
      </c>
      <c r="CT45" s="24" t="s">
        <v>38</v>
      </c>
      <c r="CU45" s="24" t="s">
        <v>67</v>
      </c>
      <c r="CV45" s="12" t="str">
        <f t="shared" si="181"/>
        <v>万方七喜糖浆</v>
      </c>
      <c r="CW45" s="24" t="e">
        <f>VLOOKUP(CV45,盘点表!A$1:O$65536,15,0)</f>
        <v>#N/A</v>
      </c>
      <c r="DH45" s="24" t="s">
        <v>38</v>
      </c>
      <c r="DI45" s="24" t="s">
        <v>590</v>
      </c>
      <c r="DJ45" s="12" t="str">
        <f t="shared" si="182"/>
        <v>万方橙C原材料</v>
      </c>
      <c r="DK45" s="24" t="e">
        <f>VLOOKUP(DJ45,盘点表!A$1:O$65536,15,0)</f>
        <v>#N/A</v>
      </c>
      <c r="DV45" s="24" t="s">
        <v>38</v>
      </c>
      <c r="DW45" s="24" t="s">
        <v>175</v>
      </c>
      <c r="DX45" s="12" t="str">
        <f t="shared" si="183"/>
        <v>万方蕃茄沙司（前台）</v>
      </c>
      <c r="DY45" s="24" t="e">
        <f>VLOOKUP(DX45,盘点表!A$1:O$65536,15,0)</f>
        <v>#N/A</v>
      </c>
      <c r="EC45" s="24" t="s">
        <v>38</v>
      </c>
      <c r="ED45" s="24" t="s">
        <v>72</v>
      </c>
      <c r="EE45" s="12" t="str">
        <f t="shared" si="184"/>
        <v>万方糖包</v>
      </c>
      <c r="EF45" s="24" t="e">
        <f>VLOOKUP(EE45,盘点表!A$1:O$65536,15,0)</f>
        <v>#N/A</v>
      </c>
      <c r="EJ45" s="24" t="s">
        <v>38</v>
      </c>
      <c r="EK45" s="24" t="s">
        <v>73</v>
      </c>
      <c r="EL45" s="12" t="str">
        <f t="shared" si="185"/>
        <v>万方吸管</v>
      </c>
      <c r="EM45" s="24" t="e">
        <f>VLOOKUP(EL45,盘点表!A$1:O$65536,15,0)</f>
        <v>#N/A</v>
      </c>
      <c r="EQ45" s="24" t="s">
        <v>38</v>
      </c>
      <c r="ER45" s="24" t="s">
        <v>176</v>
      </c>
      <c r="ES45" s="12" t="str">
        <f t="shared" si="186"/>
        <v>万方搅拌棒</v>
      </c>
      <c r="ET45" s="24" t="e">
        <f>VLOOKUP(ES45,盘点表!A$1:O$65536,15,0)</f>
        <v>#N/A</v>
      </c>
      <c r="EX45" s="24" t="s">
        <v>38</v>
      </c>
      <c r="EY45" s="24" t="s">
        <v>25</v>
      </c>
      <c r="EZ45" s="12" t="str">
        <f t="shared" si="187"/>
        <v>万方小勺</v>
      </c>
      <c r="FA45" s="24" t="e">
        <f>VLOOKUP(EZ45,盘点表!A$1:O$65536,15,0)</f>
        <v>#N/A</v>
      </c>
      <c r="FE45" s="24" t="s">
        <v>38</v>
      </c>
      <c r="FF45" s="24" t="s">
        <v>26</v>
      </c>
      <c r="FG45" s="64" t="str">
        <f t="shared" si="188"/>
        <v>万方汉堡纸</v>
      </c>
      <c r="FH45" s="24" t="e">
        <f>VLOOKUP(FG45,盘点表!A$1:O$65536,15,0)</f>
        <v>#N/A</v>
      </c>
      <c r="FS45" s="24" t="s">
        <v>38</v>
      </c>
      <c r="FT45" s="24" t="s">
        <v>75</v>
      </c>
      <c r="FU45" s="64" t="str">
        <f t="shared" si="189"/>
        <v>万方纸巾</v>
      </c>
      <c r="FV45" s="24" t="e">
        <f>VLOOKUP(FU45,盘点表!A$1:O$65536,15,0)</f>
        <v>#N/A</v>
      </c>
      <c r="FX45" s="24" t="s">
        <v>643</v>
      </c>
      <c r="FY45" s="24" t="s">
        <v>29</v>
      </c>
      <c r="FZ45" s="64" t="str">
        <f t="shared" si="190"/>
        <v>华山龙源托盘纸</v>
      </c>
      <c r="GA45" s="24">
        <f>VLOOKUP(FZ45,盘点表!A$1:O$65536,15,0)</f>
        <v>0</v>
      </c>
      <c r="GC45" s="24" t="s">
        <v>30</v>
      </c>
      <c r="GD45" s="64" t="str">
        <f t="shared" si="191"/>
        <v>起酥油</v>
      </c>
      <c r="GE45" s="24" t="e">
        <f>VLOOKUP(GD45,盘点表!A$1:O$65536,15,0)</f>
        <v>#N/A</v>
      </c>
      <c r="GJ45" s="24"/>
      <c r="GL45" s="24" t="s">
        <v>77</v>
      </c>
      <c r="GM45" s="64" t="str">
        <f t="shared" si="192"/>
        <v>打包袋</v>
      </c>
      <c r="GN45" s="24" t="e">
        <f>VLOOKUP(GM45,盘点表!A$1:O$65536,15,0)</f>
        <v>#N/A</v>
      </c>
      <c r="HO45" s="83" t="s">
        <v>699</v>
      </c>
      <c r="HP45" s="3">
        <v>6</v>
      </c>
    </row>
    <row r="46" spans="1:277" ht="14.25" x14ac:dyDescent="0.2">
      <c r="E46" s="65"/>
      <c r="G46" s="67" t="s">
        <v>168</v>
      </c>
      <c r="H46" s="24" t="str">
        <f t="shared" si="199"/>
        <v>细薯条</v>
      </c>
      <c r="I46" s="67" t="e">
        <f>VLOOKUP(H46,盘点表!A$1:O$65536,15,0)</f>
        <v>#N/A</v>
      </c>
      <c r="M46" s="24" t="s">
        <v>39</v>
      </c>
      <c r="N46" s="67" t="s">
        <v>4</v>
      </c>
      <c r="O46" s="12" t="str">
        <f t="shared" si="194"/>
        <v>焦作百大玉米粒</v>
      </c>
      <c r="P46" s="67" t="e">
        <f>VLOOKUP(O46,盘点表!A$1:O$65536,15,0)</f>
        <v>#N/A</v>
      </c>
      <c r="U46" s="67" t="s">
        <v>5</v>
      </c>
      <c r="V46" s="12" t="str">
        <f t="shared" si="201"/>
        <v>山东肉丁</v>
      </c>
      <c r="W46" s="67" t="e">
        <f>VLOOKUP(V46,盘点表!A$1:O$65536,15,0)</f>
        <v>#N/A</v>
      </c>
      <c r="AB46" s="67" t="s">
        <v>169</v>
      </c>
      <c r="AC46" s="12" t="str">
        <f t="shared" si="202"/>
        <v>门店生菜</v>
      </c>
      <c r="AD46" s="67" t="e">
        <f>VLOOKUP(AC46,盘点表!A$1:O$65536,15,0)</f>
        <v>#N/A</v>
      </c>
      <c r="AI46" s="24" t="s">
        <v>170</v>
      </c>
      <c r="AJ46" s="12" t="str">
        <f t="shared" si="203"/>
        <v>25号专用粉</v>
      </c>
      <c r="AK46" s="24" t="e">
        <f>VLOOKUP(AJ46,盘点表!A$1:O$65536,15,0)</f>
        <v>#N/A</v>
      </c>
      <c r="AO46" s="24"/>
      <c r="AP46" s="24" t="s">
        <v>8</v>
      </c>
      <c r="AQ46" s="12" t="str">
        <f t="shared" si="204"/>
        <v>川香酱</v>
      </c>
      <c r="AR46" s="24" t="e">
        <f>VLOOKUP(AQ46,盘点表!A$1:O$65536,15,0)</f>
        <v>#N/A</v>
      </c>
      <c r="AX46" s="24" t="s">
        <v>9</v>
      </c>
      <c r="AY46" s="12" t="str">
        <f t="shared" si="205"/>
        <v>蜜汁酱</v>
      </c>
      <c r="AZ46" s="24" t="e">
        <f>VLOOKUP(AY46,盘点表!A$1:O$65536,15,0)</f>
        <v>#N/A</v>
      </c>
      <c r="BD46" s="24" t="s">
        <v>39</v>
      </c>
      <c r="BE46" s="24" t="s">
        <v>171</v>
      </c>
      <c r="BF46" s="12" t="str">
        <f t="shared" si="206"/>
        <v>焦作百大中辣味粉</v>
      </c>
      <c r="BG46" s="24" t="e">
        <f>VLOOKUP(BF46,盘点表!A$1:O$65536,15,0)</f>
        <v>#N/A</v>
      </c>
      <c r="BK46" s="24" t="s">
        <v>39</v>
      </c>
      <c r="BL46" s="24" t="s">
        <v>63</v>
      </c>
      <c r="BM46" s="12" t="str">
        <f t="shared" si="207"/>
        <v>焦作百大鸡排粉</v>
      </c>
      <c r="BN46" s="24" t="e">
        <f>VLOOKUP(BM46,盘点表!A$1:O$65536,15,0)</f>
        <v>#N/A</v>
      </c>
      <c r="BR46" s="24" t="s">
        <v>39</v>
      </c>
      <c r="BS46" s="24" t="s">
        <v>172</v>
      </c>
      <c r="BT46" s="12" t="str">
        <f t="shared" si="208"/>
        <v>焦作百大亿霖袋装沙司（后台）</v>
      </c>
      <c r="BU46" s="24" t="e">
        <f>VLOOKUP(BT46,盘点表!A$1:O$65536,15,0)</f>
        <v>#N/A</v>
      </c>
      <c r="BY46" s="24" t="s">
        <v>39</v>
      </c>
      <c r="BZ46" s="24" t="s">
        <v>173</v>
      </c>
      <c r="CA46" s="12" t="str">
        <f t="shared" si="209"/>
        <v>焦作百大沙拉酱</v>
      </c>
      <c r="CB46" s="24" t="e">
        <f>VLOOKUP(CA46,盘点表!A$1:O$65536,15,0)</f>
        <v>#N/A</v>
      </c>
      <c r="CF46" s="24" t="s">
        <v>39</v>
      </c>
      <c r="CG46" s="24" t="s">
        <v>174</v>
      </c>
      <c r="CH46" s="12" t="str">
        <f t="shared" si="179"/>
        <v>焦作百大BBQ烤腌制粉</v>
      </c>
      <c r="CI46" s="24" t="e">
        <f>VLOOKUP(CH46,盘点表!A$1:O$65536,15,0)</f>
        <v>#N/A</v>
      </c>
      <c r="CM46" s="24" t="s">
        <v>39</v>
      </c>
      <c r="CN46" s="30" t="s">
        <v>66</v>
      </c>
      <c r="CO46" s="12" t="str">
        <f t="shared" si="180"/>
        <v>焦作百大可乐糖浆</v>
      </c>
      <c r="CP46" s="24" t="e">
        <f>VLOOKUP(CO46,盘点表!A$1:O$65536,15,0)</f>
        <v>#N/A</v>
      </c>
      <c r="CT46" s="24" t="s">
        <v>39</v>
      </c>
      <c r="CU46" s="24" t="s">
        <v>67</v>
      </c>
      <c r="CV46" s="12" t="str">
        <f t="shared" si="181"/>
        <v>焦作百大七喜糖浆</v>
      </c>
      <c r="CW46" s="24" t="e">
        <f>VLOOKUP(CV46,盘点表!A$1:O$65536,15,0)</f>
        <v>#N/A</v>
      </c>
      <c r="DH46" s="24" t="s">
        <v>39</v>
      </c>
      <c r="DI46" s="24" t="s">
        <v>590</v>
      </c>
      <c r="DJ46" s="12" t="str">
        <f t="shared" si="182"/>
        <v>焦作百大橙C原材料</v>
      </c>
      <c r="DK46" s="24" t="e">
        <f>VLOOKUP(DJ46,盘点表!A$1:O$65536,15,0)</f>
        <v>#N/A</v>
      </c>
      <c r="DV46" s="24" t="s">
        <v>39</v>
      </c>
      <c r="DW46" s="24" t="s">
        <v>175</v>
      </c>
      <c r="DX46" s="12" t="str">
        <f t="shared" si="183"/>
        <v>焦作百大蕃茄沙司（前台）</v>
      </c>
      <c r="DY46" s="24" t="e">
        <f>VLOOKUP(DX46,盘点表!A$1:O$65536,15,0)</f>
        <v>#N/A</v>
      </c>
      <c r="EC46" s="24" t="s">
        <v>39</v>
      </c>
      <c r="ED46" s="24" t="s">
        <v>72</v>
      </c>
      <c r="EE46" s="12" t="str">
        <f t="shared" si="184"/>
        <v>焦作百大糖包</v>
      </c>
      <c r="EF46" s="24" t="e">
        <f>VLOOKUP(EE46,盘点表!A$1:O$65536,15,0)</f>
        <v>#N/A</v>
      </c>
      <c r="EJ46" s="24" t="s">
        <v>39</v>
      </c>
      <c r="EK46" s="24" t="s">
        <v>73</v>
      </c>
      <c r="EL46" s="12" t="str">
        <f t="shared" si="185"/>
        <v>焦作百大吸管</v>
      </c>
      <c r="EM46" s="24" t="e">
        <f>VLOOKUP(EL46,盘点表!A$1:O$65536,15,0)</f>
        <v>#N/A</v>
      </c>
      <c r="EQ46" s="24" t="s">
        <v>39</v>
      </c>
      <c r="ER46" s="24" t="s">
        <v>176</v>
      </c>
      <c r="ES46" s="12" t="str">
        <f t="shared" si="186"/>
        <v>焦作百大搅拌棒</v>
      </c>
      <c r="ET46" s="24" t="e">
        <f>VLOOKUP(ES46,盘点表!A$1:O$65536,15,0)</f>
        <v>#N/A</v>
      </c>
      <c r="EX46" s="24" t="s">
        <v>39</v>
      </c>
      <c r="EY46" s="24" t="s">
        <v>25</v>
      </c>
      <c r="EZ46" s="12" t="str">
        <f t="shared" si="187"/>
        <v>焦作百大小勺</v>
      </c>
      <c r="FA46" s="24" t="e">
        <f>VLOOKUP(EZ46,盘点表!A$1:O$65536,15,0)</f>
        <v>#N/A</v>
      </c>
      <c r="FE46" s="24" t="s">
        <v>39</v>
      </c>
      <c r="FF46" s="24" t="s">
        <v>26</v>
      </c>
      <c r="FG46" s="64" t="str">
        <f t="shared" si="188"/>
        <v>焦作百大汉堡纸</v>
      </c>
      <c r="FH46" s="24" t="e">
        <f>VLOOKUP(FG46,盘点表!A$1:O$65536,15,0)</f>
        <v>#N/A</v>
      </c>
      <c r="FS46" s="24" t="s">
        <v>39</v>
      </c>
      <c r="FT46" s="24" t="s">
        <v>75</v>
      </c>
      <c r="FU46" s="64" t="str">
        <f t="shared" si="189"/>
        <v>焦作百大纸巾</v>
      </c>
      <c r="FV46" s="24" t="e">
        <f>VLOOKUP(FU46,盘点表!A$1:O$65536,15,0)</f>
        <v>#N/A</v>
      </c>
      <c r="FY46" s="24" t="s">
        <v>29</v>
      </c>
      <c r="FZ46" s="64" t="str">
        <f t="shared" si="190"/>
        <v>托盘纸</v>
      </c>
      <c r="GA46" s="24" t="e">
        <f>VLOOKUP(FZ46,盘点表!A$1:O$65536,15,0)</f>
        <v>#N/A</v>
      </c>
      <c r="GC46" s="24" t="s">
        <v>30</v>
      </c>
      <c r="GD46" s="64" t="str">
        <f t="shared" si="191"/>
        <v>起酥油</v>
      </c>
      <c r="GE46" s="24" t="e">
        <f>VLOOKUP(GD46,盘点表!A$1:O$65536,15,0)</f>
        <v>#N/A</v>
      </c>
      <c r="GJ46" s="24"/>
      <c r="GL46" s="24" t="s">
        <v>77</v>
      </c>
      <c r="GM46" s="64" t="str">
        <f t="shared" si="192"/>
        <v>打包袋</v>
      </c>
      <c r="GN46" s="24" t="e">
        <f>VLOOKUP(GM46,盘点表!A$1:O$65536,15,0)</f>
        <v>#N/A</v>
      </c>
      <c r="HO46" s="83" t="s">
        <v>700</v>
      </c>
      <c r="HP46" s="3">
        <v>11</v>
      </c>
    </row>
    <row r="47" spans="1:277" x14ac:dyDescent="0.15">
      <c r="E47" s="65"/>
      <c r="G47" s="67" t="s">
        <v>168</v>
      </c>
      <c r="H47" s="24" t="str">
        <f t="shared" si="199"/>
        <v>细薯条</v>
      </c>
      <c r="I47" s="67" t="e">
        <f>VLOOKUP(H47,盘点表!A$1:O$65536,15,0)</f>
        <v>#N/A</v>
      </c>
      <c r="M47" s="24" t="s">
        <v>40</v>
      </c>
      <c r="N47" s="67" t="s">
        <v>4</v>
      </c>
      <c r="O47" s="12" t="str">
        <f t="shared" si="194"/>
        <v>封丘好又多玉米粒</v>
      </c>
      <c r="P47" s="67" t="e">
        <f>VLOOKUP(O47,盘点表!A$1:O$65536,15,0)</f>
        <v>#N/A</v>
      </c>
      <c r="U47" s="67" t="s">
        <v>5</v>
      </c>
      <c r="V47" s="12" t="str">
        <f t="shared" si="201"/>
        <v>山东肉丁</v>
      </c>
      <c r="W47" s="67" t="e">
        <f>VLOOKUP(V47,盘点表!A$1:O$65536,15,0)</f>
        <v>#N/A</v>
      </c>
      <c r="AB47" s="67" t="s">
        <v>169</v>
      </c>
      <c r="AC47" s="12" t="str">
        <f t="shared" si="202"/>
        <v>门店生菜</v>
      </c>
      <c r="AD47" s="67" t="e">
        <f>VLOOKUP(AC47,盘点表!A$1:O$65536,15,0)</f>
        <v>#N/A</v>
      </c>
      <c r="AI47" s="24" t="s">
        <v>170</v>
      </c>
      <c r="AJ47" s="12" t="str">
        <f t="shared" si="203"/>
        <v>25号专用粉</v>
      </c>
      <c r="AK47" s="24" t="e">
        <f>VLOOKUP(AJ47,盘点表!A$1:O$65536,15,0)</f>
        <v>#N/A</v>
      </c>
      <c r="AO47" s="24"/>
      <c r="AP47" s="24" t="s">
        <v>8</v>
      </c>
      <c r="AQ47" s="12" t="str">
        <f t="shared" si="204"/>
        <v>川香酱</v>
      </c>
      <c r="AR47" s="24" t="e">
        <f>VLOOKUP(AQ47,盘点表!A$1:O$65536,15,0)</f>
        <v>#N/A</v>
      </c>
      <c r="AX47" s="24" t="s">
        <v>9</v>
      </c>
      <c r="AY47" s="12" t="str">
        <f t="shared" si="205"/>
        <v>蜜汁酱</v>
      </c>
      <c r="AZ47" s="24" t="e">
        <f>VLOOKUP(AY47,盘点表!A$1:O$65536,15,0)</f>
        <v>#N/A</v>
      </c>
      <c r="BD47" s="24" t="s">
        <v>40</v>
      </c>
      <c r="BE47" s="24" t="s">
        <v>171</v>
      </c>
      <c r="BF47" s="12" t="str">
        <f t="shared" si="206"/>
        <v>封丘好又多中辣味粉</v>
      </c>
      <c r="BG47" s="24" t="e">
        <f>VLOOKUP(BF47,盘点表!A$1:O$65536,15,0)</f>
        <v>#N/A</v>
      </c>
      <c r="BK47" s="24" t="s">
        <v>40</v>
      </c>
      <c r="BL47" s="24" t="s">
        <v>63</v>
      </c>
      <c r="BM47" s="12" t="str">
        <f t="shared" si="207"/>
        <v>封丘好又多鸡排粉</v>
      </c>
      <c r="BN47" s="24" t="e">
        <f>VLOOKUP(BM47,盘点表!A$1:O$65536,15,0)</f>
        <v>#N/A</v>
      </c>
      <c r="BR47" s="24" t="s">
        <v>40</v>
      </c>
      <c r="BS47" s="24" t="s">
        <v>172</v>
      </c>
      <c r="BT47" s="12" t="str">
        <f t="shared" si="208"/>
        <v>封丘好又多亿霖袋装沙司（后台）</v>
      </c>
      <c r="BU47" s="24" t="e">
        <f>VLOOKUP(BT47,盘点表!A$1:O$65536,15,0)</f>
        <v>#N/A</v>
      </c>
      <c r="BY47" s="24" t="s">
        <v>40</v>
      </c>
      <c r="BZ47" s="24" t="s">
        <v>173</v>
      </c>
      <c r="CA47" s="12" t="str">
        <f t="shared" si="209"/>
        <v>封丘好又多沙拉酱</v>
      </c>
      <c r="CB47" s="24" t="e">
        <f>VLOOKUP(CA47,盘点表!A$1:O$65536,15,0)</f>
        <v>#N/A</v>
      </c>
      <c r="CF47" s="24" t="s">
        <v>40</v>
      </c>
      <c r="CG47" s="24" t="s">
        <v>174</v>
      </c>
      <c r="CH47" s="12" t="str">
        <f t="shared" si="179"/>
        <v>封丘好又多BBQ烤腌制粉</v>
      </c>
      <c r="CI47" s="24" t="e">
        <f>VLOOKUP(CH47,盘点表!A$1:O$65536,15,0)</f>
        <v>#N/A</v>
      </c>
      <c r="CM47" s="24" t="s">
        <v>40</v>
      </c>
      <c r="CN47" s="30" t="s">
        <v>66</v>
      </c>
      <c r="CO47" s="12" t="str">
        <f t="shared" si="180"/>
        <v>封丘好又多可乐糖浆</v>
      </c>
      <c r="CP47" s="24" t="e">
        <f>VLOOKUP(CO47,盘点表!A$1:O$65536,15,0)</f>
        <v>#N/A</v>
      </c>
      <c r="CT47" s="24" t="s">
        <v>40</v>
      </c>
      <c r="CU47" s="24" t="s">
        <v>67</v>
      </c>
      <c r="CV47" s="12" t="str">
        <f t="shared" si="181"/>
        <v>封丘好又多七喜糖浆</v>
      </c>
      <c r="CW47" s="24" t="e">
        <f>VLOOKUP(CV47,盘点表!A$1:O$65536,15,0)</f>
        <v>#N/A</v>
      </c>
      <c r="DH47" s="24" t="s">
        <v>40</v>
      </c>
      <c r="DI47" s="24" t="s">
        <v>590</v>
      </c>
      <c r="DJ47" s="12" t="str">
        <f t="shared" si="182"/>
        <v>封丘好又多橙C原材料</v>
      </c>
      <c r="DK47" s="24" t="e">
        <f>VLOOKUP(DJ47,盘点表!A$1:O$65536,15,0)</f>
        <v>#N/A</v>
      </c>
      <c r="DV47" s="24" t="s">
        <v>40</v>
      </c>
      <c r="DW47" s="24" t="s">
        <v>175</v>
      </c>
      <c r="DX47" s="12" t="str">
        <f t="shared" si="183"/>
        <v>封丘好又多蕃茄沙司（前台）</v>
      </c>
      <c r="DY47" s="24" t="e">
        <f>VLOOKUP(DX47,盘点表!A$1:O$65536,15,0)</f>
        <v>#N/A</v>
      </c>
      <c r="EC47" s="24" t="s">
        <v>40</v>
      </c>
      <c r="ED47" s="24" t="s">
        <v>72</v>
      </c>
      <c r="EE47" s="12" t="str">
        <f t="shared" si="184"/>
        <v>封丘好又多糖包</v>
      </c>
      <c r="EF47" s="24" t="e">
        <f>VLOOKUP(EE47,盘点表!A$1:O$65536,15,0)</f>
        <v>#N/A</v>
      </c>
      <c r="EJ47" s="24" t="s">
        <v>40</v>
      </c>
      <c r="EK47" s="24" t="s">
        <v>73</v>
      </c>
      <c r="EL47" s="12" t="str">
        <f t="shared" si="185"/>
        <v>封丘好又多吸管</v>
      </c>
      <c r="EM47" s="24" t="e">
        <f>VLOOKUP(EL47,盘点表!A$1:O$65536,15,0)</f>
        <v>#N/A</v>
      </c>
      <c r="EQ47" s="24" t="s">
        <v>40</v>
      </c>
      <c r="ER47" s="24" t="s">
        <v>176</v>
      </c>
      <c r="ES47" s="12" t="str">
        <f t="shared" si="186"/>
        <v>封丘好又多搅拌棒</v>
      </c>
      <c r="ET47" s="24" t="e">
        <f>VLOOKUP(ES47,盘点表!A$1:O$65536,15,0)</f>
        <v>#N/A</v>
      </c>
      <c r="EX47" s="24" t="s">
        <v>40</v>
      </c>
      <c r="EY47" s="24" t="s">
        <v>25</v>
      </c>
      <c r="EZ47" s="12" t="str">
        <f t="shared" si="187"/>
        <v>封丘好又多小勺</v>
      </c>
      <c r="FA47" s="24" t="e">
        <f>VLOOKUP(EZ47,盘点表!A$1:O$65536,15,0)</f>
        <v>#N/A</v>
      </c>
      <c r="FE47" s="24" t="s">
        <v>40</v>
      </c>
      <c r="FF47" s="24" t="s">
        <v>26</v>
      </c>
      <c r="FG47" s="64" t="str">
        <f t="shared" si="188"/>
        <v>封丘好又多汉堡纸</v>
      </c>
      <c r="FH47" s="24" t="e">
        <f>VLOOKUP(FG47,盘点表!A$1:O$65536,15,0)</f>
        <v>#N/A</v>
      </c>
      <c r="FS47" s="24" t="s">
        <v>40</v>
      </c>
      <c r="FT47" s="24" t="s">
        <v>75</v>
      </c>
      <c r="FU47" s="64" t="str">
        <f t="shared" si="189"/>
        <v>封丘好又多纸巾</v>
      </c>
      <c r="FV47" s="24" t="e">
        <f>VLOOKUP(FU47,盘点表!A$1:O$65536,15,0)</f>
        <v>#N/A</v>
      </c>
      <c r="FY47" s="24" t="s">
        <v>29</v>
      </c>
      <c r="FZ47" s="64" t="str">
        <f t="shared" si="190"/>
        <v>托盘纸</v>
      </c>
      <c r="GA47" s="24" t="e">
        <f>VLOOKUP(FZ47,盘点表!A$1:O$65536,15,0)</f>
        <v>#N/A</v>
      </c>
      <c r="GC47" s="24" t="s">
        <v>30</v>
      </c>
      <c r="GD47" s="64" t="str">
        <f t="shared" si="191"/>
        <v>起酥油</v>
      </c>
      <c r="GE47" s="24" t="e">
        <f>VLOOKUP(GD47,盘点表!A$1:O$65536,15,0)</f>
        <v>#N/A</v>
      </c>
      <c r="GJ47" s="24"/>
      <c r="GL47" s="24" t="s">
        <v>77</v>
      </c>
      <c r="GM47" s="64" t="str">
        <f t="shared" si="192"/>
        <v>打包袋</v>
      </c>
      <c r="GN47" s="24" t="e">
        <f>VLOOKUP(GM47,盘点表!A$1:O$65536,15,0)</f>
        <v>#N/A</v>
      </c>
    </row>
    <row r="48" spans="1:277" x14ac:dyDescent="0.15">
      <c r="E48" s="65"/>
      <c r="G48" s="67" t="s">
        <v>168</v>
      </c>
      <c r="H48" s="24" t="str">
        <f t="shared" si="199"/>
        <v>细薯条</v>
      </c>
      <c r="I48" s="67" t="e">
        <f>VLOOKUP(H48,盘点表!A$1:O$65536,15,0)</f>
        <v>#N/A</v>
      </c>
      <c r="M48" s="24" t="s">
        <v>41</v>
      </c>
      <c r="N48" s="67" t="s">
        <v>4</v>
      </c>
      <c r="O48" s="12" t="str">
        <f t="shared" si="194"/>
        <v>洛龙店玉米粒</v>
      </c>
      <c r="P48" s="67" t="e">
        <f>VLOOKUP(O48,盘点表!A$1:O$65536,15,0)</f>
        <v>#N/A</v>
      </c>
      <c r="U48" s="67" t="s">
        <v>5</v>
      </c>
      <c r="V48" s="12" t="str">
        <f t="shared" si="201"/>
        <v>山东肉丁</v>
      </c>
      <c r="W48" s="67" t="e">
        <f>VLOOKUP(V48,盘点表!A$1:O$65536,15,0)</f>
        <v>#N/A</v>
      </c>
      <c r="AB48" s="67" t="s">
        <v>169</v>
      </c>
      <c r="AC48" s="12" t="str">
        <f t="shared" si="202"/>
        <v>门店生菜</v>
      </c>
      <c r="AD48" s="67" t="e">
        <f>VLOOKUP(AC48,盘点表!A$1:O$65536,15,0)</f>
        <v>#N/A</v>
      </c>
      <c r="AI48" s="24" t="s">
        <v>170</v>
      </c>
      <c r="AJ48" s="12" t="str">
        <f t="shared" si="203"/>
        <v>25号专用粉</v>
      </c>
      <c r="AK48" s="24" t="e">
        <f>VLOOKUP(AJ48,盘点表!A$1:O$65536,15,0)</f>
        <v>#N/A</v>
      </c>
      <c r="AO48" s="24"/>
      <c r="AP48" s="24" t="s">
        <v>8</v>
      </c>
      <c r="AQ48" s="12" t="str">
        <f t="shared" si="204"/>
        <v>川香酱</v>
      </c>
      <c r="AR48" s="24" t="e">
        <f>VLOOKUP(AQ48,盘点表!A$1:O$65536,15,0)</f>
        <v>#N/A</v>
      </c>
      <c r="AX48" s="24" t="s">
        <v>9</v>
      </c>
      <c r="AY48" s="12" t="str">
        <f t="shared" si="205"/>
        <v>蜜汁酱</v>
      </c>
      <c r="AZ48" s="24" t="e">
        <f>VLOOKUP(AY48,盘点表!A$1:O$65536,15,0)</f>
        <v>#N/A</v>
      </c>
      <c r="BD48" s="24" t="s">
        <v>41</v>
      </c>
      <c r="BE48" s="24" t="s">
        <v>171</v>
      </c>
      <c r="BF48" s="12" t="str">
        <f t="shared" si="206"/>
        <v>洛龙店中辣味粉</v>
      </c>
      <c r="BG48" s="24" t="e">
        <f>VLOOKUP(BF48,盘点表!A$1:O$65536,15,0)</f>
        <v>#N/A</v>
      </c>
      <c r="BK48" s="24" t="s">
        <v>41</v>
      </c>
      <c r="BL48" s="24" t="s">
        <v>63</v>
      </c>
      <c r="BM48" s="12" t="str">
        <f t="shared" si="207"/>
        <v>洛龙店鸡排粉</v>
      </c>
      <c r="BN48" s="24" t="e">
        <f>VLOOKUP(BM48,盘点表!A$1:O$65536,15,0)</f>
        <v>#N/A</v>
      </c>
      <c r="BR48" s="24" t="s">
        <v>41</v>
      </c>
      <c r="BS48" s="24" t="s">
        <v>172</v>
      </c>
      <c r="BT48" s="12" t="str">
        <f t="shared" si="208"/>
        <v>洛龙店亿霖袋装沙司（后台）</v>
      </c>
      <c r="BU48" s="24" t="e">
        <f>VLOOKUP(BT48,盘点表!A$1:O$65536,15,0)</f>
        <v>#N/A</v>
      </c>
      <c r="BY48" s="24" t="s">
        <v>41</v>
      </c>
      <c r="BZ48" s="24" t="s">
        <v>173</v>
      </c>
      <c r="CA48" s="12" t="str">
        <f t="shared" si="209"/>
        <v>洛龙店沙拉酱</v>
      </c>
      <c r="CB48" s="24" t="e">
        <f>VLOOKUP(CA48,盘点表!A$1:O$65536,15,0)</f>
        <v>#N/A</v>
      </c>
      <c r="CF48" s="24" t="s">
        <v>41</v>
      </c>
      <c r="CG48" s="24" t="s">
        <v>174</v>
      </c>
      <c r="CH48" s="12" t="str">
        <f t="shared" si="179"/>
        <v>洛龙店BBQ烤腌制粉</v>
      </c>
      <c r="CI48" s="24" t="e">
        <f>VLOOKUP(CH48,盘点表!A$1:O$65536,15,0)</f>
        <v>#N/A</v>
      </c>
      <c r="CM48" s="24" t="s">
        <v>41</v>
      </c>
      <c r="CN48" s="30" t="s">
        <v>66</v>
      </c>
      <c r="CO48" s="12" t="str">
        <f t="shared" si="180"/>
        <v>洛龙店可乐糖浆</v>
      </c>
      <c r="CP48" s="24" t="e">
        <f>VLOOKUP(CO48,盘点表!A$1:O$65536,15,0)</f>
        <v>#N/A</v>
      </c>
      <c r="CT48" s="24" t="s">
        <v>41</v>
      </c>
      <c r="CU48" s="24" t="s">
        <v>67</v>
      </c>
      <c r="CV48" s="12" t="str">
        <f t="shared" si="181"/>
        <v>洛龙店七喜糖浆</v>
      </c>
      <c r="CW48" s="24" t="e">
        <f>VLOOKUP(CV48,盘点表!A$1:O$65536,15,0)</f>
        <v>#N/A</v>
      </c>
      <c r="DH48" s="24" t="s">
        <v>41</v>
      </c>
      <c r="DI48" s="24" t="s">
        <v>590</v>
      </c>
      <c r="DJ48" s="12" t="str">
        <f t="shared" si="182"/>
        <v>洛龙店橙C原材料</v>
      </c>
      <c r="DK48" s="24" t="e">
        <f>VLOOKUP(DJ48,盘点表!A$1:O$65536,15,0)</f>
        <v>#N/A</v>
      </c>
      <c r="DV48" s="24" t="s">
        <v>41</v>
      </c>
      <c r="DW48" s="24" t="s">
        <v>175</v>
      </c>
      <c r="DX48" s="12" t="str">
        <f t="shared" si="183"/>
        <v>洛龙店蕃茄沙司（前台）</v>
      </c>
      <c r="DY48" s="24" t="e">
        <f>VLOOKUP(DX48,盘点表!A$1:O$65536,15,0)</f>
        <v>#N/A</v>
      </c>
      <c r="EC48" s="24" t="s">
        <v>41</v>
      </c>
      <c r="ED48" s="24" t="s">
        <v>72</v>
      </c>
      <c r="EE48" s="12" t="str">
        <f t="shared" si="184"/>
        <v>洛龙店糖包</v>
      </c>
      <c r="EF48" s="24" t="e">
        <f>VLOOKUP(EE48,盘点表!A$1:O$65536,15,0)</f>
        <v>#N/A</v>
      </c>
      <c r="EJ48" s="24" t="s">
        <v>41</v>
      </c>
      <c r="EK48" s="24" t="s">
        <v>73</v>
      </c>
      <c r="EL48" s="12" t="str">
        <f t="shared" si="185"/>
        <v>洛龙店吸管</v>
      </c>
      <c r="EM48" s="24" t="e">
        <f>VLOOKUP(EL48,盘点表!A$1:O$65536,15,0)</f>
        <v>#N/A</v>
      </c>
      <c r="EQ48" s="24" t="s">
        <v>41</v>
      </c>
      <c r="ER48" s="24" t="s">
        <v>176</v>
      </c>
      <c r="ES48" s="12" t="str">
        <f t="shared" si="186"/>
        <v>洛龙店搅拌棒</v>
      </c>
      <c r="ET48" s="24" t="e">
        <f>VLOOKUP(ES48,盘点表!A$1:O$65536,15,0)</f>
        <v>#N/A</v>
      </c>
      <c r="EX48" s="24" t="s">
        <v>41</v>
      </c>
      <c r="EY48" s="24" t="s">
        <v>25</v>
      </c>
      <c r="EZ48" s="12" t="str">
        <f t="shared" si="187"/>
        <v>洛龙店小勺</v>
      </c>
      <c r="FA48" s="24" t="e">
        <f>VLOOKUP(EZ48,盘点表!A$1:O$65536,15,0)</f>
        <v>#N/A</v>
      </c>
      <c r="FE48" s="24" t="s">
        <v>41</v>
      </c>
      <c r="FF48" s="24" t="s">
        <v>26</v>
      </c>
      <c r="FG48" s="64" t="str">
        <f t="shared" si="188"/>
        <v>洛龙店汉堡纸</v>
      </c>
      <c r="FH48" s="24" t="e">
        <f>VLOOKUP(FG48,盘点表!A$1:O$65536,15,0)</f>
        <v>#N/A</v>
      </c>
      <c r="FS48" s="24" t="s">
        <v>41</v>
      </c>
      <c r="FT48" s="24" t="s">
        <v>75</v>
      </c>
      <c r="FU48" s="64" t="str">
        <f t="shared" si="189"/>
        <v>洛龙店纸巾</v>
      </c>
      <c r="FV48" s="24" t="e">
        <f>VLOOKUP(FU48,盘点表!A$1:O$65536,15,0)</f>
        <v>#N/A</v>
      </c>
      <c r="FY48" s="24" t="s">
        <v>29</v>
      </c>
      <c r="FZ48" s="64" t="str">
        <f t="shared" si="190"/>
        <v>托盘纸</v>
      </c>
      <c r="GA48" s="24" t="e">
        <f>VLOOKUP(FZ48,盘点表!A$1:O$65536,15,0)</f>
        <v>#N/A</v>
      </c>
      <c r="GC48" s="24" t="s">
        <v>30</v>
      </c>
      <c r="GD48" s="64" t="str">
        <f t="shared" si="191"/>
        <v>起酥油</v>
      </c>
      <c r="GE48" s="24" t="e">
        <f>VLOOKUP(GD48,盘点表!A$1:O$65536,15,0)</f>
        <v>#N/A</v>
      </c>
      <c r="GJ48" s="24"/>
      <c r="GL48" s="24" t="s">
        <v>77</v>
      </c>
      <c r="GM48" s="64" t="str">
        <f t="shared" si="192"/>
        <v>打包袋</v>
      </c>
      <c r="GN48" s="24" t="e">
        <f>VLOOKUP(GM48,盘点表!A$1:O$65536,15,0)</f>
        <v>#N/A</v>
      </c>
    </row>
    <row r="49" spans="5:196" x14ac:dyDescent="0.15">
      <c r="E49" s="65"/>
      <c r="G49" s="67" t="s">
        <v>168</v>
      </c>
      <c r="H49" s="24" t="str">
        <f t="shared" si="199"/>
        <v>细薯条</v>
      </c>
      <c r="I49" s="67" t="e">
        <f>VLOOKUP(H49,盘点表!A$1:O$65536,15,0)</f>
        <v>#N/A</v>
      </c>
      <c r="M49" s="24" t="s">
        <v>42</v>
      </c>
      <c r="N49" s="67" t="s">
        <v>4</v>
      </c>
      <c r="O49" s="12" t="str">
        <f t="shared" si="194"/>
        <v>大景城玉米粒</v>
      </c>
      <c r="P49" s="67" t="e">
        <f>VLOOKUP(O49,盘点表!A$1:O$65536,15,0)</f>
        <v>#N/A</v>
      </c>
      <c r="U49" s="67" t="s">
        <v>5</v>
      </c>
      <c r="V49" s="12" t="str">
        <f t="shared" si="201"/>
        <v>山东肉丁</v>
      </c>
      <c r="W49" s="67" t="e">
        <f>VLOOKUP(V49,盘点表!A$1:O$65536,15,0)</f>
        <v>#N/A</v>
      </c>
      <c r="AB49" s="67" t="s">
        <v>169</v>
      </c>
      <c r="AC49" s="12" t="str">
        <f t="shared" si="202"/>
        <v>门店生菜</v>
      </c>
      <c r="AD49" s="67" t="e">
        <f>VLOOKUP(AC49,盘点表!A$1:O$65536,15,0)</f>
        <v>#N/A</v>
      </c>
      <c r="AI49" s="24" t="s">
        <v>170</v>
      </c>
      <c r="AJ49" s="12" t="str">
        <f t="shared" si="203"/>
        <v>25号专用粉</v>
      </c>
      <c r="AK49" s="24" t="e">
        <f>VLOOKUP(AJ49,盘点表!A$1:O$65536,15,0)</f>
        <v>#N/A</v>
      </c>
      <c r="AO49" s="24"/>
      <c r="AP49" s="24" t="s">
        <v>8</v>
      </c>
      <c r="AQ49" s="12" t="str">
        <f t="shared" si="204"/>
        <v>川香酱</v>
      </c>
      <c r="AR49" s="24" t="e">
        <f>VLOOKUP(AQ49,盘点表!A$1:O$65536,15,0)</f>
        <v>#N/A</v>
      </c>
      <c r="AX49" s="24" t="s">
        <v>9</v>
      </c>
      <c r="AY49" s="12" t="str">
        <f t="shared" si="205"/>
        <v>蜜汁酱</v>
      </c>
      <c r="AZ49" s="24" t="e">
        <f>VLOOKUP(AY49,盘点表!A$1:O$65536,15,0)</f>
        <v>#N/A</v>
      </c>
      <c r="BD49" s="24" t="s">
        <v>42</v>
      </c>
      <c r="BE49" s="24" t="s">
        <v>171</v>
      </c>
      <c r="BF49" s="12" t="str">
        <f t="shared" si="206"/>
        <v>大景城中辣味粉</v>
      </c>
      <c r="BG49" s="24" t="e">
        <f>VLOOKUP(BF49,盘点表!A$1:O$65536,15,0)</f>
        <v>#N/A</v>
      </c>
      <c r="BK49" s="24" t="s">
        <v>42</v>
      </c>
      <c r="BL49" s="24" t="s">
        <v>63</v>
      </c>
      <c r="BM49" s="12" t="str">
        <f t="shared" si="207"/>
        <v>大景城鸡排粉</v>
      </c>
      <c r="BN49" s="24" t="e">
        <f>VLOOKUP(BM49,盘点表!A$1:O$65536,15,0)</f>
        <v>#N/A</v>
      </c>
      <c r="BR49" s="24" t="s">
        <v>42</v>
      </c>
      <c r="BS49" s="24" t="s">
        <v>172</v>
      </c>
      <c r="BT49" s="12" t="str">
        <f t="shared" si="208"/>
        <v>大景城亿霖袋装沙司（后台）</v>
      </c>
      <c r="BU49" s="24" t="e">
        <f>VLOOKUP(BT49,盘点表!A$1:O$65536,15,0)</f>
        <v>#N/A</v>
      </c>
      <c r="BY49" s="24" t="s">
        <v>42</v>
      </c>
      <c r="BZ49" s="24" t="s">
        <v>173</v>
      </c>
      <c r="CA49" s="12" t="str">
        <f t="shared" si="209"/>
        <v>大景城沙拉酱</v>
      </c>
      <c r="CB49" s="24" t="e">
        <f>VLOOKUP(CA49,盘点表!A$1:O$65536,15,0)</f>
        <v>#N/A</v>
      </c>
      <c r="CF49" s="24" t="s">
        <v>42</v>
      </c>
      <c r="CG49" s="24" t="s">
        <v>174</v>
      </c>
      <c r="CH49" s="12" t="str">
        <f t="shared" si="179"/>
        <v>大景城BBQ烤腌制粉</v>
      </c>
      <c r="CI49" s="24" t="e">
        <f>VLOOKUP(CH49,盘点表!A$1:O$65536,15,0)</f>
        <v>#N/A</v>
      </c>
      <c r="CM49" s="24" t="s">
        <v>42</v>
      </c>
      <c r="CN49" s="30" t="s">
        <v>66</v>
      </c>
      <c r="CO49" s="12" t="str">
        <f t="shared" si="180"/>
        <v>大景城可乐糖浆</v>
      </c>
      <c r="CP49" s="24" t="e">
        <f>VLOOKUP(CO49,盘点表!A$1:O$65536,15,0)</f>
        <v>#N/A</v>
      </c>
      <c r="CT49" s="24" t="s">
        <v>42</v>
      </c>
      <c r="CU49" s="24" t="s">
        <v>67</v>
      </c>
      <c r="CV49" s="12" t="str">
        <f t="shared" si="181"/>
        <v>大景城七喜糖浆</v>
      </c>
      <c r="CW49" s="24" t="e">
        <f>VLOOKUP(CV49,盘点表!A$1:O$65536,15,0)</f>
        <v>#N/A</v>
      </c>
      <c r="DH49" s="24" t="s">
        <v>42</v>
      </c>
      <c r="DI49" s="24" t="s">
        <v>590</v>
      </c>
      <c r="DJ49" s="12" t="str">
        <f t="shared" si="182"/>
        <v>大景城橙C原材料</v>
      </c>
      <c r="DK49" s="24" t="e">
        <f>VLOOKUP(DJ49,盘点表!A$1:O$65536,15,0)</f>
        <v>#N/A</v>
      </c>
      <c r="DV49" s="24" t="s">
        <v>42</v>
      </c>
      <c r="DW49" s="24" t="s">
        <v>175</v>
      </c>
      <c r="DX49" s="12" t="str">
        <f t="shared" si="183"/>
        <v>大景城蕃茄沙司（前台）</v>
      </c>
      <c r="DY49" s="24" t="e">
        <f>VLOOKUP(DX49,盘点表!A$1:O$65536,15,0)</f>
        <v>#N/A</v>
      </c>
      <c r="EC49" s="24" t="s">
        <v>42</v>
      </c>
      <c r="ED49" s="24" t="s">
        <v>72</v>
      </c>
      <c r="EE49" s="12" t="str">
        <f t="shared" si="184"/>
        <v>大景城糖包</v>
      </c>
      <c r="EF49" s="24" t="e">
        <f>VLOOKUP(EE49,盘点表!A$1:O$65536,15,0)</f>
        <v>#N/A</v>
      </c>
      <c r="EJ49" s="24" t="s">
        <v>42</v>
      </c>
      <c r="EK49" s="24" t="s">
        <v>73</v>
      </c>
      <c r="EL49" s="12" t="str">
        <f t="shared" si="185"/>
        <v>大景城吸管</v>
      </c>
      <c r="EM49" s="24" t="e">
        <f>VLOOKUP(EL49,盘点表!A$1:O$65536,15,0)</f>
        <v>#N/A</v>
      </c>
      <c r="EQ49" s="24" t="s">
        <v>42</v>
      </c>
      <c r="ER49" s="24" t="s">
        <v>176</v>
      </c>
      <c r="ES49" s="12" t="str">
        <f t="shared" si="186"/>
        <v>大景城搅拌棒</v>
      </c>
      <c r="ET49" s="24" t="e">
        <f>VLOOKUP(ES49,盘点表!A$1:O$65536,15,0)</f>
        <v>#N/A</v>
      </c>
      <c r="EX49" s="24" t="s">
        <v>42</v>
      </c>
      <c r="EY49" s="24" t="s">
        <v>25</v>
      </c>
      <c r="EZ49" s="12" t="str">
        <f t="shared" si="187"/>
        <v>大景城小勺</v>
      </c>
      <c r="FA49" s="24" t="e">
        <f>VLOOKUP(EZ49,盘点表!A$1:O$65536,15,0)</f>
        <v>#N/A</v>
      </c>
      <c r="FE49" s="24" t="s">
        <v>42</v>
      </c>
      <c r="FF49" s="24" t="s">
        <v>26</v>
      </c>
      <c r="FG49" s="64" t="str">
        <f t="shared" si="188"/>
        <v>大景城汉堡纸</v>
      </c>
      <c r="FH49" s="24" t="e">
        <f>VLOOKUP(FG49,盘点表!A$1:O$65536,15,0)</f>
        <v>#N/A</v>
      </c>
      <c r="FS49" s="24" t="s">
        <v>42</v>
      </c>
      <c r="FT49" s="24" t="s">
        <v>75</v>
      </c>
      <c r="FU49" s="64" t="str">
        <f t="shared" si="189"/>
        <v>大景城纸巾</v>
      </c>
      <c r="FV49" s="24" t="e">
        <f>VLOOKUP(FU49,盘点表!A$1:O$65536,15,0)</f>
        <v>#N/A</v>
      </c>
      <c r="FY49" s="24" t="s">
        <v>29</v>
      </c>
      <c r="FZ49" s="64" t="str">
        <f t="shared" si="190"/>
        <v>托盘纸</v>
      </c>
      <c r="GA49" s="24" t="e">
        <f>VLOOKUP(FZ49,盘点表!A$1:O$65536,15,0)</f>
        <v>#N/A</v>
      </c>
      <c r="GC49" s="24" t="s">
        <v>30</v>
      </c>
      <c r="GD49" s="64" t="str">
        <f t="shared" si="191"/>
        <v>起酥油</v>
      </c>
      <c r="GE49" s="24" t="e">
        <f>VLOOKUP(GD49,盘点表!A$1:O$65536,15,0)</f>
        <v>#N/A</v>
      </c>
      <c r="GJ49" s="24"/>
      <c r="GL49" s="24" t="s">
        <v>77</v>
      </c>
      <c r="GM49" s="64" t="str">
        <f t="shared" si="192"/>
        <v>打包袋</v>
      </c>
      <c r="GN49" s="24" t="e">
        <f>VLOOKUP(GM49,盘点表!A$1:O$65536,15,0)</f>
        <v>#N/A</v>
      </c>
    </row>
    <row r="50" spans="5:196" x14ac:dyDescent="0.15">
      <c r="E50" s="65"/>
      <c r="G50" s="67" t="s">
        <v>168</v>
      </c>
      <c r="H50" s="24" t="str">
        <f t="shared" si="199"/>
        <v>细薯条</v>
      </c>
      <c r="I50" s="67" t="e">
        <f>VLOOKUP(H50,盘点表!A$1:O$65536,15,0)</f>
        <v>#N/A</v>
      </c>
      <c r="M50" s="24" t="s">
        <v>43</v>
      </c>
      <c r="N50" s="67" t="s">
        <v>4</v>
      </c>
      <c r="O50" s="12" t="str">
        <f t="shared" si="194"/>
        <v>栾川盛德美玉米粒</v>
      </c>
      <c r="P50" s="67" t="e">
        <f>VLOOKUP(O50,盘点表!A$1:O$65536,15,0)</f>
        <v>#N/A</v>
      </c>
      <c r="U50" s="67" t="s">
        <v>5</v>
      </c>
      <c r="V50" s="12" t="str">
        <f t="shared" si="201"/>
        <v>山东肉丁</v>
      </c>
      <c r="W50" s="67" t="e">
        <f>VLOOKUP(V50,盘点表!A$1:O$65536,15,0)</f>
        <v>#N/A</v>
      </c>
      <c r="AB50" s="67" t="s">
        <v>169</v>
      </c>
      <c r="AC50" s="12" t="str">
        <f t="shared" si="202"/>
        <v>门店生菜</v>
      </c>
      <c r="AD50" s="67" t="e">
        <f>VLOOKUP(AC50,盘点表!A$1:O$65536,15,0)</f>
        <v>#N/A</v>
      </c>
      <c r="AI50" s="24" t="s">
        <v>170</v>
      </c>
      <c r="AJ50" s="12" t="str">
        <f t="shared" si="203"/>
        <v>25号专用粉</v>
      </c>
      <c r="AK50" s="24" t="e">
        <f>VLOOKUP(AJ50,盘点表!A$1:O$65536,15,0)</f>
        <v>#N/A</v>
      </c>
      <c r="AO50" s="24"/>
      <c r="AP50" s="24" t="s">
        <v>8</v>
      </c>
      <c r="AQ50" s="12" t="str">
        <f t="shared" si="204"/>
        <v>川香酱</v>
      </c>
      <c r="AR50" s="24" t="e">
        <f>VLOOKUP(AQ50,盘点表!A$1:O$65536,15,0)</f>
        <v>#N/A</v>
      </c>
      <c r="AX50" s="24" t="s">
        <v>9</v>
      </c>
      <c r="AY50" s="12" t="str">
        <f t="shared" si="205"/>
        <v>蜜汁酱</v>
      </c>
      <c r="AZ50" s="24" t="e">
        <f>VLOOKUP(AY50,盘点表!A$1:O$65536,15,0)</f>
        <v>#N/A</v>
      </c>
      <c r="BD50" s="24" t="s">
        <v>43</v>
      </c>
      <c r="BE50" s="24" t="s">
        <v>171</v>
      </c>
      <c r="BF50" s="12" t="str">
        <f t="shared" si="206"/>
        <v>栾川盛德美中辣味粉</v>
      </c>
      <c r="BG50" s="24" t="e">
        <f>VLOOKUP(BF50,盘点表!A$1:O$65536,15,0)</f>
        <v>#N/A</v>
      </c>
      <c r="BK50" s="24" t="s">
        <v>43</v>
      </c>
      <c r="BL50" s="24" t="s">
        <v>63</v>
      </c>
      <c r="BM50" s="12" t="str">
        <f t="shared" si="207"/>
        <v>栾川盛德美鸡排粉</v>
      </c>
      <c r="BN50" s="24" t="e">
        <f>VLOOKUP(BM50,盘点表!A$1:O$65536,15,0)</f>
        <v>#N/A</v>
      </c>
      <c r="BR50" s="24" t="s">
        <v>43</v>
      </c>
      <c r="BS50" s="24" t="s">
        <v>172</v>
      </c>
      <c r="BT50" s="12" t="str">
        <f t="shared" si="208"/>
        <v>栾川盛德美亿霖袋装沙司（后台）</v>
      </c>
      <c r="BU50" s="24" t="e">
        <f>VLOOKUP(BT50,盘点表!A$1:O$65536,15,0)</f>
        <v>#N/A</v>
      </c>
      <c r="BY50" s="24" t="s">
        <v>43</v>
      </c>
      <c r="BZ50" s="24" t="s">
        <v>173</v>
      </c>
      <c r="CA50" s="12" t="str">
        <f t="shared" si="209"/>
        <v>栾川盛德美沙拉酱</v>
      </c>
      <c r="CB50" s="24" t="e">
        <f>VLOOKUP(CA50,盘点表!A$1:O$65536,15,0)</f>
        <v>#N/A</v>
      </c>
      <c r="CF50" s="24" t="s">
        <v>43</v>
      </c>
      <c r="CG50" s="24" t="s">
        <v>174</v>
      </c>
      <c r="CH50" s="12" t="str">
        <f t="shared" si="179"/>
        <v>栾川盛德美BBQ烤腌制粉</v>
      </c>
      <c r="CI50" s="24" t="e">
        <f>VLOOKUP(CH50,盘点表!A$1:O$65536,15,0)</f>
        <v>#N/A</v>
      </c>
      <c r="CM50" s="24" t="s">
        <v>43</v>
      </c>
      <c r="CN50" s="30" t="s">
        <v>66</v>
      </c>
      <c r="CO50" s="12" t="str">
        <f t="shared" si="180"/>
        <v>栾川盛德美可乐糖浆</v>
      </c>
      <c r="CP50" s="24" t="e">
        <f>VLOOKUP(CO50,盘点表!A$1:O$65536,15,0)</f>
        <v>#N/A</v>
      </c>
      <c r="CT50" s="24" t="s">
        <v>43</v>
      </c>
      <c r="CU50" s="24" t="s">
        <v>67</v>
      </c>
      <c r="CV50" s="12" t="str">
        <f t="shared" si="181"/>
        <v>栾川盛德美七喜糖浆</v>
      </c>
      <c r="CW50" s="24" t="e">
        <f>VLOOKUP(CV50,盘点表!A$1:O$65536,15,0)</f>
        <v>#N/A</v>
      </c>
      <c r="DH50" s="24" t="s">
        <v>43</v>
      </c>
      <c r="DI50" s="24" t="s">
        <v>590</v>
      </c>
      <c r="DJ50" s="12" t="str">
        <f t="shared" si="182"/>
        <v>栾川盛德美橙C原材料</v>
      </c>
      <c r="DK50" s="24" t="e">
        <f>VLOOKUP(DJ50,盘点表!A$1:O$65536,15,0)</f>
        <v>#N/A</v>
      </c>
      <c r="DV50" s="24" t="s">
        <v>43</v>
      </c>
      <c r="DW50" s="24" t="s">
        <v>175</v>
      </c>
      <c r="DX50" s="12" t="str">
        <f t="shared" si="183"/>
        <v>栾川盛德美蕃茄沙司（前台）</v>
      </c>
      <c r="DY50" s="24" t="e">
        <f>VLOOKUP(DX50,盘点表!A$1:O$65536,15,0)</f>
        <v>#N/A</v>
      </c>
      <c r="EC50" s="24" t="s">
        <v>43</v>
      </c>
      <c r="ED50" s="24" t="s">
        <v>72</v>
      </c>
      <c r="EE50" s="12" t="str">
        <f t="shared" si="184"/>
        <v>栾川盛德美糖包</v>
      </c>
      <c r="EF50" s="24" t="e">
        <f>VLOOKUP(EE50,盘点表!A$1:O$65536,15,0)</f>
        <v>#N/A</v>
      </c>
      <c r="EJ50" s="24" t="s">
        <v>43</v>
      </c>
      <c r="EK50" s="24" t="s">
        <v>73</v>
      </c>
      <c r="EL50" s="12" t="str">
        <f t="shared" si="185"/>
        <v>栾川盛德美吸管</v>
      </c>
      <c r="EM50" s="24" t="e">
        <f>VLOOKUP(EL50,盘点表!A$1:O$65536,15,0)</f>
        <v>#N/A</v>
      </c>
      <c r="EQ50" s="24" t="s">
        <v>43</v>
      </c>
      <c r="ER50" s="24" t="s">
        <v>176</v>
      </c>
      <c r="ES50" s="12" t="str">
        <f t="shared" si="186"/>
        <v>栾川盛德美搅拌棒</v>
      </c>
      <c r="ET50" s="24" t="e">
        <f>VLOOKUP(ES50,盘点表!A$1:O$65536,15,0)</f>
        <v>#N/A</v>
      </c>
      <c r="EX50" s="24" t="s">
        <v>43</v>
      </c>
      <c r="EY50" s="24" t="s">
        <v>25</v>
      </c>
      <c r="EZ50" s="12" t="str">
        <f t="shared" si="187"/>
        <v>栾川盛德美小勺</v>
      </c>
      <c r="FA50" s="24" t="e">
        <f>VLOOKUP(EZ50,盘点表!A$1:O$65536,15,0)</f>
        <v>#N/A</v>
      </c>
      <c r="FE50" s="24" t="s">
        <v>43</v>
      </c>
      <c r="FF50" s="24" t="s">
        <v>26</v>
      </c>
      <c r="FG50" s="64" t="str">
        <f t="shared" si="188"/>
        <v>栾川盛德美汉堡纸</v>
      </c>
      <c r="FH50" s="24" t="e">
        <f>VLOOKUP(FG50,盘点表!A$1:O$65536,15,0)</f>
        <v>#N/A</v>
      </c>
      <c r="FS50" s="24" t="s">
        <v>43</v>
      </c>
      <c r="FT50" s="24" t="s">
        <v>75</v>
      </c>
      <c r="FU50" s="64" t="str">
        <f t="shared" si="189"/>
        <v>栾川盛德美纸巾</v>
      </c>
      <c r="FV50" s="24" t="e">
        <f>VLOOKUP(FU50,盘点表!A$1:O$65536,15,0)</f>
        <v>#N/A</v>
      </c>
      <c r="FY50" s="24" t="s">
        <v>29</v>
      </c>
      <c r="FZ50" s="64" t="str">
        <f t="shared" si="190"/>
        <v>托盘纸</v>
      </c>
      <c r="GA50" s="24" t="e">
        <f>VLOOKUP(FZ50,盘点表!A$1:O$65536,15,0)</f>
        <v>#N/A</v>
      </c>
      <c r="GC50" s="24" t="s">
        <v>30</v>
      </c>
      <c r="GD50" s="64" t="str">
        <f t="shared" si="191"/>
        <v>起酥油</v>
      </c>
      <c r="GE50" s="24" t="e">
        <f>VLOOKUP(GD50,盘点表!A$1:O$65536,15,0)</f>
        <v>#N/A</v>
      </c>
      <c r="GJ50" s="24"/>
      <c r="GL50" s="24" t="s">
        <v>77</v>
      </c>
      <c r="GM50" s="64" t="str">
        <f t="shared" si="192"/>
        <v>打包袋</v>
      </c>
      <c r="GN50" s="24" t="e">
        <f>VLOOKUP(GM50,盘点表!A$1:O$65536,15,0)</f>
        <v>#N/A</v>
      </c>
    </row>
    <row r="51" spans="5:196" x14ac:dyDescent="0.15">
      <c r="E51" s="65"/>
      <c r="G51" s="67" t="s">
        <v>168</v>
      </c>
      <c r="H51" s="24" t="str">
        <f t="shared" si="199"/>
        <v>细薯条</v>
      </c>
      <c r="I51" s="67" t="e">
        <f>VLOOKUP(H51,盘点表!A$1:O$65536,15,0)</f>
        <v>#N/A</v>
      </c>
      <c r="M51" s="24" t="s">
        <v>44</v>
      </c>
      <c r="N51" s="67" t="s">
        <v>4</v>
      </c>
      <c r="O51" s="12" t="str">
        <f t="shared" si="194"/>
        <v>长垣匡城玉米粒</v>
      </c>
      <c r="P51" s="67" t="e">
        <f>VLOOKUP(O51,盘点表!A$1:O$65536,15,0)</f>
        <v>#N/A</v>
      </c>
      <c r="U51" s="67" t="s">
        <v>5</v>
      </c>
      <c r="V51" s="12" t="str">
        <f t="shared" si="201"/>
        <v>山东肉丁</v>
      </c>
      <c r="W51" s="67" t="e">
        <f>VLOOKUP(V51,盘点表!A$1:O$65536,15,0)</f>
        <v>#N/A</v>
      </c>
      <c r="AB51" s="67" t="s">
        <v>169</v>
      </c>
      <c r="AC51" s="12" t="str">
        <f t="shared" si="202"/>
        <v>门店生菜</v>
      </c>
      <c r="AD51" s="67" t="e">
        <f>VLOOKUP(AC51,盘点表!A$1:O$65536,15,0)</f>
        <v>#N/A</v>
      </c>
      <c r="AI51" s="24" t="s">
        <v>170</v>
      </c>
      <c r="AJ51" s="12" t="str">
        <f t="shared" si="203"/>
        <v>25号专用粉</v>
      </c>
      <c r="AK51" s="24" t="e">
        <f>VLOOKUP(AJ51,盘点表!A$1:O$65536,15,0)</f>
        <v>#N/A</v>
      </c>
      <c r="AO51" s="24"/>
      <c r="AP51" s="24" t="s">
        <v>8</v>
      </c>
      <c r="AQ51" s="12" t="str">
        <f t="shared" si="204"/>
        <v>川香酱</v>
      </c>
      <c r="AR51" s="24" t="e">
        <f>VLOOKUP(AQ51,盘点表!A$1:O$65536,15,0)</f>
        <v>#N/A</v>
      </c>
      <c r="AX51" s="24" t="s">
        <v>9</v>
      </c>
      <c r="AY51" s="12" t="str">
        <f t="shared" si="205"/>
        <v>蜜汁酱</v>
      </c>
      <c r="AZ51" s="24" t="e">
        <f>VLOOKUP(AY51,盘点表!A$1:O$65536,15,0)</f>
        <v>#N/A</v>
      </c>
      <c r="BD51" s="24" t="s">
        <v>44</v>
      </c>
      <c r="BE51" s="24" t="s">
        <v>171</v>
      </c>
      <c r="BF51" s="12" t="str">
        <f t="shared" si="206"/>
        <v>长垣匡城中辣味粉</v>
      </c>
      <c r="BG51" s="24" t="e">
        <f>VLOOKUP(BF51,盘点表!A$1:O$65536,15,0)</f>
        <v>#N/A</v>
      </c>
      <c r="BK51" s="24" t="s">
        <v>44</v>
      </c>
      <c r="BL51" s="24" t="s">
        <v>63</v>
      </c>
      <c r="BM51" s="12" t="str">
        <f t="shared" si="207"/>
        <v>长垣匡城鸡排粉</v>
      </c>
      <c r="BN51" s="24" t="e">
        <f>VLOOKUP(BM51,盘点表!A$1:O$65536,15,0)</f>
        <v>#N/A</v>
      </c>
      <c r="BR51" s="24" t="s">
        <v>44</v>
      </c>
      <c r="BS51" s="24" t="s">
        <v>172</v>
      </c>
      <c r="BT51" s="12" t="str">
        <f t="shared" si="208"/>
        <v>长垣匡城亿霖袋装沙司（后台）</v>
      </c>
      <c r="BU51" s="24" t="e">
        <f>VLOOKUP(BT51,盘点表!A$1:O$65536,15,0)</f>
        <v>#N/A</v>
      </c>
      <c r="BY51" s="24" t="s">
        <v>44</v>
      </c>
      <c r="BZ51" s="24" t="s">
        <v>173</v>
      </c>
      <c r="CA51" s="12" t="str">
        <f t="shared" si="209"/>
        <v>长垣匡城沙拉酱</v>
      </c>
      <c r="CB51" s="24" t="e">
        <f>VLOOKUP(CA51,盘点表!A$1:O$65536,15,0)</f>
        <v>#N/A</v>
      </c>
      <c r="CF51" s="24" t="s">
        <v>44</v>
      </c>
      <c r="CG51" s="24" t="s">
        <v>174</v>
      </c>
      <c r="CH51" s="12" t="str">
        <f t="shared" si="179"/>
        <v>长垣匡城BBQ烤腌制粉</v>
      </c>
      <c r="CI51" s="24" t="e">
        <f>VLOOKUP(CH51,盘点表!A$1:O$65536,15,0)</f>
        <v>#N/A</v>
      </c>
      <c r="CM51" s="24" t="s">
        <v>44</v>
      </c>
      <c r="CN51" s="30" t="s">
        <v>66</v>
      </c>
      <c r="CO51" s="12" t="str">
        <f t="shared" si="180"/>
        <v>长垣匡城可乐糖浆</v>
      </c>
      <c r="CP51" s="24" t="e">
        <f>VLOOKUP(CO51,盘点表!A$1:O$65536,15,0)</f>
        <v>#N/A</v>
      </c>
      <c r="CT51" s="24" t="s">
        <v>44</v>
      </c>
      <c r="CU51" s="24" t="s">
        <v>67</v>
      </c>
      <c r="CV51" s="12" t="str">
        <f t="shared" si="181"/>
        <v>长垣匡城七喜糖浆</v>
      </c>
      <c r="CW51" s="24" t="e">
        <f>VLOOKUP(CV51,盘点表!A$1:O$65536,15,0)</f>
        <v>#N/A</v>
      </c>
      <c r="DH51" s="24" t="s">
        <v>44</v>
      </c>
      <c r="DI51" s="24" t="s">
        <v>590</v>
      </c>
      <c r="DJ51" s="12" t="str">
        <f t="shared" si="182"/>
        <v>长垣匡城橙C原材料</v>
      </c>
      <c r="DK51" s="24" t="e">
        <f>VLOOKUP(DJ51,盘点表!A$1:O$65536,15,0)</f>
        <v>#N/A</v>
      </c>
      <c r="DV51" s="24" t="s">
        <v>44</v>
      </c>
      <c r="DW51" s="24" t="s">
        <v>175</v>
      </c>
      <c r="DX51" s="12" t="str">
        <f t="shared" si="183"/>
        <v>长垣匡城蕃茄沙司（前台）</v>
      </c>
      <c r="DY51" s="24" t="e">
        <f>VLOOKUP(DX51,盘点表!A$1:O$65536,15,0)</f>
        <v>#N/A</v>
      </c>
      <c r="EC51" s="24" t="s">
        <v>44</v>
      </c>
      <c r="ED51" s="24" t="s">
        <v>72</v>
      </c>
      <c r="EE51" s="12" t="str">
        <f t="shared" si="184"/>
        <v>长垣匡城糖包</v>
      </c>
      <c r="EF51" s="24" t="e">
        <f>VLOOKUP(EE51,盘点表!A$1:O$65536,15,0)</f>
        <v>#N/A</v>
      </c>
      <c r="EJ51" s="24" t="s">
        <v>44</v>
      </c>
      <c r="EK51" s="24" t="s">
        <v>73</v>
      </c>
      <c r="EL51" s="12" t="str">
        <f t="shared" si="185"/>
        <v>长垣匡城吸管</v>
      </c>
      <c r="EM51" s="24" t="e">
        <f>VLOOKUP(EL51,盘点表!A$1:O$65536,15,0)</f>
        <v>#N/A</v>
      </c>
      <c r="EQ51" s="24" t="s">
        <v>44</v>
      </c>
      <c r="ER51" s="24" t="s">
        <v>176</v>
      </c>
      <c r="ES51" s="12" t="str">
        <f t="shared" si="186"/>
        <v>长垣匡城搅拌棒</v>
      </c>
      <c r="ET51" s="24" t="e">
        <f>VLOOKUP(ES51,盘点表!A$1:O$65536,15,0)</f>
        <v>#N/A</v>
      </c>
      <c r="EX51" s="24" t="s">
        <v>44</v>
      </c>
      <c r="EY51" s="24" t="s">
        <v>25</v>
      </c>
      <c r="EZ51" s="12" t="str">
        <f t="shared" si="187"/>
        <v>长垣匡城小勺</v>
      </c>
      <c r="FA51" s="24" t="e">
        <f>VLOOKUP(EZ51,盘点表!A$1:O$65536,15,0)</f>
        <v>#N/A</v>
      </c>
      <c r="FE51" s="24" t="s">
        <v>44</v>
      </c>
      <c r="FF51" s="24" t="s">
        <v>26</v>
      </c>
      <c r="FG51" s="64" t="str">
        <f t="shared" si="188"/>
        <v>长垣匡城汉堡纸</v>
      </c>
      <c r="FH51" s="24" t="e">
        <f>VLOOKUP(FG51,盘点表!A$1:O$65536,15,0)</f>
        <v>#N/A</v>
      </c>
      <c r="FS51" s="24" t="s">
        <v>44</v>
      </c>
      <c r="FT51" s="24" t="s">
        <v>75</v>
      </c>
      <c r="FU51" s="64" t="str">
        <f t="shared" si="189"/>
        <v>长垣匡城纸巾</v>
      </c>
      <c r="FV51" s="24" t="e">
        <f>VLOOKUP(FU51,盘点表!A$1:O$65536,15,0)</f>
        <v>#N/A</v>
      </c>
      <c r="FY51" s="24" t="s">
        <v>29</v>
      </c>
      <c r="FZ51" s="64" t="str">
        <f t="shared" si="190"/>
        <v>托盘纸</v>
      </c>
      <c r="GA51" s="24" t="e">
        <f>VLOOKUP(FZ51,盘点表!A$1:O$65536,15,0)</f>
        <v>#N/A</v>
      </c>
      <c r="GC51" s="24" t="s">
        <v>30</v>
      </c>
      <c r="GD51" s="64" t="str">
        <f t="shared" si="191"/>
        <v>起酥油</v>
      </c>
      <c r="GE51" s="24" t="e">
        <f>VLOOKUP(GD51,盘点表!A$1:O$65536,15,0)</f>
        <v>#N/A</v>
      </c>
      <c r="GJ51" s="24"/>
      <c r="GL51" s="24" t="s">
        <v>77</v>
      </c>
      <c r="GM51" s="64" t="str">
        <f t="shared" si="192"/>
        <v>打包袋</v>
      </c>
      <c r="GN51" s="24" t="e">
        <f>VLOOKUP(GM51,盘点表!A$1:O$65536,15,0)</f>
        <v>#N/A</v>
      </c>
    </row>
    <row r="52" spans="5:196" x14ac:dyDescent="0.15">
      <c r="E52" s="65"/>
      <c r="G52" s="67" t="s">
        <v>168</v>
      </c>
      <c r="H52" s="24" t="str">
        <f t="shared" si="199"/>
        <v>细薯条</v>
      </c>
      <c r="I52" s="67" t="e">
        <f>VLOOKUP(H52,盘点表!A$1:O$65536,15,0)</f>
        <v>#N/A</v>
      </c>
      <c r="M52" s="24" t="s">
        <v>45</v>
      </c>
      <c r="N52" s="67" t="s">
        <v>4</v>
      </c>
      <c r="O52" s="12" t="str">
        <f t="shared" si="194"/>
        <v>新乡振中玉米粒</v>
      </c>
      <c r="P52" s="67" t="e">
        <f>VLOOKUP(O52,盘点表!A$1:O$65536,15,0)</f>
        <v>#N/A</v>
      </c>
      <c r="U52" s="67" t="s">
        <v>5</v>
      </c>
      <c r="V52" s="12" t="str">
        <f t="shared" si="201"/>
        <v>山东肉丁</v>
      </c>
      <c r="W52" s="67" t="e">
        <f>VLOOKUP(V52,盘点表!A$1:O$65536,15,0)</f>
        <v>#N/A</v>
      </c>
      <c r="AB52" s="67" t="s">
        <v>169</v>
      </c>
      <c r="AC52" s="12" t="str">
        <f t="shared" si="202"/>
        <v>门店生菜</v>
      </c>
      <c r="AD52" s="67" t="e">
        <f>VLOOKUP(AC52,盘点表!A$1:O$65536,15,0)</f>
        <v>#N/A</v>
      </c>
      <c r="AI52" s="24" t="s">
        <v>170</v>
      </c>
      <c r="AJ52" s="12" t="str">
        <f t="shared" si="203"/>
        <v>25号专用粉</v>
      </c>
      <c r="AK52" s="24" t="e">
        <f>VLOOKUP(AJ52,盘点表!A$1:O$65536,15,0)</f>
        <v>#N/A</v>
      </c>
      <c r="AO52" s="24"/>
      <c r="AP52" s="24" t="s">
        <v>8</v>
      </c>
      <c r="AQ52" s="12" t="str">
        <f t="shared" si="204"/>
        <v>川香酱</v>
      </c>
      <c r="AR52" s="24" t="e">
        <f>VLOOKUP(AQ52,盘点表!A$1:O$65536,15,0)</f>
        <v>#N/A</v>
      </c>
      <c r="AX52" s="24" t="s">
        <v>9</v>
      </c>
      <c r="AY52" s="12" t="str">
        <f t="shared" si="205"/>
        <v>蜜汁酱</v>
      </c>
      <c r="AZ52" s="24" t="e">
        <f>VLOOKUP(AY52,盘点表!A$1:O$65536,15,0)</f>
        <v>#N/A</v>
      </c>
      <c r="BD52" s="24" t="s">
        <v>45</v>
      </c>
      <c r="BE52" s="24" t="s">
        <v>171</v>
      </c>
      <c r="BF52" s="12" t="str">
        <f t="shared" si="206"/>
        <v>新乡振中中辣味粉</v>
      </c>
      <c r="BG52" s="24" t="e">
        <f>VLOOKUP(BF52,盘点表!A$1:O$65536,15,0)</f>
        <v>#N/A</v>
      </c>
      <c r="BK52" s="24" t="s">
        <v>45</v>
      </c>
      <c r="BL52" s="24" t="s">
        <v>63</v>
      </c>
      <c r="BM52" s="12" t="str">
        <f t="shared" si="207"/>
        <v>新乡振中鸡排粉</v>
      </c>
      <c r="BN52" s="24" t="e">
        <f>VLOOKUP(BM52,盘点表!A$1:O$65536,15,0)</f>
        <v>#N/A</v>
      </c>
      <c r="BR52" s="24" t="s">
        <v>45</v>
      </c>
      <c r="BS52" s="24" t="s">
        <v>172</v>
      </c>
      <c r="BT52" s="12" t="str">
        <f t="shared" si="208"/>
        <v>新乡振中亿霖袋装沙司（后台）</v>
      </c>
      <c r="BU52" s="24" t="e">
        <f>VLOOKUP(BT52,盘点表!A$1:O$65536,15,0)</f>
        <v>#N/A</v>
      </c>
      <c r="BY52" s="24" t="s">
        <v>45</v>
      </c>
      <c r="BZ52" s="24" t="s">
        <v>173</v>
      </c>
      <c r="CA52" s="12" t="str">
        <f t="shared" si="209"/>
        <v>新乡振中沙拉酱</v>
      </c>
      <c r="CB52" s="24" t="e">
        <f>VLOOKUP(CA52,盘点表!A$1:O$65536,15,0)</f>
        <v>#N/A</v>
      </c>
      <c r="CF52" s="24" t="s">
        <v>45</v>
      </c>
      <c r="CG52" s="24" t="s">
        <v>174</v>
      </c>
      <c r="CH52" s="12" t="str">
        <f t="shared" si="179"/>
        <v>新乡振中BBQ烤腌制粉</v>
      </c>
      <c r="CI52" s="24" t="e">
        <f>VLOOKUP(CH52,盘点表!A$1:O$65536,15,0)</f>
        <v>#N/A</v>
      </c>
      <c r="CM52" s="24" t="s">
        <v>45</v>
      </c>
      <c r="CN52" s="30" t="s">
        <v>66</v>
      </c>
      <c r="CO52" s="12" t="str">
        <f t="shared" si="180"/>
        <v>新乡振中可乐糖浆</v>
      </c>
      <c r="CP52" s="24" t="e">
        <f>VLOOKUP(CO52,盘点表!A$1:O$65536,15,0)</f>
        <v>#N/A</v>
      </c>
      <c r="CT52" s="24" t="s">
        <v>45</v>
      </c>
      <c r="CU52" s="24" t="s">
        <v>67</v>
      </c>
      <c r="CV52" s="12" t="str">
        <f t="shared" si="181"/>
        <v>新乡振中七喜糖浆</v>
      </c>
      <c r="CW52" s="24" t="e">
        <f>VLOOKUP(CV52,盘点表!A$1:O$65536,15,0)</f>
        <v>#N/A</v>
      </c>
      <c r="DH52" s="24" t="s">
        <v>45</v>
      </c>
      <c r="DI52" s="24" t="s">
        <v>590</v>
      </c>
      <c r="DJ52" s="12" t="str">
        <f t="shared" si="182"/>
        <v>新乡振中橙C原材料</v>
      </c>
      <c r="DK52" s="24" t="e">
        <f>VLOOKUP(DJ52,盘点表!A$1:O$65536,15,0)</f>
        <v>#N/A</v>
      </c>
      <c r="DV52" s="24" t="s">
        <v>45</v>
      </c>
      <c r="DW52" s="24" t="s">
        <v>175</v>
      </c>
      <c r="DX52" s="12" t="str">
        <f t="shared" si="183"/>
        <v>新乡振中蕃茄沙司（前台）</v>
      </c>
      <c r="DY52" s="24" t="e">
        <f>VLOOKUP(DX52,盘点表!A$1:O$65536,15,0)</f>
        <v>#N/A</v>
      </c>
      <c r="EC52" s="24" t="s">
        <v>45</v>
      </c>
      <c r="ED52" s="24" t="s">
        <v>72</v>
      </c>
      <c r="EE52" s="12" t="str">
        <f t="shared" si="184"/>
        <v>新乡振中糖包</v>
      </c>
      <c r="EF52" s="24" t="e">
        <f>VLOOKUP(EE52,盘点表!A$1:O$65536,15,0)</f>
        <v>#N/A</v>
      </c>
      <c r="EJ52" s="24" t="s">
        <v>45</v>
      </c>
      <c r="EK52" s="24" t="s">
        <v>73</v>
      </c>
      <c r="EL52" s="12" t="str">
        <f t="shared" si="185"/>
        <v>新乡振中吸管</v>
      </c>
      <c r="EM52" s="24" t="e">
        <f>VLOOKUP(EL52,盘点表!A$1:O$65536,15,0)</f>
        <v>#N/A</v>
      </c>
      <c r="EQ52" s="24" t="s">
        <v>45</v>
      </c>
      <c r="ER52" s="24" t="s">
        <v>176</v>
      </c>
      <c r="ES52" s="12" t="str">
        <f t="shared" si="186"/>
        <v>新乡振中搅拌棒</v>
      </c>
      <c r="ET52" s="24" t="e">
        <f>VLOOKUP(ES52,盘点表!A$1:O$65536,15,0)</f>
        <v>#N/A</v>
      </c>
      <c r="EX52" s="24" t="s">
        <v>45</v>
      </c>
      <c r="EY52" s="24" t="s">
        <v>25</v>
      </c>
      <c r="EZ52" s="12" t="str">
        <f t="shared" si="187"/>
        <v>新乡振中小勺</v>
      </c>
      <c r="FA52" s="24" t="e">
        <f>VLOOKUP(EZ52,盘点表!A$1:O$65536,15,0)</f>
        <v>#N/A</v>
      </c>
      <c r="FE52" s="24" t="s">
        <v>45</v>
      </c>
      <c r="FF52" s="24" t="s">
        <v>26</v>
      </c>
      <c r="FG52" s="64" t="str">
        <f t="shared" si="188"/>
        <v>新乡振中汉堡纸</v>
      </c>
      <c r="FH52" s="24" t="e">
        <f>VLOOKUP(FG52,盘点表!A$1:O$65536,15,0)</f>
        <v>#N/A</v>
      </c>
      <c r="FS52" s="24" t="s">
        <v>45</v>
      </c>
      <c r="FT52" s="24" t="s">
        <v>75</v>
      </c>
      <c r="FU52" s="64" t="str">
        <f t="shared" si="189"/>
        <v>新乡振中纸巾</v>
      </c>
      <c r="FV52" s="24" t="e">
        <f>VLOOKUP(FU52,盘点表!A$1:O$65536,15,0)</f>
        <v>#N/A</v>
      </c>
      <c r="FY52" s="24" t="s">
        <v>29</v>
      </c>
      <c r="FZ52" s="64" t="str">
        <f t="shared" si="190"/>
        <v>托盘纸</v>
      </c>
      <c r="GA52" s="24" t="e">
        <f>VLOOKUP(FZ52,盘点表!A$1:O$65536,15,0)</f>
        <v>#N/A</v>
      </c>
      <c r="GC52" s="24" t="s">
        <v>30</v>
      </c>
      <c r="GD52" s="64" t="str">
        <f t="shared" si="191"/>
        <v>起酥油</v>
      </c>
      <c r="GE52" s="24" t="e">
        <f>VLOOKUP(GD52,盘点表!A$1:O$65536,15,0)</f>
        <v>#N/A</v>
      </c>
      <c r="GJ52" s="24"/>
      <c r="GL52" s="24" t="s">
        <v>77</v>
      </c>
      <c r="GM52" s="64" t="str">
        <f t="shared" si="192"/>
        <v>打包袋</v>
      </c>
      <c r="GN52" s="24" t="e">
        <f>VLOOKUP(GM52,盘点表!A$1:O$65536,15,0)</f>
        <v>#N/A</v>
      </c>
    </row>
    <row r="53" spans="5:196" ht="14.25" x14ac:dyDescent="0.15">
      <c r="E53" s="65"/>
      <c r="G53" s="67" t="s">
        <v>168</v>
      </c>
      <c r="H53" s="24" t="str">
        <f t="shared" si="199"/>
        <v>细薯条</v>
      </c>
      <c r="I53" s="67" t="e">
        <f>VLOOKUP(H53,盘点表!A$1:O$65536,15,0)</f>
        <v>#N/A</v>
      </c>
      <c r="M53" s="24" t="s">
        <v>46</v>
      </c>
      <c r="N53" s="67" t="s">
        <v>4</v>
      </c>
      <c r="O53" s="12" t="str">
        <f t="shared" si="194"/>
        <v>孟津麻屯玉米粒</v>
      </c>
      <c r="P53" s="67" t="e">
        <f>VLOOKUP(O53,盘点表!A$1:O$65536,15,0)</f>
        <v>#N/A</v>
      </c>
      <c r="U53" s="67" t="s">
        <v>5</v>
      </c>
      <c r="V53" s="12" t="str">
        <f t="shared" si="201"/>
        <v>山东肉丁</v>
      </c>
      <c r="W53" s="67" t="e">
        <f>VLOOKUP(V53,盘点表!A$1:O$65536,15,0)</f>
        <v>#N/A</v>
      </c>
      <c r="AB53" s="67" t="s">
        <v>169</v>
      </c>
      <c r="AC53" s="12" t="str">
        <f t="shared" si="202"/>
        <v>门店生菜</v>
      </c>
      <c r="AD53" s="67" t="e">
        <f>VLOOKUP(AC53,盘点表!A$1:O$65536,15,0)</f>
        <v>#N/A</v>
      </c>
      <c r="AI53" s="24" t="s">
        <v>170</v>
      </c>
      <c r="AJ53" s="12" t="str">
        <f t="shared" si="203"/>
        <v>25号专用粉</v>
      </c>
      <c r="AK53" s="24" t="e">
        <f>VLOOKUP(AJ53,盘点表!A$1:O$65536,15,0)</f>
        <v>#N/A</v>
      </c>
      <c r="AO53" s="24"/>
      <c r="AP53" s="24" t="s">
        <v>8</v>
      </c>
      <c r="AQ53" s="12" t="str">
        <f t="shared" si="204"/>
        <v>川香酱</v>
      </c>
      <c r="AR53" s="24" t="e">
        <f>VLOOKUP(AQ53,盘点表!A$1:O$65536,15,0)</f>
        <v>#N/A</v>
      </c>
      <c r="AX53" s="24" t="s">
        <v>9</v>
      </c>
      <c r="AY53" s="12" t="str">
        <f t="shared" si="205"/>
        <v>蜜汁酱</v>
      </c>
      <c r="AZ53" s="24" t="e">
        <f>VLOOKUP(AY53,盘点表!A$1:O$65536,15,0)</f>
        <v>#N/A</v>
      </c>
      <c r="BD53" s="24" t="s">
        <v>46</v>
      </c>
      <c r="BE53" s="24" t="s">
        <v>171</v>
      </c>
      <c r="BF53" s="12" t="str">
        <f t="shared" si="206"/>
        <v>孟津麻屯中辣味粉</v>
      </c>
      <c r="BG53" s="24" t="e">
        <f>VLOOKUP(BF53,盘点表!A$1:O$65536,15,0)</f>
        <v>#N/A</v>
      </c>
      <c r="BK53" s="24" t="s">
        <v>46</v>
      </c>
      <c r="BL53" s="24" t="s">
        <v>63</v>
      </c>
      <c r="BM53" s="12" t="str">
        <f t="shared" si="207"/>
        <v>孟津麻屯鸡排粉</v>
      </c>
      <c r="BN53" s="24" t="e">
        <f>VLOOKUP(BM53,盘点表!A$1:O$65536,15,0)</f>
        <v>#N/A</v>
      </c>
      <c r="BR53" s="24" t="s">
        <v>46</v>
      </c>
      <c r="BS53" s="24" t="s">
        <v>172</v>
      </c>
      <c r="BT53" s="12" t="str">
        <f t="shared" si="208"/>
        <v>孟津麻屯亿霖袋装沙司（后台）</v>
      </c>
      <c r="BU53" s="24" t="e">
        <f>VLOOKUP(BT53,盘点表!A$1:O$65536,15,0)</f>
        <v>#N/A</v>
      </c>
      <c r="BY53" s="15" t="s">
        <v>46</v>
      </c>
      <c r="BZ53" s="24" t="s">
        <v>173</v>
      </c>
      <c r="CA53" s="12" t="str">
        <f t="shared" si="209"/>
        <v>孟津麻屯沙拉酱</v>
      </c>
      <c r="CB53" s="24" t="e">
        <f>VLOOKUP(CA53,盘点表!A$1:O$65536,15,0)</f>
        <v>#N/A</v>
      </c>
      <c r="CF53" s="24" t="s">
        <v>46</v>
      </c>
      <c r="CG53" s="24" t="s">
        <v>174</v>
      </c>
      <c r="CH53" s="12" t="str">
        <f t="shared" si="179"/>
        <v>孟津麻屯BBQ烤腌制粉</v>
      </c>
      <c r="CI53" s="24" t="e">
        <f>VLOOKUP(CH53,盘点表!A$1:O$65536,15,0)</f>
        <v>#N/A</v>
      </c>
      <c r="CM53" s="24" t="s">
        <v>46</v>
      </c>
      <c r="CN53" s="30" t="s">
        <v>66</v>
      </c>
      <c r="CO53" s="12" t="str">
        <f t="shared" si="180"/>
        <v>孟津麻屯可乐糖浆</v>
      </c>
      <c r="CP53" s="24" t="e">
        <f>VLOOKUP(CO53,盘点表!A$1:O$65536,15,0)</f>
        <v>#N/A</v>
      </c>
      <c r="CT53" s="24" t="s">
        <v>46</v>
      </c>
      <c r="CU53" s="24" t="s">
        <v>67</v>
      </c>
      <c r="CV53" s="12" t="str">
        <f t="shared" si="181"/>
        <v>孟津麻屯七喜糖浆</v>
      </c>
      <c r="CW53" s="24" t="e">
        <f>VLOOKUP(CV53,盘点表!A$1:O$65536,15,0)</f>
        <v>#N/A</v>
      </c>
      <c r="DH53" s="24" t="s">
        <v>46</v>
      </c>
      <c r="DI53" s="24" t="s">
        <v>590</v>
      </c>
      <c r="DJ53" s="12" t="str">
        <f t="shared" si="182"/>
        <v>孟津麻屯橙C原材料</v>
      </c>
      <c r="DK53" s="24" t="e">
        <f>VLOOKUP(DJ53,盘点表!A$1:O$65536,15,0)</f>
        <v>#N/A</v>
      </c>
      <c r="DV53" s="24" t="s">
        <v>46</v>
      </c>
      <c r="DW53" s="24" t="s">
        <v>175</v>
      </c>
      <c r="DX53" s="12" t="str">
        <f t="shared" si="183"/>
        <v>孟津麻屯蕃茄沙司（前台）</v>
      </c>
      <c r="DY53" s="24" t="e">
        <f>VLOOKUP(DX53,盘点表!A$1:O$65536,15,0)</f>
        <v>#N/A</v>
      </c>
      <c r="EC53" s="24" t="s">
        <v>46</v>
      </c>
      <c r="ED53" s="24" t="s">
        <v>72</v>
      </c>
      <c r="EE53" s="12" t="str">
        <f t="shared" si="184"/>
        <v>孟津麻屯糖包</v>
      </c>
      <c r="EF53" s="24" t="e">
        <f>VLOOKUP(EE53,盘点表!A$1:O$65536,15,0)</f>
        <v>#N/A</v>
      </c>
      <c r="EJ53" s="24" t="s">
        <v>46</v>
      </c>
      <c r="EK53" s="24" t="s">
        <v>73</v>
      </c>
      <c r="EL53" s="12" t="str">
        <f t="shared" si="185"/>
        <v>孟津麻屯吸管</v>
      </c>
      <c r="EM53" s="24" t="e">
        <f>VLOOKUP(EL53,盘点表!A$1:O$65536,15,0)</f>
        <v>#N/A</v>
      </c>
      <c r="EQ53" s="24" t="s">
        <v>46</v>
      </c>
      <c r="ER53" s="24" t="s">
        <v>176</v>
      </c>
      <c r="ES53" s="12" t="str">
        <f t="shared" si="186"/>
        <v>孟津麻屯搅拌棒</v>
      </c>
      <c r="ET53" s="24" t="e">
        <f>VLOOKUP(ES53,盘点表!A$1:O$65536,15,0)</f>
        <v>#N/A</v>
      </c>
      <c r="EX53" s="24" t="s">
        <v>46</v>
      </c>
      <c r="EY53" s="24" t="s">
        <v>25</v>
      </c>
      <c r="EZ53" s="12" t="str">
        <f t="shared" si="187"/>
        <v>孟津麻屯小勺</v>
      </c>
      <c r="FA53" s="24" t="e">
        <f>VLOOKUP(EZ53,盘点表!A$1:O$65536,15,0)</f>
        <v>#N/A</v>
      </c>
      <c r="FE53" s="24" t="s">
        <v>46</v>
      </c>
      <c r="FF53" s="24" t="s">
        <v>26</v>
      </c>
      <c r="FG53" s="64" t="str">
        <f t="shared" si="188"/>
        <v>孟津麻屯汉堡纸</v>
      </c>
      <c r="FH53" s="24" t="e">
        <f>VLOOKUP(FG53,盘点表!A$1:O$65536,15,0)</f>
        <v>#N/A</v>
      </c>
      <c r="FS53" s="24" t="s">
        <v>46</v>
      </c>
      <c r="FT53" s="24" t="s">
        <v>75</v>
      </c>
      <c r="FU53" s="64" t="str">
        <f t="shared" si="189"/>
        <v>孟津麻屯纸巾</v>
      </c>
      <c r="FV53" s="24" t="e">
        <f>VLOOKUP(FU53,盘点表!A$1:O$65536,15,0)</f>
        <v>#N/A</v>
      </c>
      <c r="FY53" s="24" t="s">
        <v>29</v>
      </c>
      <c r="FZ53" s="64" t="str">
        <f t="shared" si="190"/>
        <v>托盘纸</v>
      </c>
      <c r="GA53" s="24" t="e">
        <f>VLOOKUP(FZ53,盘点表!A$1:O$65536,15,0)</f>
        <v>#N/A</v>
      </c>
      <c r="GC53" s="24" t="s">
        <v>30</v>
      </c>
      <c r="GD53" s="64" t="str">
        <f t="shared" si="191"/>
        <v>起酥油</v>
      </c>
      <c r="GE53" s="24" t="e">
        <f>VLOOKUP(GD53,盘点表!A$1:O$65536,15,0)</f>
        <v>#N/A</v>
      </c>
      <c r="GJ53" s="24"/>
      <c r="GL53" s="24" t="s">
        <v>77</v>
      </c>
      <c r="GM53" s="64" t="str">
        <f t="shared" si="192"/>
        <v>打包袋</v>
      </c>
      <c r="GN53" s="24" t="e">
        <f>VLOOKUP(GM53,盘点表!A$1:O$65536,15,0)</f>
        <v>#N/A</v>
      </c>
    </row>
    <row r="54" spans="5:196" ht="14.25" x14ac:dyDescent="0.15">
      <c r="E54" s="65"/>
      <c r="G54" s="67" t="s">
        <v>168</v>
      </c>
      <c r="H54" s="24" t="str">
        <f t="shared" si="199"/>
        <v>细薯条</v>
      </c>
      <c r="I54" s="67" t="e">
        <f>VLOOKUP(H54,盘点表!A$1:O$65536,15,0)</f>
        <v>#N/A</v>
      </c>
      <c r="M54" s="24" t="s">
        <v>47</v>
      </c>
      <c r="N54" s="67" t="s">
        <v>4</v>
      </c>
      <c r="O54" s="12" t="str">
        <f t="shared" si="194"/>
        <v>李楼玉米粒</v>
      </c>
      <c r="P54" s="67" t="e">
        <f>VLOOKUP(O54,盘点表!A$1:O$65536,15,0)</f>
        <v>#N/A</v>
      </c>
      <c r="U54" s="67" t="s">
        <v>5</v>
      </c>
      <c r="V54" s="12" t="str">
        <f t="shared" si="201"/>
        <v>山东肉丁</v>
      </c>
      <c r="W54" s="67" t="e">
        <f>VLOOKUP(V54,盘点表!A$1:O$65536,15,0)</f>
        <v>#N/A</v>
      </c>
      <c r="AB54" s="67" t="s">
        <v>169</v>
      </c>
      <c r="AC54" s="12" t="str">
        <f t="shared" si="202"/>
        <v>门店生菜</v>
      </c>
      <c r="AD54" s="67" t="e">
        <f>VLOOKUP(AC54,盘点表!A$1:O$65536,15,0)</f>
        <v>#N/A</v>
      </c>
      <c r="AI54" s="24" t="s">
        <v>170</v>
      </c>
      <c r="AJ54" s="12" t="str">
        <f t="shared" si="203"/>
        <v>25号专用粉</v>
      </c>
      <c r="AK54" s="24" t="e">
        <f>VLOOKUP(AJ54,盘点表!A$1:O$65536,15,0)</f>
        <v>#N/A</v>
      </c>
      <c r="AO54" s="24"/>
      <c r="AP54" s="24" t="s">
        <v>8</v>
      </c>
      <c r="AQ54" s="12" t="str">
        <f t="shared" si="204"/>
        <v>川香酱</v>
      </c>
      <c r="AR54" s="24" t="e">
        <f>VLOOKUP(AQ54,盘点表!A$1:O$65536,15,0)</f>
        <v>#N/A</v>
      </c>
      <c r="AX54" s="24" t="s">
        <v>9</v>
      </c>
      <c r="AY54" s="12" t="str">
        <f t="shared" si="205"/>
        <v>蜜汁酱</v>
      </c>
      <c r="AZ54" s="24" t="e">
        <f>VLOOKUP(AY54,盘点表!A$1:O$65536,15,0)</f>
        <v>#N/A</v>
      </c>
      <c r="BD54" s="24" t="s">
        <v>47</v>
      </c>
      <c r="BE54" s="24" t="s">
        <v>171</v>
      </c>
      <c r="BF54" s="12" t="str">
        <f t="shared" si="206"/>
        <v>李楼中辣味粉</v>
      </c>
      <c r="BG54" s="24" t="e">
        <f>VLOOKUP(BF54,盘点表!A$1:O$65536,15,0)</f>
        <v>#N/A</v>
      </c>
      <c r="BK54" s="24" t="s">
        <v>47</v>
      </c>
      <c r="BL54" s="24" t="s">
        <v>63</v>
      </c>
      <c r="BM54" s="12" t="str">
        <f t="shared" si="207"/>
        <v>李楼鸡排粉</v>
      </c>
      <c r="BN54" s="24" t="e">
        <f>VLOOKUP(BM54,盘点表!A$1:O$65536,15,0)</f>
        <v>#N/A</v>
      </c>
      <c r="BR54" s="24" t="s">
        <v>47</v>
      </c>
      <c r="BS54" s="24" t="s">
        <v>172</v>
      </c>
      <c r="BT54" s="12" t="str">
        <f t="shared" si="208"/>
        <v>李楼亿霖袋装沙司（后台）</v>
      </c>
      <c r="BU54" s="24" t="e">
        <f>VLOOKUP(BT54,盘点表!A$1:O$65536,15,0)</f>
        <v>#N/A</v>
      </c>
      <c r="BY54" s="15" t="s">
        <v>47</v>
      </c>
      <c r="BZ54" s="24" t="s">
        <v>173</v>
      </c>
      <c r="CA54" s="12" t="str">
        <f t="shared" si="209"/>
        <v>李楼沙拉酱</v>
      </c>
      <c r="CB54" s="24" t="e">
        <f>VLOOKUP(CA54,盘点表!A$1:O$65536,15,0)</f>
        <v>#N/A</v>
      </c>
      <c r="CF54" s="24" t="s">
        <v>47</v>
      </c>
      <c r="CG54" s="24" t="s">
        <v>174</v>
      </c>
      <c r="CH54" s="12" t="str">
        <f t="shared" si="179"/>
        <v>李楼BBQ烤腌制粉</v>
      </c>
      <c r="CI54" s="24" t="e">
        <f>VLOOKUP(CH54,盘点表!A$1:O$65536,15,0)</f>
        <v>#N/A</v>
      </c>
      <c r="CM54" s="24" t="s">
        <v>47</v>
      </c>
      <c r="CN54" s="30" t="s">
        <v>66</v>
      </c>
      <c r="CO54" s="12" t="str">
        <f t="shared" si="180"/>
        <v>李楼可乐糖浆</v>
      </c>
      <c r="CP54" s="24" t="e">
        <f>VLOOKUP(CO54,盘点表!A$1:O$65536,15,0)</f>
        <v>#N/A</v>
      </c>
      <c r="CT54" s="24" t="s">
        <v>47</v>
      </c>
      <c r="CU54" s="24" t="s">
        <v>67</v>
      </c>
      <c r="CV54" s="12" t="str">
        <f t="shared" si="181"/>
        <v>李楼七喜糖浆</v>
      </c>
      <c r="CW54" s="24" t="e">
        <f>VLOOKUP(CV54,盘点表!A$1:O$65536,15,0)</f>
        <v>#N/A</v>
      </c>
      <c r="DH54" s="24" t="s">
        <v>47</v>
      </c>
      <c r="DI54" s="24" t="s">
        <v>590</v>
      </c>
      <c r="DJ54" s="12" t="str">
        <f t="shared" si="182"/>
        <v>李楼橙C原材料</v>
      </c>
      <c r="DK54" s="24" t="e">
        <f>VLOOKUP(DJ54,盘点表!A$1:O$65536,15,0)</f>
        <v>#N/A</v>
      </c>
      <c r="DV54" s="24" t="s">
        <v>47</v>
      </c>
      <c r="DW54" s="24" t="s">
        <v>175</v>
      </c>
      <c r="DX54" s="12" t="str">
        <f t="shared" si="183"/>
        <v>李楼蕃茄沙司（前台）</v>
      </c>
      <c r="DY54" s="24" t="e">
        <f>VLOOKUP(DX54,盘点表!A$1:O$65536,15,0)</f>
        <v>#N/A</v>
      </c>
      <c r="EC54" s="24" t="s">
        <v>47</v>
      </c>
      <c r="ED54" s="24" t="s">
        <v>72</v>
      </c>
      <c r="EE54" s="12" t="str">
        <f t="shared" si="184"/>
        <v>李楼糖包</v>
      </c>
      <c r="EF54" s="24" t="e">
        <f>VLOOKUP(EE54,盘点表!A$1:O$65536,15,0)</f>
        <v>#N/A</v>
      </c>
      <c r="EJ54" s="24" t="s">
        <v>47</v>
      </c>
      <c r="EK54" s="24" t="s">
        <v>73</v>
      </c>
      <c r="EL54" s="12" t="str">
        <f t="shared" si="185"/>
        <v>李楼吸管</v>
      </c>
      <c r="EM54" s="24" t="e">
        <f>VLOOKUP(EL54,盘点表!A$1:O$65536,15,0)</f>
        <v>#N/A</v>
      </c>
      <c r="EQ54" s="24" t="s">
        <v>47</v>
      </c>
      <c r="ER54" s="24" t="s">
        <v>176</v>
      </c>
      <c r="ES54" s="12" t="str">
        <f t="shared" si="186"/>
        <v>李楼搅拌棒</v>
      </c>
      <c r="ET54" s="24" t="e">
        <f>VLOOKUP(ES54,盘点表!A$1:O$65536,15,0)</f>
        <v>#N/A</v>
      </c>
      <c r="EX54" s="24" t="s">
        <v>47</v>
      </c>
      <c r="EY54" s="24" t="s">
        <v>25</v>
      </c>
      <c r="EZ54" s="12" t="str">
        <f t="shared" si="187"/>
        <v>李楼小勺</v>
      </c>
      <c r="FA54" s="24" t="e">
        <f>VLOOKUP(EZ54,盘点表!A$1:O$65536,15,0)</f>
        <v>#N/A</v>
      </c>
      <c r="FE54" s="24" t="s">
        <v>47</v>
      </c>
      <c r="FF54" s="24" t="s">
        <v>26</v>
      </c>
      <c r="FG54" s="64" t="str">
        <f t="shared" si="188"/>
        <v>李楼汉堡纸</v>
      </c>
      <c r="FH54" s="24" t="e">
        <f>VLOOKUP(FG54,盘点表!A$1:O$65536,15,0)</f>
        <v>#N/A</v>
      </c>
      <c r="FS54" s="24" t="s">
        <v>47</v>
      </c>
      <c r="FT54" s="24" t="s">
        <v>75</v>
      </c>
      <c r="FU54" s="64" t="str">
        <f t="shared" si="189"/>
        <v>李楼纸巾</v>
      </c>
      <c r="FV54" s="24" t="e">
        <f>VLOOKUP(FU54,盘点表!A$1:O$65536,15,0)</f>
        <v>#N/A</v>
      </c>
      <c r="FY54" s="24" t="s">
        <v>29</v>
      </c>
      <c r="FZ54" s="64" t="str">
        <f t="shared" si="190"/>
        <v>托盘纸</v>
      </c>
      <c r="GA54" s="24" t="e">
        <f>VLOOKUP(FZ54,盘点表!A$1:O$65536,15,0)</f>
        <v>#N/A</v>
      </c>
      <c r="GC54" s="24" t="s">
        <v>30</v>
      </c>
      <c r="GD54" s="64" t="str">
        <f t="shared" si="191"/>
        <v>起酥油</v>
      </c>
      <c r="GE54" s="24" t="e">
        <f>VLOOKUP(GD54,盘点表!A$1:O$65536,15,0)</f>
        <v>#N/A</v>
      </c>
      <c r="GJ54" s="24"/>
      <c r="GL54" s="24" t="s">
        <v>77</v>
      </c>
      <c r="GM54" s="64" t="str">
        <f t="shared" si="192"/>
        <v>打包袋</v>
      </c>
      <c r="GN54" s="24" t="e">
        <f>VLOOKUP(GM54,盘点表!A$1:O$65536,15,0)</f>
        <v>#N/A</v>
      </c>
    </row>
    <row r="55" spans="5:196" x14ac:dyDescent="0.15">
      <c r="E55" s="65"/>
      <c r="G55" s="67" t="s">
        <v>168</v>
      </c>
      <c r="H55" s="24" t="str">
        <f t="shared" si="199"/>
        <v>细薯条</v>
      </c>
      <c r="I55" s="67" t="e">
        <f>VLOOKUP(H55,盘点表!A$1:O$65536,15,0)</f>
        <v>#N/A</v>
      </c>
      <c r="M55" s="24" t="s">
        <v>48</v>
      </c>
      <c r="N55" s="67" t="s">
        <v>4</v>
      </c>
      <c r="O55" s="12" t="str">
        <f t="shared" si="194"/>
        <v>南阳工农南路玉米粒</v>
      </c>
      <c r="P55" s="67" t="e">
        <f>VLOOKUP(O55,盘点表!A$1:O$65536,15,0)</f>
        <v>#N/A</v>
      </c>
      <c r="U55" s="67" t="s">
        <v>5</v>
      </c>
      <c r="V55" s="12" t="str">
        <f t="shared" si="201"/>
        <v>山东肉丁</v>
      </c>
      <c r="W55" s="67" t="e">
        <f>VLOOKUP(V55,盘点表!A$1:O$65536,15,0)</f>
        <v>#N/A</v>
      </c>
      <c r="AB55" s="67" t="s">
        <v>169</v>
      </c>
      <c r="AC55" s="12" t="str">
        <f t="shared" si="202"/>
        <v>门店生菜</v>
      </c>
      <c r="AD55" s="67" t="e">
        <f>VLOOKUP(AC55,盘点表!A$1:O$65536,15,0)</f>
        <v>#N/A</v>
      </c>
      <c r="AI55" s="24" t="s">
        <v>170</v>
      </c>
      <c r="AJ55" s="12" t="str">
        <f t="shared" si="203"/>
        <v>25号专用粉</v>
      </c>
      <c r="AK55" s="24" t="e">
        <f>VLOOKUP(AJ55,盘点表!A$1:O$65536,15,0)</f>
        <v>#N/A</v>
      </c>
      <c r="AO55" s="24"/>
      <c r="AP55" s="24" t="s">
        <v>8</v>
      </c>
      <c r="AQ55" s="12" t="str">
        <f t="shared" si="204"/>
        <v>川香酱</v>
      </c>
      <c r="AR55" s="24" t="e">
        <f>VLOOKUP(AQ55,盘点表!A$1:O$65536,15,0)</f>
        <v>#N/A</v>
      </c>
      <c r="AX55" s="24" t="s">
        <v>9</v>
      </c>
      <c r="AY55" s="12" t="str">
        <f t="shared" si="205"/>
        <v>蜜汁酱</v>
      </c>
      <c r="AZ55" s="24" t="e">
        <f>VLOOKUP(AY55,盘点表!A$1:O$65536,15,0)</f>
        <v>#N/A</v>
      </c>
      <c r="BD55" s="24" t="s">
        <v>48</v>
      </c>
      <c r="BE55" s="24" t="s">
        <v>171</v>
      </c>
      <c r="BF55" s="12" t="str">
        <f t="shared" si="206"/>
        <v>南阳工农南路中辣味粉</v>
      </c>
      <c r="BG55" s="24" t="e">
        <f>VLOOKUP(BF55,盘点表!A$1:O$65536,15,0)</f>
        <v>#N/A</v>
      </c>
      <c r="BK55" s="24" t="s">
        <v>48</v>
      </c>
      <c r="BL55" s="24" t="s">
        <v>63</v>
      </c>
      <c r="BM55" s="12" t="str">
        <f t="shared" si="207"/>
        <v>南阳工农南路鸡排粉</v>
      </c>
      <c r="BN55" s="24" t="e">
        <f>VLOOKUP(BM55,盘点表!A$1:O$65536,15,0)</f>
        <v>#N/A</v>
      </c>
      <c r="BR55" s="24" t="s">
        <v>48</v>
      </c>
      <c r="BS55" s="24" t="s">
        <v>172</v>
      </c>
      <c r="BT55" s="12" t="str">
        <f t="shared" si="208"/>
        <v>南阳工农南路亿霖袋装沙司（后台）</v>
      </c>
      <c r="BU55" s="24" t="e">
        <f>VLOOKUP(BT55,盘点表!A$1:O$65536,15,0)</f>
        <v>#N/A</v>
      </c>
      <c r="BY55" s="24" t="s">
        <v>48</v>
      </c>
      <c r="BZ55" s="24" t="s">
        <v>173</v>
      </c>
      <c r="CA55" s="12" t="str">
        <f t="shared" si="209"/>
        <v>南阳工农南路沙拉酱</v>
      </c>
      <c r="CB55" s="24" t="e">
        <f>VLOOKUP(CA55,盘点表!A$1:O$65536,15,0)</f>
        <v>#N/A</v>
      </c>
      <c r="CF55" s="24" t="s">
        <v>48</v>
      </c>
      <c r="CG55" s="24" t="s">
        <v>174</v>
      </c>
      <c r="CH55" s="12" t="str">
        <f t="shared" si="179"/>
        <v>南阳工农南路BBQ烤腌制粉</v>
      </c>
      <c r="CI55" s="24" t="e">
        <f>VLOOKUP(CH55,盘点表!A$1:O$65536,15,0)</f>
        <v>#N/A</v>
      </c>
      <c r="CM55" s="24" t="s">
        <v>48</v>
      </c>
      <c r="CN55" s="30" t="s">
        <v>66</v>
      </c>
      <c r="CO55" s="12" t="str">
        <f t="shared" si="180"/>
        <v>南阳工农南路可乐糖浆</v>
      </c>
      <c r="CP55" s="24" t="e">
        <f>VLOOKUP(CO55,盘点表!A$1:O$65536,15,0)</f>
        <v>#N/A</v>
      </c>
      <c r="CT55" s="24" t="s">
        <v>48</v>
      </c>
      <c r="CU55" s="24" t="s">
        <v>67</v>
      </c>
      <c r="CV55" s="12" t="str">
        <f t="shared" si="181"/>
        <v>南阳工农南路七喜糖浆</v>
      </c>
      <c r="CW55" s="24" t="e">
        <f>VLOOKUP(CV55,盘点表!A$1:O$65536,15,0)</f>
        <v>#N/A</v>
      </c>
      <c r="DH55" s="24" t="s">
        <v>48</v>
      </c>
      <c r="DI55" s="24" t="s">
        <v>590</v>
      </c>
      <c r="DJ55" s="12" t="str">
        <f t="shared" si="182"/>
        <v>南阳工农南路橙C原材料</v>
      </c>
      <c r="DK55" s="24" t="e">
        <f>VLOOKUP(DJ55,盘点表!A$1:O$65536,15,0)</f>
        <v>#N/A</v>
      </c>
      <c r="DV55" s="24" t="s">
        <v>48</v>
      </c>
      <c r="DW55" s="24" t="s">
        <v>175</v>
      </c>
      <c r="DX55" s="12" t="str">
        <f t="shared" si="183"/>
        <v>南阳工农南路蕃茄沙司（前台）</v>
      </c>
      <c r="DY55" s="24" t="e">
        <f>VLOOKUP(DX55,盘点表!A$1:O$65536,15,0)</f>
        <v>#N/A</v>
      </c>
      <c r="EC55" s="24" t="s">
        <v>48</v>
      </c>
      <c r="ED55" s="24" t="s">
        <v>72</v>
      </c>
      <c r="EE55" s="12" t="str">
        <f t="shared" si="184"/>
        <v>南阳工农南路糖包</v>
      </c>
      <c r="EF55" s="24" t="e">
        <f>VLOOKUP(EE55,盘点表!A$1:O$65536,15,0)</f>
        <v>#N/A</v>
      </c>
      <c r="EJ55" s="24" t="s">
        <v>48</v>
      </c>
      <c r="EK55" s="24" t="s">
        <v>73</v>
      </c>
      <c r="EL55" s="12" t="str">
        <f t="shared" si="185"/>
        <v>南阳工农南路吸管</v>
      </c>
      <c r="EM55" s="24" t="e">
        <f>VLOOKUP(EL55,盘点表!A$1:O$65536,15,0)</f>
        <v>#N/A</v>
      </c>
      <c r="EQ55" s="24" t="s">
        <v>48</v>
      </c>
      <c r="ER55" s="24" t="s">
        <v>176</v>
      </c>
      <c r="ES55" s="12" t="str">
        <f t="shared" si="186"/>
        <v>南阳工农南路搅拌棒</v>
      </c>
      <c r="ET55" s="24" t="e">
        <f>VLOOKUP(ES55,盘点表!A$1:O$65536,15,0)</f>
        <v>#N/A</v>
      </c>
      <c r="EX55" s="24" t="s">
        <v>48</v>
      </c>
      <c r="EY55" s="24" t="s">
        <v>25</v>
      </c>
      <c r="EZ55" s="12" t="str">
        <f t="shared" si="187"/>
        <v>南阳工农南路小勺</v>
      </c>
      <c r="FA55" s="24" t="e">
        <f>VLOOKUP(EZ55,盘点表!A$1:O$65536,15,0)</f>
        <v>#N/A</v>
      </c>
      <c r="FE55" s="24" t="s">
        <v>48</v>
      </c>
      <c r="FF55" s="24" t="s">
        <v>26</v>
      </c>
      <c r="FG55" s="64" t="str">
        <f t="shared" si="188"/>
        <v>南阳工农南路汉堡纸</v>
      </c>
      <c r="FH55" s="24" t="e">
        <f>VLOOKUP(FG55,盘点表!A$1:O$65536,15,0)</f>
        <v>#N/A</v>
      </c>
      <c r="FS55" s="24" t="s">
        <v>48</v>
      </c>
      <c r="FT55" s="24" t="s">
        <v>75</v>
      </c>
      <c r="FU55" s="64" t="str">
        <f t="shared" si="189"/>
        <v>南阳工农南路纸巾</v>
      </c>
      <c r="FV55" s="24" t="e">
        <f>VLOOKUP(FU55,盘点表!A$1:O$65536,15,0)</f>
        <v>#N/A</v>
      </c>
      <c r="FY55" s="24" t="s">
        <v>29</v>
      </c>
      <c r="FZ55" s="64" t="str">
        <f t="shared" si="190"/>
        <v>托盘纸</v>
      </c>
      <c r="GA55" s="24" t="e">
        <f>VLOOKUP(FZ55,盘点表!A$1:O$65536,15,0)</f>
        <v>#N/A</v>
      </c>
      <c r="GC55" s="24" t="s">
        <v>30</v>
      </c>
      <c r="GD55" s="64" t="str">
        <f t="shared" si="191"/>
        <v>起酥油</v>
      </c>
      <c r="GE55" s="24" t="e">
        <f>VLOOKUP(GD55,盘点表!A$1:O$65536,15,0)</f>
        <v>#N/A</v>
      </c>
      <c r="GJ55" s="24"/>
      <c r="GL55" s="24" t="s">
        <v>77</v>
      </c>
      <c r="GM55" s="64" t="str">
        <f t="shared" si="192"/>
        <v>打包袋</v>
      </c>
      <c r="GN55" s="24" t="e">
        <f>VLOOKUP(GM55,盘点表!A$1:O$65536,15,0)</f>
        <v>#N/A</v>
      </c>
    </row>
    <row r="56" spans="5:196" ht="14.25" x14ac:dyDescent="0.15">
      <c r="E56" s="65"/>
      <c r="F56" s="15"/>
      <c r="G56" s="67" t="s">
        <v>168</v>
      </c>
      <c r="H56" s="24" t="str">
        <f t="shared" si="199"/>
        <v>细薯条</v>
      </c>
      <c r="I56" s="67" t="e">
        <f>VLOOKUP(H56,盘点表!A$1:O$65536,15,0)</f>
        <v>#N/A</v>
      </c>
      <c r="M56" s="24" t="s">
        <v>49</v>
      </c>
      <c r="N56" s="67" t="s">
        <v>4</v>
      </c>
      <c r="O56" s="12" t="str">
        <f t="shared" si="194"/>
        <v>新乡常青藤玉米粒</v>
      </c>
      <c r="P56" s="67" t="e">
        <f>VLOOKUP(O56,盘点表!A$1:O$65536,15,0)</f>
        <v>#N/A</v>
      </c>
      <c r="U56" s="67" t="s">
        <v>5</v>
      </c>
      <c r="V56" s="12" t="str">
        <f t="shared" si="201"/>
        <v>山东肉丁</v>
      </c>
      <c r="W56" s="67" t="e">
        <f>VLOOKUP(V56,盘点表!A$1:O$65536,15,0)</f>
        <v>#N/A</v>
      </c>
      <c r="AB56" s="67" t="s">
        <v>169</v>
      </c>
      <c r="AC56" s="12" t="str">
        <f t="shared" si="202"/>
        <v>门店生菜</v>
      </c>
      <c r="AD56" s="67" t="e">
        <f>VLOOKUP(AC56,盘点表!A$1:O$65536,15,0)</f>
        <v>#N/A</v>
      </c>
      <c r="AI56" s="24" t="s">
        <v>170</v>
      </c>
      <c r="AJ56" s="12" t="str">
        <f t="shared" si="203"/>
        <v>25号专用粉</v>
      </c>
      <c r="AK56" s="24" t="e">
        <f>VLOOKUP(AJ56,盘点表!A$1:O$65536,15,0)</f>
        <v>#N/A</v>
      </c>
      <c r="AO56" s="24"/>
      <c r="AP56" s="24" t="s">
        <v>8</v>
      </c>
      <c r="AQ56" s="12" t="str">
        <f t="shared" si="204"/>
        <v>川香酱</v>
      </c>
      <c r="AR56" s="24" t="e">
        <f>VLOOKUP(AQ56,盘点表!A$1:O$65536,15,0)</f>
        <v>#N/A</v>
      </c>
      <c r="AX56" s="24" t="s">
        <v>9</v>
      </c>
      <c r="AY56" s="12" t="str">
        <f t="shared" si="205"/>
        <v>蜜汁酱</v>
      </c>
      <c r="AZ56" s="24" t="e">
        <f>VLOOKUP(AY56,盘点表!A$1:O$65536,15,0)</f>
        <v>#N/A</v>
      </c>
      <c r="BD56" s="24" t="s">
        <v>49</v>
      </c>
      <c r="BE56" s="24" t="s">
        <v>171</v>
      </c>
      <c r="BF56" s="12" t="str">
        <f t="shared" si="206"/>
        <v>新乡常青藤中辣味粉</v>
      </c>
      <c r="BG56" s="24" t="e">
        <f>VLOOKUP(BF56,盘点表!A$1:O$65536,15,0)</f>
        <v>#N/A</v>
      </c>
      <c r="BK56" s="24" t="s">
        <v>49</v>
      </c>
      <c r="BL56" s="24" t="s">
        <v>63</v>
      </c>
      <c r="BM56" s="12" t="str">
        <f t="shared" si="207"/>
        <v>新乡常青藤鸡排粉</v>
      </c>
      <c r="BN56" s="24" t="e">
        <f>VLOOKUP(BM56,盘点表!A$1:O$65536,15,0)</f>
        <v>#N/A</v>
      </c>
      <c r="BR56" s="24" t="s">
        <v>49</v>
      </c>
      <c r="BS56" s="24" t="s">
        <v>172</v>
      </c>
      <c r="BT56" s="12" t="str">
        <f t="shared" si="208"/>
        <v>新乡常青藤亿霖袋装沙司（后台）</v>
      </c>
      <c r="BU56" s="24" t="e">
        <f>VLOOKUP(BT56,盘点表!A$1:O$65536,15,0)</f>
        <v>#N/A</v>
      </c>
      <c r="BY56" s="24" t="s">
        <v>49</v>
      </c>
      <c r="BZ56" s="24" t="s">
        <v>173</v>
      </c>
      <c r="CA56" s="12" t="str">
        <f t="shared" si="209"/>
        <v>新乡常青藤沙拉酱</v>
      </c>
      <c r="CB56" s="24" t="e">
        <f>VLOOKUP(CA56,盘点表!A$1:O$65536,15,0)</f>
        <v>#N/A</v>
      </c>
      <c r="CF56" s="24" t="s">
        <v>49</v>
      </c>
      <c r="CG56" s="24" t="s">
        <v>174</v>
      </c>
      <c r="CH56" s="12" t="str">
        <f t="shared" si="179"/>
        <v>新乡常青藤BBQ烤腌制粉</v>
      </c>
      <c r="CI56" s="24" t="e">
        <f>VLOOKUP(CH56,盘点表!A$1:O$65536,15,0)</f>
        <v>#N/A</v>
      </c>
      <c r="CM56" s="24" t="s">
        <v>49</v>
      </c>
      <c r="CN56" s="30" t="s">
        <v>66</v>
      </c>
      <c r="CO56" s="12" t="str">
        <f t="shared" si="180"/>
        <v>新乡常青藤可乐糖浆</v>
      </c>
      <c r="CP56" s="24" t="e">
        <f>VLOOKUP(CO56,盘点表!A$1:O$65536,15,0)</f>
        <v>#N/A</v>
      </c>
      <c r="CT56" s="24" t="s">
        <v>49</v>
      </c>
      <c r="CU56" s="24" t="s">
        <v>67</v>
      </c>
      <c r="CV56" s="12" t="str">
        <f t="shared" si="181"/>
        <v>新乡常青藤七喜糖浆</v>
      </c>
      <c r="CW56" s="24" t="e">
        <f>VLOOKUP(CV56,盘点表!A$1:O$65536,15,0)</f>
        <v>#N/A</v>
      </c>
      <c r="DH56" s="24" t="s">
        <v>49</v>
      </c>
      <c r="DI56" s="24" t="s">
        <v>590</v>
      </c>
      <c r="DJ56" s="12" t="str">
        <f t="shared" si="182"/>
        <v>新乡常青藤橙C原材料</v>
      </c>
      <c r="DK56" s="24" t="e">
        <f>VLOOKUP(DJ56,盘点表!A$1:O$65536,15,0)</f>
        <v>#N/A</v>
      </c>
      <c r="DV56" s="24" t="s">
        <v>49</v>
      </c>
      <c r="DW56" s="24" t="s">
        <v>175</v>
      </c>
      <c r="DX56" s="12" t="str">
        <f t="shared" si="183"/>
        <v>新乡常青藤蕃茄沙司（前台）</v>
      </c>
      <c r="DY56" s="24" t="e">
        <f>VLOOKUP(DX56,盘点表!A$1:O$65536,15,0)</f>
        <v>#N/A</v>
      </c>
      <c r="EC56" s="24" t="s">
        <v>49</v>
      </c>
      <c r="ED56" s="24" t="s">
        <v>72</v>
      </c>
      <c r="EE56" s="12" t="str">
        <f t="shared" si="184"/>
        <v>新乡常青藤糖包</v>
      </c>
      <c r="EF56" s="24" t="e">
        <f>VLOOKUP(EE56,盘点表!A$1:O$65536,15,0)</f>
        <v>#N/A</v>
      </c>
      <c r="EJ56" s="24" t="s">
        <v>49</v>
      </c>
      <c r="EK56" s="24" t="s">
        <v>73</v>
      </c>
      <c r="EL56" s="12" t="str">
        <f t="shared" si="185"/>
        <v>新乡常青藤吸管</v>
      </c>
      <c r="EM56" s="24" t="e">
        <f>VLOOKUP(EL56,盘点表!A$1:O$65536,15,0)</f>
        <v>#N/A</v>
      </c>
      <c r="EQ56" s="24" t="s">
        <v>49</v>
      </c>
      <c r="ER56" s="24" t="s">
        <v>176</v>
      </c>
      <c r="ES56" s="12" t="str">
        <f t="shared" si="186"/>
        <v>新乡常青藤搅拌棒</v>
      </c>
      <c r="ET56" s="24" t="e">
        <f>VLOOKUP(ES56,盘点表!A$1:O$65536,15,0)</f>
        <v>#N/A</v>
      </c>
      <c r="EX56" s="24" t="s">
        <v>49</v>
      </c>
      <c r="EY56" s="24" t="s">
        <v>25</v>
      </c>
      <c r="EZ56" s="12" t="str">
        <f t="shared" si="187"/>
        <v>新乡常青藤小勺</v>
      </c>
      <c r="FA56" s="24" t="e">
        <f>VLOOKUP(EZ56,盘点表!A$1:O$65536,15,0)</f>
        <v>#N/A</v>
      </c>
      <c r="FE56" s="24" t="s">
        <v>49</v>
      </c>
      <c r="FF56" s="24" t="s">
        <v>26</v>
      </c>
      <c r="FG56" s="64" t="str">
        <f t="shared" si="188"/>
        <v>新乡常青藤汉堡纸</v>
      </c>
      <c r="FH56" s="24" t="e">
        <f>VLOOKUP(FG56,盘点表!A$1:O$65536,15,0)</f>
        <v>#N/A</v>
      </c>
      <c r="FS56" s="24" t="s">
        <v>49</v>
      </c>
      <c r="FT56" s="24" t="s">
        <v>75</v>
      </c>
      <c r="FU56" s="64" t="str">
        <f t="shared" si="189"/>
        <v>新乡常青藤纸巾</v>
      </c>
      <c r="FV56" s="24" t="e">
        <f>VLOOKUP(FU56,盘点表!A$1:O$65536,15,0)</f>
        <v>#N/A</v>
      </c>
      <c r="FY56" s="24" t="s">
        <v>29</v>
      </c>
      <c r="FZ56" s="64" t="str">
        <f t="shared" si="190"/>
        <v>托盘纸</v>
      </c>
      <c r="GA56" s="24" t="e">
        <f>VLOOKUP(FZ56,盘点表!A$1:O$65536,15,0)</f>
        <v>#N/A</v>
      </c>
      <c r="GC56" s="24" t="s">
        <v>30</v>
      </c>
      <c r="GD56" s="64" t="str">
        <f t="shared" si="191"/>
        <v>起酥油</v>
      </c>
      <c r="GE56" s="24" t="e">
        <f>VLOOKUP(GD56,盘点表!A$1:O$65536,15,0)</f>
        <v>#N/A</v>
      </c>
      <c r="GJ56" s="24"/>
      <c r="GL56" s="24" t="s">
        <v>77</v>
      </c>
      <c r="GM56" s="64" t="str">
        <f t="shared" si="192"/>
        <v>打包袋</v>
      </c>
      <c r="GN56" s="24" t="e">
        <f>VLOOKUP(GM56,盘点表!A$1:O$65536,15,0)</f>
        <v>#N/A</v>
      </c>
    </row>
    <row r="57" spans="5:196" ht="14.25" x14ac:dyDescent="0.15">
      <c r="E57" s="65"/>
      <c r="G57" s="67" t="s">
        <v>168</v>
      </c>
      <c r="H57" s="24" t="str">
        <f t="shared" si="199"/>
        <v>细薯条</v>
      </c>
      <c r="I57" s="67" t="e">
        <f>VLOOKUP(H57,盘点表!A$1:O$65536,15,0)</f>
        <v>#N/A</v>
      </c>
      <c r="M57" s="24" t="s">
        <v>50</v>
      </c>
      <c r="N57" s="67" t="s">
        <v>4</v>
      </c>
      <c r="O57" s="12" t="str">
        <f t="shared" si="194"/>
        <v>三门峡华府玉米粒</v>
      </c>
      <c r="P57" s="67" t="e">
        <f>VLOOKUP(O57,盘点表!A$1:O$65536,15,0)</f>
        <v>#N/A</v>
      </c>
      <c r="U57" s="67" t="s">
        <v>5</v>
      </c>
      <c r="V57" s="12" t="str">
        <f t="shared" si="201"/>
        <v>山东肉丁</v>
      </c>
      <c r="W57" s="67" t="e">
        <f>VLOOKUP(V57,盘点表!A$1:O$65536,15,0)</f>
        <v>#N/A</v>
      </c>
      <c r="AB57" s="67" t="s">
        <v>169</v>
      </c>
      <c r="AC57" s="12" t="str">
        <f t="shared" si="202"/>
        <v>门店生菜</v>
      </c>
      <c r="AD57" s="67" t="e">
        <f>VLOOKUP(AC57,盘点表!A$1:O$65536,15,0)</f>
        <v>#N/A</v>
      </c>
      <c r="AI57" s="24" t="s">
        <v>170</v>
      </c>
      <c r="AJ57" s="12" t="str">
        <f t="shared" si="203"/>
        <v>25号专用粉</v>
      </c>
      <c r="AK57" s="24" t="e">
        <f>VLOOKUP(AJ57,盘点表!A$1:O$65536,15,0)</f>
        <v>#N/A</v>
      </c>
      <c r="AO57" s="24"/>
      <c r="AP57" s="24" t="s">
        <v>8</v>
      </c>
      <c r="AQ57" s="12" t="str">
        <f t="shared" si="204"/>
        <v>川香酱</v>
      </c>
      <c r="AR57" s="24" t="e">
        <f>VLOOKUP(AQ57,盘点表!A$1:O$65536,15,0)</f>
        <v>#N/A</v>
      </c>
      <c r="AX57" s="24" t="s">
        <v>9</v>
      </c>
      <c r="AY57" s="12" t="str">
        <f t="shared" si="205"/>
        <v>蜜汁酱</v>
      </c>
      <c r="AZ57" s="24" t="e">
        <f>VLOOKUP(AY57,盘点表!A$1:O$65536,15,0)</f>
        <v>#N/A</v>
      </c>
      <c r="BD57" s="24" t="s">
        <v>50</v>
      </c>
      <c r="BE57" s="24" t="s">
        <v>171</v>
      </c>
      <c r="BF57" s="12" t="str">
        <f t="shared" si="206"/>
        <v>三门峡华府中辣味粉</v>
      </c>
      <c r="BG57" s="24" t="e">
        <f>VLOOKUP(BF57,盘点表!A$1:O$65536,15,0)</f>
        <v>#N/A</v>
      </c>
      <c r="BK57" s="24" t="s">
        <v>50</v>
      </c>
      <c r="BL57" s="24" t="s">
        <v>63</v>
      </c>
      <c r="BM57" s="12" t="str">
        <f t="shared" si="207"/>
        <v>三门峡华府鸡排粉</v>
      </c>
      <c r="BN57" s="24" t="e">
        <f>VLOOKUP(BM57,盘点表!A$1:O$65536,15,0)</f>
        <v>#N/A</v>
      </c>
      <c r="BR57" s="24" t="s">
        <v>50</v>
      </c>
      <c r="BS57" s="24" t="s">
        <v>172</v>
      </c>
      <c r="BT57" s="12" t="str">
        <f t="shared" si="208"/>
        <v>三门峡华府亿霖袋装沙司（后台）</v>
      </c>
      <c r="BU57" s="24" t="e">
        <f>VLOOKUP(BT57,盘点表!A$1:O$65536,15,0)</f>
        <v>#N/A</v>
      </c>
      <c r="BY57" s="15" t="s">
        <v>50</v>
      </c>
      <c r="BZ57" s="24" t="s">
        <v>173</v>
      </c>
      <c r="CA57" s="12" t="str">
        <f t="shared" si="209"/>
        <v>三门峡华府沙拉酱</v>
      </c>
      <c r="CB57" s="24" t="e">
        <f>VLOOKUP(CA57,盘点表!A$1:O$65536,15,0)</f>
        <v>#N/A</v>
      </c>
      <c r="CF57" s="24" t="s">
        <v>50</v>
      </c>
      <c r="CG57" s="24" t="s">
        <v>174</v>
      </c>
      <c r="CH57" s="12" t="str">
        <f t="shared" si="179"/>
        <v>三门峡华府BBQ烤腌制粉</v>
      </c>
      <c r="CI57" s="24" t="e">
        <f>VLOOKUP(CH57,盘点表!A$1:O$65536,15,0)</f>
        <v>#N/A</v>
      </c>
      <c r="CM57" s="24" t="s">
        <v>50</v>
      </c>
      <c r="CN57" s="30" t="s">
        <v>66</v>
      </c>
      <c r="CO57" s="12" t="str">
        <f t="shared" si="180"/>
        <v>三门峡华府可乐糖浆</v>
      </c>
      <c r="CP57" s="24" t="e">
        <f>VLOOKUP(CO57,盘点表!A$1:O$65536,15,0)</f>
        <v>#N/A</v>
      </c>
      <c r="CT57" s="24" t="s">
        <v>50</v>
      </c>
      <c r="CU57" s="24" t="s">
        <v>67</v>
      </c>
      <c r="CV57" s="12" t="str">
        <f t="shared" si="181"/>
        <v>三门峡华府七喜糖浆</v>
      </c>
      <c r="CW57" s="24" t="e">
        <f>VLOOKUP(CV57,盘点表!A$1:O$65536,15,0)</f>
        <v>#N/A</v>
      </c>
      <c r="DH57" s="24" t="s">
        <v>50</v>
      </c>
      <c r="DI57" s="24" t="s">
        <v>590</v>
      </c>
      <c r="DJ57" s="12" t="str">
        <f t="shared" si="182"/>
        <v>三门峡华府橙C原材料</v>
      </c>
      <c r="DK57" s="24" t="e">
        <f>VLOOKUP(DJ57,盘点表!A$1:O$65536,15,0)</f>
        <v>#N/A</v>
      </c>
      <c r="DV57" s="24" t="s">
        <v>50</v>
      </c>
      <c r="DW57" s="24" t="s">
        <v>175</v>
      </c>
      <c r="DX57" s="12" t="str">
        <f t="shared" si="183"/>
        <v>三门峡华府蕃茄沙司（前台）</v>
      </c>
      <c r="DY57" s="24" t="e">
        <f>VLOOKUP(DX57,盘点表!A$1:O$65536,15,0)</f>
        <v>#N/A</v>
      </c>
      <c r="EC57" s="24" t="s">
        <v>50</v>
      </c>
      <c r="ED57" s="24" t="s">
        <v>72</v>
      </c>
      <c r="EE57" s="12" t="str">
        <f t="shared" si="184"/>
        <v>三门峡华府糖包</v>
      </c>
      <c r="EF57" s="24" t="e">
        <f>VLOOKUP(EE57,盘点表!A$1:O$65536,15,0)</f>
        <v>#N/A</v>
      </c>
      <c r="EJ57" s="24" t="s">
        <v>50</v>
      </c>
      <c r="EK57" s="24" t="s">
        <v>73</v>
      </c>
      <c r="EL57" s="12" t="str">
        <f t="shared" si="185"/>
        <v>三门峡华府吸管</v>
      </c>
      <c r="EM57" s="24" t="e">
        <f>VLOOKUP(EL57,盘点表!A$1:O$65536,15,0)</f>
        <v>#N/A</v>
      </c>
      <c r="EQ57" s="24" t="s">
        <v>50</v>
      </c>
      <c r="ER57" s="24" t="s">
        <v>176</v>
      </c>
      <c r="ES57" s="12" t="str">
        <f t="shared" si="186"/>
        <v>三门峡华府搅拌棒</v>
      </c>
      <c r="ET57" s="24" t="e">
        <f>VLOOKUP(ES57,盘点表!A$1:O$65536,15,0)</f>
        <v>#N/A</v>
      </c>
      <c r="EX57" s="24" t="s">
        <v>50</v>
      </c>
      <c r="EY57" s="24" t="s">
        <v>25</v>
      </c>
      <c r="EZ57" s="12" t="str">
        <f t="shared" si="187"/>
        <v>三门峡华府小勺</v>
      </c>
      <c r="FA57" s="24" t="e">
        <f>VLOOKUP(EZ57,盘点表!A$1:O$65536,15,0)</f>
        <v>#N/A</v>
      </c>
      <c r="FE57" s="24" t="s">
        <v>50</v>
      </c>
      <c r="FF57" s="24" t="s">
        <v>26</v>
      </c>
      <c r="FG57" s="64" t="str">
        <f t="shared" si="188"/>
        <v>三门峡华府汉堡纸</v>
      </c>
      <c r="FH57" s="24" t="e">
        <f>VLOOKUP(FG57,盘点表!A$1:O$65536,15,0)</f>
        <v>#N/A</v>
      </c>
      <c r="FS57" s="24" t="s">
        <v>50</v>
      </c>
      <c r="FT57" s="24" t="s">
        <v>75</v>
      </c>
      <c r="FU57" s="64" t="str">
        <f t="shared" si="189"/>
        <v>三门峡华府纸巾</v>
      </c>
      <c r="FV57" s="24" t="e">
        <f>VLOOKUP(FU57,盘点表!A$1:O$65536,15,0)</f>
        <v>#N/A</v>
      </c>
      <c r="FY57" s="24" t="s">
        <v>29</v>
      </c>
      <c r="FZ57" s="64" t="str">
        <f t="shared" si="190"/>
        <v>托盘纸</v>
      </c>
      <c r="GA57" s="24" t="e">
        <f>VLOOKUP(FZ57,盘点表!A$1:O$65536,15,0)</f>
        <v>#N/A</v>
      </c>
      <c r="GC57" s="24" t="s">
        <v>30</v>
      </c>
      <c r="GD57" s="64" t="str">
        <f t="shared" si="191"/>
        <v>起酥油</v>
      </c>
      <c r="GE57" s="24" t="e">
        <f>VLOOKUP(GD57,盘点表!A$1:O$65536,15,0)</f>
        <v>#N/A</v>
      </c>
      <c r="GJ57" s="24"/>
      <c r="GL57" s="24" t="s">
        <v>77</v>
      </c>
      <c r="GM57" s="64" t="str">
        <f t="shared" si="192"/>
        <v>打包袋</v>
      </c>
      <c r="GN57" s="24" t="e">
        <f>VLOOKUP(GM57,盘点表!A$1:O$65536,15,0)</f>
        <v>#N/A</v>
      </c>
    </row>
    <row r="58" spans="5:196" ht="14.25" x14ac:dyDescent="0.15">
      <c r="E58" s="65"/>
      <c r="F58" s="15"/>
      <c r="G58" s="67" t="s">
        <v>168</v>
      </c>
      <c r="H58" s="24" t="str">
        <f t="shared" si="199"/>
        <v>细薯条</v>
      </c>
      <c r="I58" s="67" t="e">
        <f>VLOOKUP(H58,盘点表!A$1:O$65536,15,0)</f>
        <v>#N/A</v>
      </c>
      <c r="M58" s="24" t="s">
        <v>51</v>
      </c>
      <c r="N58" s="67" t="s">
        <v>4</v>
      </c>
      <c r="O58" s="12" t="str">
        <f t="shared" si="194"/>
        <v>新乡牌坊街玉米粒</v>
      </c>
      <c r="P58" s="67" t="e">
        <f>VLOOKUP(O58,盘点表!A$1:O$65536,15,0)</f>
        <v>#N/A</v>
      </c>
      <c r="U58" s="67" t="s">
        <v>5</v>
      </c>
      <c r="V58" s="12" t="str">
        <f t="shared" si="201"/>
        <v>山东肉丁</v>
      </c>
      <c r="W58" s="67" t="e">
        <f>VLOOKUP(V58,盘点表!A$1:O$65536,15,0)</f>
        <v>#N/A</v>
      </c>
      <c r="AB58" s="67" t="s">
        <v>169</v>
      </c>
      <c r="AC58" s="12" t="str">
        <f t="shared" si="202"/>
        <v>门店生菜</v>
      </c>
      <c r="AD58" s="67" t="e">
        <f>VLOOKUP(AC58,盘点表!A$1:O$65536,15,0)</f>
        <v>#N/A</v>
      </c>
      <c r="AI58" s="24" t="s">
        <v>170</v>
      </c>
      <c r="AJ58" s="12" t="str">
        <f t="shared" si="203"/>
        <v>25号专用粉</v>
      </c>
      <c r="AK58" s="24" t="e">
        <f>VLOOKUP(AJ58,盘点表!A$1:O$65536,15,0)</f>
        <v>#N/A</v>
      </c>
      <c r="AO58" s="24"/>
      <c r="AP58" s="24" t="s">
        <v>8</v>
      </c>
      <c r="AQ58" s="12" t="str">
        <f t="shared" si="204"/>
        <v>川香酱</v>
      </c>
      <c r="AR58" s="24" t="e">
        <f>VLOOKUP(AQ58,盘点表!A$1:O$65536,15,0)</f>
        <v>#N/A</v>
      </c>
      <c r="AX58" s="24" t="s">
        <v>9</v>
      </c>
      <c r="AY58" s="12" t="str">
        <f t="shared" si="205"/>
        <v>蜜汁酱</v>
      </c>
      <c r="AZ58" s="24" t="e">
        <f>VLOOKUP(AY58,盘点表!A$1:O$65536,15,0)</f>
        <v>#N/A</v>
      </c>
      <c r="BD58" s="24" t="s">
        <v>51</v>
      </c>
      <c r="BE58" s="24" t="s">
        <v>171</v>
      </c>
      <c r="BF58" s="12" t="str">
        <f t="shared" si="206"/>
        <v>新乡牌坊街中辣味粉</v>
      </c>
      <c r="BG58" s="24" t="e">
        <f>VLOOKUP(BF58,盘点表!A$1:O$65536,15,0)</f>
        <v>#N/A</v>
      </c>
      <c r="BK58" s="24" t="s">
        <v>51</v>
      </c>
      <c r="BL58" s="24" t="s">
        <v>63</v>
      </c>
      <c r="BM58" s="12" t="str">
        <f t="shared" si="207"/>
        <v>新乡牌坊街鸡排粉</v>
      </c>
      <c r="BN58" s="24" t="e">
        <f>VLOOKUP(BM58,盘点表!A$1:O$65536,15,0)</f>
        <v>#N/A</v>
      </c>
      <c r="BR58" s="24" t="s">
        <v>51</v>
      </c>
      <c r="BS58" s="24" t="s">
        <v>172</v>
      </c>
      <c r="BT58" s="12" t="str">
        <f t="shared" si="208"/>
        <v>新乡牌坊街亿霖袋装沙司（后台）</v>
      </c>
      <c r="BU58" s="24" t="e">
        <f>VLOOKUP(BT58,盘点表!A$1:O$65536,15,0)</f>
        <v>#N/A</v>
      </c>
      <c r="BY58" s="24" t="s">
        <v>51</v>
      </c>
      <c r="BZ58" s="24" t="s">
        <v>173</v>
      </c>
      <c r="CA58" s="12" t="str">
        <f t="shared" si="209"/>
        <v>新乡牌坊街沙拉酱</v>
      </c>
      <c r="CB58" s="24" t="e">
        <f>VLOOKUP(CA58,盘点表!A$1:O$65536,15,0)</f>
        <v>#N/A</v>
      </c>
      <c r="CF58" s="24" t="s">
        <v>51</v>
      </c>
      <c r="CG58" s="24" t="s">
        <v>174</v>
      </c>
      <c r="CH58" s="12" t="str">
        <f t="shared" si="179"/>
        <v>新乡牌坊街BBQ烤腌制粉</v>
      </c>
      <c r="CI58" s="24" t="e">
        <f>VLOOKUP(CH58,盘点表!A$1:O$65536,15,0)</f>
        <v>#N/A</v>
      </c>
      <c r="CM58" s="24" t="s">
        <v>51</v>
      </c>
      <c r="CN58" s="30" t="s">
        <v>66</v>
      </c>
      <c r="CO58" s="12" t="str">
        <f t="shared" si="180"/>
        <v>新乡牌坊街可乐糖浆</v>
      </c>
      <c r="CP58" s="24" t="e">
        <f>VLOOKUP(CO58,盘点表!A$1:O$65536,15,0)</f>
        <v>#N/A</v>
      </c>
      <c r="CT58" s="24" t="s">
        <v>51</v>
      </c>
      <c r="CU58" s="24" t="s">
        <v>67</v>
      </c>
      <c r="CV58" s="12" t="str">
        <f t="shared" si="181"/>
        <v>新乡牌坊街七喜糖浆</v>
      </c>
      <c r="CW58" s="24" t="e">
        <f>VLOOKUP(CV58,盘点表!A$1:O$65536,15,0)</f>
        <v>#N/A</v>
      </c>
      <c r="DH58" s="24" t="s">
        <v>51</v>
      </c>
      <c r="DI58" s="24" t="s">
        <v>590</v>
      </c>
      <c r="DJ58" s="12" t="str">
        <f t="shared" si="182"/>
        <v>新乡牌坊街橙C原材料</v>
      </c>
      <c r="DK58" s="24" t="e">
        <f>VLOOKUP(DJ58,盘点表!A$1:O$65536,15,0)</f>
        <v>#N/A</v>
      </c>
      <c r="DV58" s="24" t="s">
        <v>51</v>
      </c>
      <c r="DW58" s="24" t="s">
        <v>175</v>
      </c>
      <c r="DX58" s="12" t="str">
        <f t="shared" si="183"/>
        <v>新乡牌坊街蕃茄沙司（前台）</v>
      </c>
      <c r="DY58" s="24" t="e">
        <f>VLOOKUP(DX58,盘点表!A$1:O$65536,15,0)</f>
        <v>#N/A</v>
      </c>
      <c r="EC58" s="24" t="s">
        <v>51</v>
      </c>
      <c r="ED58" s="24" t="s">
        <v>72</v>
      </c>
      <c r="EE58" s="12" t="str">
        <f t="shared" si="184"/>
        <v>新乡牌坊街糖包</v>
      </c>
      <c r="EF58" s="24" t="e">
        <f>VLOOKUP(EE58,盘点表!A$1:O$65536,15,0)</f>
        <v>#N/A</v>
      </c>
      <c r="EJ58" s="24" t="s">
        <v>51</v>
      </c>
      <c r="EK58" s="24" t="s">
        <v>73</v>
      </c>
      <c r="EL58" s="12" t="str">
        <f t="shared" si="185"/>
        <v>新乡牌坊街吸管</v>
      </c>
      <c r="EM58" s="24" t="e">
        <f>VLOOKUP(EL58,盘点表!A$1:O$65536,15,0)</f>
        <v>#N/A</v>
      </c>
      <c r="EQ58" s="24" t="s">
        <v>51</v>
      </c>
      <c r="ER58" s="24" t="s">
        <v>176</v>
      </c>
      <c r="ES58" s="12" t="str">
        <f t="shared" si="186"/>
        <v>新乡牌坊街搅拌棒</v>
      </c>
      <c r="ET58" s="24" t="e">
        <f>VLOOKUP(ES58,盘点表!A$1:O$65536,15,0)</f>
        <v>#N/A</v>
      </c>
      <c r="EX58" s="24" t="s">
        <v>51</v>
      </c>
      <c r="EY58" s="24" t="s">
        <v>25</v>
      </c>
      <c r="EZ58" s="12" t="str">
        <f t="shared" si="187"/>
        <v>新乡牌坊街小勺</v>
      </c>
      <c r="FA58" s="24" t="e">
        <f>VLOOKUP(EZ58,盘点表!A$1:O$65536,15,0)</f>
        <v>#N/A</v>
      </c>
      <c r="FE58" s="24" t="s">
        <v>51</v>
      </c>
      <c r="FF58" s="24" t="s">
        <v>26</v>
      </c>
      <c r="FG58" s="64" t="str">
        <f t="shared" si="188"/>
        <v>新乡牌坊街汉堡纸</v>
      </c>
      <c r="FH58" s="24" t="e">
        <f>VLOOKUP(FG58,盘点表!A$1:O$65536,15,0)</f>
        <v>#N/A</v>
      </c>
      <c r="FS58" s="24" t="s">
        <v>51</v>
      </c>
      <c r="FT58" s="24" t="s">
        <v>75</v>
      </c>
      <c r="FU58" s="64" t="str">
        <f t="shared" si="189"/>
        <v>新乡牌坊街纸巾</v>
      </c>
      <c r="FV58" s="24" t="e">
        <f>VLOOKUP(FU58,盘点表!A$1:O$65536,15,0)</f>
        <v>#N/A</v>
      </c>
      <c r="FY58" s="24" t="s">
        <v>29</v>
      </c>
      <c r="FZ58" s="64" t="str">
        <f t="shared" si="190"/>
        <v>托盘纸</v>
      </c>
      <c r="GA58" s="24" t="e">
        <f>VLOOKUP(FZ58,盘点表!A$1:O$65536,15,0)</f>
        <v>#N/A</v>
      </c>
      <c r="GC58" s="24" t="s">
        <v>30</v>
      </c>
      <c r="GD58" s="64" t="str">
        <f t="shared" si="191"/>
        <v>起酥油</v>
      </c>
      <c r="GE58" s="24" t="e">
        <f>VLOOKUP(GD58,盘点表!A$1:O$65536,15,0)</f>
        <v>#N/A</v>
      </c>
      <c r="GJ58" s="24"/>
      <c r="GL58" s="24" t="s">
        <v>77</v>
      </c>
      <c r="GM58" s="64" t="str">
        <f t="shared" si="192"/>
        <v>打包袋</v>
      </c>
      <c r="GN58" s="24" t="e">
        <f>VLOOKUP(GM58,盘点表!A$1:O$65536,15,0)</f>
        <v>#N/A</v>
      </c>
    </row>
    <row r="59" spans="5:196" x14ac:dyDescent="0.15">
      <c r="E59" s="65"/>
      <c r="F59" s="24" t="s">
        <v>637</v>
      </c>
      <c r="G59" s="67" t="s">
        <v>168</v>
      </c>
      <c r="H59" s="24" t="str">
        <f t="shared" si="199"/>
        <v>郑州盛华里细薯条</v>
      </c>
      <c r="I59" s="67">
        <f>VLOOKUP(H59,盘点表!A$1:O$65536,15,0)</f>
        <v>-23498</v>
      </c>
      <c r="M59" s="24" t="s">
        <v>637</v>
      </c>
      <c r="N59" s="67" t="s">
        <v>4</v>
      </c>
      <c r="O59" s="12" t="str">
        <f t="shared" si="194"/>
        <v>郑州盛华里玉米粒</v>
      </c>
      <c r="P59" s="67">
        <f>VLOOKUP(O59,盘点表!A$1:O$65536,15,0)</f>
        <v>-100.8</v>
      </c>
      <c r="T59" s="24" t="s">
        <v>637</v>
      </c>
      <c r="U59" s="67" t="s">
        <v>5</v>
      </c>
      <c r="V59" s="12" t="str">
        <f t="shared" si="201"/>
        <v>郑州盛华里山东肉丁</v>
      </c>
      <c r="W59" s="67">
        <f>VLOOKUP(V59,盘点表!A$1:O$65536,15,0)</f>
        <v>-301.89999999999998</v>
      </c>
      <c r="AA59" s="24" t="s">
        <v>637</v>
      </c>
      <c r="AB59" s="67" t="s">
        <v>169</v>
      </c>
      <c r="AC59" s="12" t="str">
        <f t="shared" si="202"/>
        <v>郑州盛华里门店生菜</v>
      </c>
      <c r="AD59" s="67">
        <f>VLOOKUP(AC59,盘点表!A$1:O$65536,15,0)</f>
        <v>-187.9</v>
      </c>
      <c r="AH59" s="24" t="s">
        <v>637</v>
      </c>
      <c r="AI59" s="24" t="s">
        <v>170</v>
      </c>
      <c r="AJ59" s="12" t="str">
        <f t="shared" si="203"/>
        <v>郑州盛华里25号专用粉</v>
      </c>
      <c r="AK59" s="24">
        <f>VLOOKUP(AJ59,盘点表!A$1:O$65536,15,0)</f>
        <v>28509.4</v>
      </c>
      <c r="AO59" s="60" t="s">
        <v>637</v>
      </c>
      <c r="AP59" s="24" t="s">
        <v>8</v>
      </c>
      <c r="AQ59" s="12" t="str">
        <f t="shared" si="204"/>
        <v>郑州盛华里川香酱</v>
      </c>
      <c r="AR59" s="24">
        <f>VLOOKUP(AQ59,盘点表!A$1:O$65536,15,0)</f>
        <v>-34.200000000000003</v>
      </c>
      <c r="AW59" s="24" t="s">
        <v>637</v>
      </c>
      <c r="AX59" s="24" t="s">
        <v>9</v>
      </c>
      <c r="AY59" s="12" t="str">
        <f t="shared" si="205"/>
        <v>郑州盛华里蜜汁酱</v>
      </c>
      <c r="AZ59" s="24">
        <f>VLOOKUP(AY59,盘点表!A$1:O$65536,15,0)</f>
        <v>85.6</v>
      </c>
      <c r="BD59" s="24" t="s">
        <v>637</v>
      </c>
      <c r="BE59" s="24" t="s">
        <v>171</v>
      </c>
      <c r="BF59" s="12" t="str">
        <f t="shared" si="206"/>
        <v>郑州盛华里中辣味粉</v>
      </c>
      <c r="BG59" s="24">
        <f>VLOOKUP(BF59,盘点表!A$1:O$65536,15,0)</f>
        <v>-1.45</v>
      </c>
      <c r="BK59" s="24" t="s">
        <v>637</v>
      </c>
      <c r="BL59" s="24" t="s">
        <v>63</v>
      </c>
      <c r="BM59" s="12" t="str">
        <f t="shared" si="207"/>
        <v>郑州盛华里鸡排粉</v>
      </c>
      <c r="BN59" s="24">
        <f>VLOOKUP(BM59,盘点表!A$1:O$65536,15,0)</f>
        <v>76.400000000000006</v>
      </c>
      <c r="BR59" s="24" t="s">
        <v>637</v>
      </c>
      <c r="BS59" s="24" t="s">
        <v>172</v>
      </c>
      <c r="BT59" s="12" t="str">
        <f t="shared" si="208"/>
        <v>郑州盛华里亿霖袋装沙司（后台）</v>
      </c>
      <c r="BU59" s="24">
        <f>VLOOKUP(BT59,盘点表!A$1:O$65536,15,0)</f>
        <v>-24.6</v>
      </c>
      <c r="BY59" s="24" t="s">
        <v>637</v>
      </c>
      <c r="BZ59" s="24" t="s">
        <v>173</v>
      </c>
      <c r="CA59" s="12" t="str">
        <f t="shared" si="209"/>
        <v>郑州盛华里沙拉酱</v>
      </c>
      <c r="CB59" s="24">
        <f>VLOOKUP(CA59,盘点表!A$1:O$65536,15,0)</f>
        <v>2939.7</v>
      </c>
      <c r="CF59" s="24" t="s">
        <v>637</v>
      </c>
      <c r="CG59" s="24" t="s">
        <v>174</v>
      </c>
      <c r="CH59" s="12" t="str">
        <f t="shared" si="179"/>
        <v>郑州盛华里BBQ烤腌制粉</v>
      </c>
      <c r="CI59" s="24">
        <f>VLOOKUP(CH59,盘点表!A$1:O$65536,15,0)</f>
        <v>478.8</v>
      </c>
      <c r="CM59" s="24" t="s">
        <v>637</v>
      </c>
      <c r="CN59" s="30" t="s">
        <v>66</v>
      </c>
      <c r="CO59" s="12" t="str">
        <f t="shared" si="180"/>
        <v>郑州盛华里可乐糖浆</v>
      </c>
      <c r="CP59" s="80">
        <f>VLOOKUP(CO59,盘点表!A$1:O$65536,15,0)</f>
        <v>-396.23</v>
      </c>
      <c r="CT59" s="24" t="s">
        <v>637</v>
      </c>
      <c r="CU59" s="24" t="s">
        <v>67</v>
      </c>
      <c r="CV59" s="12" t="str">
        <f t="shared" si="181"/>
        <v>郑州盛华里七喜糖浆</v>
      </c>
      <c r="CW59" s="24">
        <f>VLOOKUP(CV59,盘点表!A$1:O$65536,15,0)</f>
        <v>-292.72000000000003</v>
      </c>
      <c r="DH59" s="24" t="s">
        <v>637</v>
      </c>
      <c r="DI59" s="24" t="s">
        <v>590</v>
      </c>
      <c r="DJ59" s="12" t="str">
        <f t="shared" si="182"/>
        <v>郑州盛华里橙C原材料</v>
      </c>
      <c r="DK59" s="24">
        <f>VLOOKUP(DJ59,盘点表!A$1:O$65536,15,0)</f>
        <v>-372.8</v>
      </c>
      <c r="DV59" s="24" t="s">
        <v>637</v>
      </c>
      <c r="DW59" s="24" t="s">
        <v>175</v>
      </c>
      <c r="DX59" s="12" t="str">
        <f t="shared" si="183"/>
        <v>郑州盛华里蕃茄沙司（前台）</v>
      </c>
      <c r="DY59" s="24">
        <f>VLOOKUP(DX59,盘点表!A$1:O$65536,15,0)</f>
        <v>-195</v>
      </c>
      <c r="EC59" s="24" t="s">
        <v>637</v>
      </c>
      <c r="ED59" s="24" t="s">
        <v>72</v>
      </c>
      <c r="EE59" s="12" t="str">
        <f t="shared" si="184"/>
        <v>郑州盛华里糖包</v>
      </c>
      <c r="EF59" s="24">
        <f>VLOOKUP(EE59,盘点表!A$1:O$65536,15,0)</f>
        <v>7</v>
      </c>
      <c r="EJ59" s="24" t="s">
        <v>637</v>
      </c>
      <c r="EK59" s="24" t="s">
        <v>73</v>
      </c>
      <c r="EL59" s="12" t="str">
        <f t="shared" si="185"/>
        <v>郑州盛华里吸管</v>
      </c>
      <c r="EM59" s="24" t="e">
        <f>VLOOKUP(EL59,盘点表!A$1:O$65536,15,0)</f>
        <v>#N/A</v>
      </c>
      <c r="EQ59" s="24" t="s">
        <v>637</v>
      </c>
      <c r="ER59" s="24" t="s">
        <v>176</v>
      </c>
      <c r="ES59" s="12" t="str">
        <f t="shared" si="186"/>
        <v>郑州盛华里搅拌棒</v>
      </c>
      <c r="ET59" s="24" t="e">
        <f>VLOOKUP(ES59,盘点表!A$1:O$65536,15,0)</f>
        <v>#N/A</v>
      </c>
      <c r="EX59" s="24" t="s">
        <v>637</v>
      </c>
      <c r="EY59" s="24" t="s">
        <v>25</v>
      </c>
      <c r="EZ59" s="12" t="str">
        <f t="shared" si="187"/>
        <v>郑州盛华里小勺</v>
      </c>
      <c r="FA59" s="24" t="e">
        <f>VLOOKUP(EZ59,盘点表!A$1:O$65536,15,0)</f>
        <v>#N/A</v>
      </c>
      <c r="FE59" s="24" t="s">
        <v>637</v>
      </c>
      <c r="FF59" s="24" t="s">
        <v>26</v>
      </c>
      <c r="FG59" s="64" t="str">
        <f t="shared" si="188"/>
        <v>郑州盛华里汉堡纸</v>
      </c>
      <c r="FH59" s="24">
        <f>VLOOKUP(FG59,盘点表!A$1:O$65536,15,0)</f>
        <v>-255</v>
      </c>
      <c r="FS59" s="24" t="s">
        <v>637</v>
      </c>
      <c r="FT59" s="24" t="s">
        <v>75</v>
      </c>
      <c r="FU59" s="64" t="str">
        <f t="shared" si="189"/>
        <v>郑州盛华里纸巾</v>
      </c>
      <c r="FV59" s="24">
        <f>VLOOKUP(FU59,盘点表!A$1:O$65536,15,0)</f>
        <v>-7</v>
      </c>
      <c r="FX59" s="24" t="s">
        <v>637</v>
      </c>
      <c r="FY59" s="24" t="s">
        <v>29</v>
      </c>
      <c r="FZ59" s="64" t="str">
        <f t="shared" si="190"/>
        <v>郑州盛华里托盘纸</v>
      </c>
      <c r="GA59" s="24">
        <f>VLOOKUP(FZ59,盘点表!A$1:O$65536,15,0)</f>
        <v>0</v>
      </c>
      <c r="GB59" s="24" t="s">
        <v>637</v>
      </c>
      <c r="GC59" s="24" t="s">
        <v>30</v>
      </c>
      <c r="GD59" s="64" t="str">
        <f t="shared" si="191"/>
        <v>郑州盛华里起酥油</v>
      </c>
      <c r="GE59" s="24">
        <f>VLOOKUP(GD59,盘点表!A$1:O$65536,15,0)</f>
        <v>-8</v>
      </c>
      <c r="GK59" s="24" t="s">
        <v>637</v>
      </c>
      <c r="GL59" s="24" t="s">
        <v>77</v>
      </c>
      <c r="GM59" s="64" t="str">
        <f t="shared" si="192"/>
        <v>郑州盛华里打包袋</v>
      </c>
      <c r="GN59" s="24" t="e">
        <f>VLOOKUP(GM59,盘点表!A$1:O$65536,15,0)</f>
        <v>#N/A</v>
      </c>
    </row>
    <row r="60" spans="5:196" x14ac:dyDescent="0.15">
      <c r="E60" s="65"/>
      <c r="F60" s="24" t="s">
        <v>639</v>
      </c>
      <c r="G60" s="67" t="s">
        <v>168</v>
      </c>
      <c r="H60" s="24" t="str">
        <f t="shared" si="199"/>
        <v>滑县滑台细薯条</v>
      </c>
      <c r="I60" s="67">
        <f>VLOOKUP(H60,盘点表!A$1:O$65536,15,0)</f>
        <v>-412</v>
      </c>
      <c r="M60" s="24" t="s">
        <v>639</v>
      </c>
      <c r="N60" s="67" t="s">
        <v>4</v>
      </c>
      <c r="O60" s="12" t="str">
        <f t="shared" si="194"/>
        <v>滑县滑台玉米粒</v>
      </c>
      <c r="P60" s="67">
        <f>VLOOKUP(O60,盘点表!A$1:O$65536,15,0)</f>
        <v>763.6</v>
      </c>
      <c r="T60" s="24" t="s">
        <v>639</v>
      </c>
      <c r="U60" s="67" t="s">
        <v>5</v>
      </c>
      <c r="V60" s="12" t="str">
        <f t="shared" si="201"/>
        <v>滑县滑台山东肉丁</v>
      </c>
      <c r="W60" s="67">
        <f>VLOOKUP(V60,盘点表!A$1:O$65536,15,0)</f>
        <v>235.8</v>
      </c>
      <c r="AA60" s="24" t="s">
        <v>639</v>
      </c>
      <c r="AB60" s="67" t="s">
        <v>169</v>
      </c>
      <c r="AC60" s="12" t="str">
        <f t="shared" si="202"/>
        <v>滑县滑台门店生菜</v>
      </c>
      <c r="AD60" s="99">
        <f>VLOOKUP(AC60,盘点表!A$1:O$65536,15,0)</f>
        <v>18888.7</v>
      </c>
      <c r="AH60" s="24" t="s">
        <v>639</v>
      </c>
      <c r="AI60" s="24" t="s">
        <v>170</v>
      </c>
      <c r="AJ60" s="12" t="str">
        <f t="shared" si="203"/>
        <v>滑县滑台25号专用粉</v>
      </c>
      <c r="AK60" s="24">
        <f>VLOOKUP(AJ60,盘点表!A$1:O$65536,15,0)</f>
        <v>52627.45</v>
      </c>
      <c r="AO60" s="60" t="s">
        <v>639</v>
      </c>
      <c r="AP60" s="24" t="s">
        <v>8</v>
      </c>
      <c r="AQ60" s="12" t="str">
        <f t="shared" si="204"/>
        <v>滑县滑台川香酱</v>
      </c>
      <c r="AR60" s="24">
        <f>VLOOKUP(AQ60,盘点表!A$1:O$65536,15,0)</f>
        <v>91.4</v>
      </c>
      <c r="AW60" s="24" t="s">
        <v>639</v>
      </c>
      <c r="AX60" s="24" t="s">
        <v>9</v>
      </c>
      <c r="AY60" s="12" t="str">
        <f t="shared" si="205"/>
        <v>滑县滑台蜜汁酱</v>
      </c>
      <c r="AZ60" s="24">
        <f>VLOOKUP(AY60,盘点表!A$1:O$65536,15,0)</f>
        <v>75.2</v>
      </c>
      <c r="BD60" s="24" t="s">
        <v>639</v>
      </c>
      <c r="BE60" s="24" t="s">
        <v>171</v>
      </c>
      <c r="BF60" s="12" t="str">
        <f t="shared" si="206"/>
        <v>滑县滑台中辣味粉</v>
      </c>
      <c r="BG60" s="24">
        <f>VLOOKUP(BF60,盘点表!A$1:O$65536,15,0)</f>
        <v>248.9</v>
      </c>
      <c r="BK60" s="24" t="s">
        <v>639</v>
      </c>
      <c r="BL60" s="24" t="s">
        <v>63</v>
      </c>
      <c r="BM60" s="12" t="str">
        <f t="shared" si="207"/>
        <v>滑县滑台鸡排粉</v>
      </c>
      <c r="BN60" s="24">
        <f>VLOOKUP(BM60,盘点表!A$1:O$65536,15,0)</f>
        <v>538.6</v>
      </c>
      <c r="BR60" s="24" t="s">
        <v>639</v>
      </c>
      <c r="BS60" s="24" t="s">
        <v>172</v>
      </c>
      <c r="BT60" s="12" t="str">
        <f t="shared" si="208"/>
        <v>滑县滑台亿霖袋装沙司（后台）</v>
      </c>
      <c r="BU60" s="24">
        <f>VLOOKUP(BT60,盘点表!A$1:O$65536,15,0)</f>
        <v>2620.1999999999998</v>
      </c>
      <c r="BY60" s="24" t="s">
        <v>639</v>
      </c>
      <c r="BZ60" s="24" t="s">
        <v>173</v>
      </c>
      <c r="CA60" s="12" t="str">
        <f t="shared" si="209"/>
        <v>滑县滑台沙拉酱</v>
      </c>
      <c r="CB60" s="80">
        <f>VLOOKUP(CA60,盘点表!A$1:O$65536,15,0)</f>
        <v>30761.599999999999</v>
      </c>
      <c r="CF60" s="24" t="s">
        <v>639</v>
      </c>
      <c r="CG60" s="24" t="s">
        <v>174</v>
      </c>
      <c r="CH60" s="12" t="str">
        <f t="shared" si="179"/>
        <v>滑县滑台BBQ烤腌制粉</v>
      </c>
      <c r="CI60" s="24">
        <f>VLOOKUP(CH60,盘点表!A$1:O$65536,15,0)</f>
        <v>366</v>
      </c>
      <c r="CM60" s="24" t="s">
        <v>639</v>
      </c>
      <c r="CN60" s="30" t="s">
        <v>66</v>
      </c>
      <c r="CO60" s="12" t="str">
        <f t="shared" si="180"/>
        <v>滑县滑台可乐糖浆</v>
      </c>
      <c r="CP60" s="80">
        <f>VLOOKUP(CO60,盘点表!A$1:O$65536,15,0)</f>
        <v>15908.94</v>
      </c>
      <c r="CT60" s="24" t="s">
        <v>639</v>
      </c>
      <c r="CU60" s="24" t="s">
        <v>67</v>
      </c>
      <c r="CV60" s="12" t="str">
        <f t="shared" si="181"/>
        <v>滑县滑台七喜糖浆</v>
      </c>
      <c r="CW60" s="24">
        <f>VLOOKUP(CV60,盘点表!A$1:O$65536,15,0)</f>
        <v>-426.96</v>
      </c>
      <c r="DH60" s="24" t="s">
        <v>639</v>
      </c>
      <c r="DI60" s="24" t="s">
        <v>590</v>
      </c>
      <c r="DJ60" s="12" t="str">
        <f t="shared" si="182"/>
        <v>滑县滑台橙C原材料</v>
      </c>
      <c r="DK60" s="24">
        <f>VLOOKUP(DJ60,盘点表!A$1:O$65536,15,0)</f>
        <v>2672.6</v>
      </c>
      <c r="DV60" s="24" t="s">
        <v>639</v>
      </c>
      <c r="DW60" s="24" t="s">
        <v>175</v>
      </c>
      <c r="DX60" s="12" t="str">
        <f t="shared" si="183"/>
        <v>滑县滑台蕃茄沙司（前台）</v>
      </c>
      <c r="DY60" s="24">
        <f>VLOOKUP(DX60,盘点表!A$1:O$65536,15,0)</f>
        <v>300</v>
      </c>
      <c r="EC60" s="24" t="s">
        <v>639</v>
      </c>
      <c r="ED60" s="24" t="s">
        <v>72</v>
      </c>
      <c r="EE60" s="12" t="str">
        <f t="shared" si="184"/>
        <v>滑县滑台糖包</v>
      </c>
      <c r="EF60" s="24">
        <f>VLOOKUP(EE60,盘点表!A$1:O$65536,15,0)</f>
        <v>4</v>
      </c>
      <c r="EJ60" s="24" t="s">
        <v>639</v>
      </c>
      <c r="EK60" s="24" t="s">
        <v>73</v>
      </c>
      <c r="EL60" s="12" t="str">
        <f t="shared" si="185"/>
        <v>滑县滑台吸管</v>
      </c>
      <c r="EM60" s="24" t="e">
        <f>VLOOKUP(EL60,盘点表!A$1:O$65536,15,0)</f>
        <v>#N/A</v>
      </c>
      <c r="EQ60" s="24" t="s">
        <v>639</v>
      </c>
      <c r="ER60" s="24" t="s">
        <v>176</v>
      </c>
      <c r="ES60" s="12" t="str">
        <f t="shared" si="186"/>
        <v>滑县滑台搅拌棒</v>
      </c>
      <c r="ET60" s="24" t="e">
        <f>VLOOKUP(ES60,盘点表!A$1:O$65536,15,0)</f>
        <v>#N/A</v>
      </c>
      <c r="EX60" s="24" t="s">
        <v>639</v>
      </c>
      <c r="EY60" s="24" t="s">
        <v>25</v>
      </c>
      <c r="EZ60" s="12" t="str">
        <f t="shared" si="187"/>
        <v>滑县滑台小勺</v>
      </c>
      <c r="FA60" s="24" t="e">
        <f>VLOOKUP(EZ60,盘点表!A$1:O$65536,15,0)</f>
        <v>#N/A</v>
      </c>
      <c r="FE60" s="24" t="s">
        <v>639</v>
      </c>
      <c r="FF60" s="24" t="s">
        <v>26</v>
      </c>
      <c r="FG60" s="64" t="str">
        <f t="shared" si="188"/>
        <v>滑县滑台汉堡纸</v>
      </c>
      <c r="FH60" s="24">
        <f>VLOOKUP(FG60,盘点表!A$1:O$65536,15,0)</f>
        <v>148</v>
      </c>
      <c r="FS60" s="24" t="s">
        <v>639</v>
      </c>
      <c r="FT60" s="24" t="s">
        <v>75</v>
      </c>
      <c r="FU60" s="64" t="str">
        <f t="shared" si="189"/>
        <v>滑县滑台纸巾</v>
      </c>
      <c r="FV60" s="24">
        <f>VLOOKUP(FU60,盘点表!A$1:O$65536,15,0)</f>
        <v>-84</v>
      </c>
      <c r="FX60" s="24" t="s">
        <v>639</v>
      </c>
      <c r="FY60" s="24" t="s">
        <v>29</v>
      </c>
      <c r="FZ60" s="64" t="str">
        <f t="shared" si="190"/>
        <v>滑县滑台托盘纸</v>
      </c>
      <c r="GA60" s="24">
        <f>VLOOKUP(FZ60,盘点表!A$1:O$65536,15,0)</f>
        <v>0</v>
      </c>
      <c r="GB60" s="24" t="s">
        <v>639</v>
      </c>
      <c r="GC60" s="24" t="s">
        <v>30</v>
      </c>
      <c r="GD60" s="64" t="str">
        <f t="shared" si="191"/>
        <v>滑县滑台起酥油</v>
      </c>
      <c r="GE60" s="24">
        <f>VLOOKUP(GD60,盘点表!A$1:O$65536,15,0)</f>
        <v>-18</v>
      </c>
      <c r="GK60" s="24" t="s">
        <v>639</v>
      </c>
      <c r="GL60" s="24" t="s">
        <v>77</v>
      </c>
      <c r="GM60" s="64" t="str">
        <f t="shared" si="192"/>
        <v>滑县滑台打包袋</v>
      </c>
      <c r="GN60" s="24">
        <f>VLOOKUP(GM60,盘点表!A$1:O$65536,15,0)</f>
        <v>-1500</v>
      </c>
    </row>
    <row r="61" spans="5:196" x14ac:dyDescent="0.15">
      <c r="E61" s="65"/>
      <c r="F61" s="24" t="s">
        <v>641</v>
      </c>
      <c r="G61" s="67" t="s">
        <v>168</v>
      </c>
      <c r="H61" s="24" t="str">
        <f t="shared" si="199"/>
        <v>郑州裕华细薯条</v>
      </c>
      <c r="I61" s="67">
        <f>VLOOKUP(H61,盘点表!A$1:O$65536,15,0)</f>
        <v>16582</v>
      </c>
      <c r="M61" s="24" t="s">
        <v>641</v>
      </c>
      <c r="N61" s="67" t="s">
        <v>4</v>
      </c>
      <c r="O61" s="12" t="str">
        <f t="shared" si="194"/>
        <v>郑州裕华玉米粒</v>
      </c>
      <c r="P61" s="67">
        <f>VLOOKUP(O61,盘点表!A$1:O$65536,15,0)</f>
        <v>-61.4</v>
      </c>
      <c r="T61" s="24" t="s">
        <v>641</v>
      </c>
      <c r="U61" s="67" t="s">
        <v>5</v>
      </c>
      <c r="V61" s="12" t="str">
        <f t="shared" si="201"/>
        <v>郑州裕华山东肉丁</v>
      </c>
      <c r="W61" s="67">
        <f>VLOOKUP(V61,盘点表!A$1:O$65536,15,0)</f>
        <v>-102.3</v>
      </c>
      <c r="AA61" s="24" t="s">
        <v>641</v>
      </c>
      <c r="AB61" s="67" t="s">
        <v>169</v>
      </c>
      <c r="AC61" s="12" t="str">
        <f t="shared" si="202"/>
        <v>郑州裕华门店生菜</v>
      </c>
      <c r="AD61" s="67">
        <f>VLOOKUP(AC61,盘点表!A$1:O$65536,15,0)</f>
        <v>-300</v>
      </c>
      <c r="AH61" s="24" t="s">
        <v>641</v>
      </c>
      <c r="AI61" s="24" t="s">
        <v>170</v>
      </c>
      <c r="AJ61" s="12" t="str">
        <f t="shared" si="203"/>
        <v>郑州裕华25号专用粉</v>
      </c>
      <c r="AK61" s="24">
        <f>VLOOKUP(AJ61,盘点表!A$1:O$65536,15,0)</f>
        <v>-16575.2</v>
      </c>
      <c r="AO61" s="60" t="s">
        <v>641</v>
      </c>
      <c r="AP61" s="24" t="s">
        <v>8</v>
      </c>
      <c r="AQ61" s="12" t="str">
        <f t="shared" si="204"/>
        <v>郑州裕华川香酱</v>
      </c>
      <c r="AR61" s="24">
        <f>VLOOKUP(AQ61,盘点表!A$1:O$65536,15,0)</f>
        <v>-1040.4000000000001</v>
      </c>
      <c r="AW61" s="24" t="s">
        <v>641</v>
      </c>
      <c r="AX61" s="24" t="s">
        <v>9</v>
      </c>
      <c r="AY61" s="12" t="str">
        <f t="shared" si="205"/>
        <v>郑州裕华蜜汁酱</v>
      </c>
      <c r="AZ61" s="24">
        <f>VLOOKUP(AY61,盘点表!A$1:O$65536,15,0)</f>
        <v>-832</v>
      </c>
      <c r="BD61" s="24" t="s">
        <v>641</v>
      </c>
      <c r="BE61" s="24" t="s">
        <v>171</v>
      </c>
      <c r="BF61" s="12" t="str">
        <f t="shared" si="206"/>
        <v>郑州裕华中辣味粉</v>
      </c>
      <c r="BG61" s="24">
        <f>VLOOKUP(BF61,盘点表!A$1:O$65536,15,0)</f>
        <v>1646.55</v>
      </c>
      <c r="BK61" s="24" t="s">
        <v>641</v>
      </c>
      <c r="BL61" s="24" t="s">
        <v>63</v>
      </c>
      <c r="BM61" s="12" t="str">
        <f t="shared" si="207"/>
        <v>郑州裕华鸡排粉</v>
      </c>
      <c r="BN61" s="24">
        <f>VLOOKUP(BM61,盘点表!A$1:O$65536,15,0)</f>
        <v>-843.8</v>
      </c>
      <c r="BR61" s="24" t="s">
        <v>641</v>
      </c>
      <c r="BS61" s="24" t="s">
        <v>172</v>
      </c>
      <c r="BT61" s="12" t="str">
        <f t="shared" si="208"/>
        <v>郑州裕华亿霖袋装沙司（后台）</v>
      </c>
      <c r="BU61" s="24">
        <f>VLOOKUP(BT61,盘点表!A$1:O$65536,15,0)</f>
        <v>1559.8</v>
      </c>
      <c r="BY61" s="24" t="s">
        <v>641</v>
      </c>
      <c r="BZ61" s="24" t="s">
        <v>173</v>
      </c>
      <c r="CA61" s="12" t="str">
        <f t="shared" si="209"/>
        <v>郑州裕华沙拉酱</v>
      </c>
      <c r="CB61" s="24">
        <f>VLOOKUP(CA61,盘点表!A$1:O$65536,15,0)</f>
        <v>16577.8</v>
      </c>
      <c r="CF61" s="24" t="s">
        <v>641</v>
      </c>
      <c r="CG61" s="24" t="s">
        <v>174</v>
      </c>
      <c r="CH61" s="12" t="str">
        <f t="shared" si="179"/>
        <v>郑州裕华BBQ烤腌制粉</v>
      </c>
      <c r="CI61" s="24">
        <f>VLOOKUP(CH61,盘点表!A$1:O$65536,15,0)</f>
        <v>-31.2</v>
      </c>
      <c r="CM61" s="24" t="s">
        <v>641</v>
      </c>
      <c r="CN61" s="30" t="s">
        <v>66</v>
      </c>
      <c r="CO61" s="12" t="str">
        <f t="shared" si="180"/>
        <v>郑州裕华可乐糖浆</v>
      </c>
      <c r="CP61" s="24">
        <f>VLOOKUP(CO61,盘点表!A$1:O$65536,15,0)</f>
        <v>-13099.49</v>
      </c>
      <c r="CT61" s="24" t="s">
        <v>641</v>
      </c>
      <c r="CU61" s="24" t="s">
        <v>67</v>
      </c>
      <c r="CV61" s="12" t="str">
        <f t="shared" si="181"/>
        <v>郑州裕华七喜糖浆</v>
      </c>
      <c r="CW61" s="24">
        <f>VLOOKUP(CV61,盘点表!A$1:O$65536,15,0)</f>
        <v>-11032.26</v>
      </c>
      <c r="DH61" s="24" t="s">
        <v>641</v>
      </c>
      <c r="DI61" s="24" t="s">
        <v>590</v>
      </c>
      <c r="DJ61" s="12" t="str">
        <f t="shared" si="182"/>
        <v>郑州裕华橙C原材料</v>
      </c>
      <c r="DK61" s="24">
        <f>VLOOKUP(DJ61,盘点表!A$1:O$65536,15,0)</f>
        <v>258.89999999999998</v>
      </c>
      <c r="DV61" s="24" t="s">
        <v>641</v>
      </c>
      <c r="DW61" s="24" t="s">
        <v>175</v>
      </c>
      <c r="DX61" s="12" t="str">
        <f t="shared" si="183"/>
        <v>郑州裕华蕃茄沙司（前台）</v>
      </c>
      <c r="DY61" s="24">
        <f>VLOOKUP(DX61,盘点表!A$1:O$65536,15,0)</f>
        <v>267</v>
      </c>
      <c r="EC61" s="24" t="s">
        <v>641</v>
      </c>
      <c r="ED61" s="24" t="s">
        <v>72</v>
      </c>
      <c r="EE61" s="12" t="str">
        <f t="shared" si="184"/>
        <v>郑州裕华糖包</v>
      </c>
      <c r="EF61" s="24">
        <f>VLOOKUP(EE61,盘点表!A$1:O$65536,15,0)</f>
        <v>12</v>
      </c>
      <c r="EJ61" s="24" t="s">
        <v>641</v>
      </c>
      <c r="EK61" s="24" t="s">
        <v>73</v>
      </c>
      <c r="EL61" s="12" t="str">
        <f t="shared" si="185"/>
        <v>郑州裕华吸管</v>
      </c>
      <c r="EM61" s="24" t="e">
        <f>VLOOKUP(EL61,盘点表!A$1:O$65536,15,0)</f>
        <v>#N/A</v>
      </c>
      <c r="EQ61" s="24" t="s">
        <v>641</v>
      </c>
      <c r="ER61" s="24" t="s">
        <v>176</v>
      </c>
      <c r="ES61" s="12" t="str">
        <f t="shared" si="186"/>
        <v>郑州裕华搅拌棒</v>
      </c>
      <c r="ET61" s="24" t="e">
        <f>VLOOKUP(ES61,盘点表!A$1:O$65536,15,0)</f>
        <v>#N/A</v>
      </c>
      <c r="EX61" s="24" t="s">
        <v>641</v>
      </c>
      <c r="EY61" s="24" t="s">
        <v>25</v>
      </c>
      <c r="EZ61" s="12" t="str">
        <f t="shared" si="187"/>
        <v>郑州裕华小勺</v>
      </c>
      <c r="FA61" s="24" t="e">
        <f>VLOOKUP(EZ61,盘点表!A$1:O$65536,15,0)</f>
        <v>#N/A</v>
      </c>
      <c r="FE61" s="24" t="s">
        <v>641</v>
      </c>
      <c r="FF61" s="24" t="s">
        <v>26</v>
      </c>
      <c r="FG61" s="64" t="str">
        <f t="shared" si="188"/>
        <v>郑州裕华汉堡纸</v>
      </c>
      <c r="FH61" s="24">
        <f>VLOOKUP(FG61,盘点表!A$1:O$65536,15,0)</f>
        <v>-43</v>
      </c>
      <c r="FS61" s="24" t="s">
        <v>641</v>
      </c>
      <c r="FT61" s="24" t="s">
        <v>75</v>
      </c>
      <c r="FU61" s="64" t="str">
        <f t="shared" si="189"/>
        <v>郑州裕华纸巾</v>
      </c>
      <c r="FV61" s="24">
        <f>VLOOKUP(FU61,盘点表!A$1:O$65536,15,0)</f>
        <v>-147</v>
      </c>
      <c r="FX61" s="24" t="s">
        <v>641</v>
      </c>
      <c r="FY61" s="24" t="s">
        <v>29</v>
      </c>
      <c r="FZ61" s="64" t="str">
        <f t="shared" si="190"/>
        <v>郑州裕华托盘纸</v>
      </c>
      <c r="GA61" s="24">
        <f>VLOOKUP(FZ61,盘点表!A$1:O$65536,15,0)</f>
        <v>-500</v>
      </c>
      <c r="GB61" s="24" t="s">
        <v>641</v>
      </c>
      <c r="GC61" s="24" t="s">
        <v>30</v>
      </c>
      <c r="GD61" s="64" t="str">
        <f t="shared" si="191"/>
        <v>郑州裕华起酥油</v>
      </c>
      <c r="GE61" s="24">
        <f>VLOOKUP(GD61,盘点表!A$1:O$65536,15,0)</f>
        <v>-15</v>
      </c>
      <c r="GK61" s="24" t="s">
        <v>641</v>
      </c>
      <c r="GL61" s="24" t="s">
        <v>77</v>
      </c>
      <c r="GM61" s="64" t="str">
        <f t="shared" si="192"/>
        <v>郑州裕华打包袋</v>
      </c>
      <c r="GN61" s="24">
        <f>VLOOKUP(GM61,盘点表!A$1:O$65536,15,0)</f>
        <v>1000</v>
      </c>
    </row>
    <row r="62" spans="5:196" x14ac:dyDescent="0.15">
      <c r="E62" s="65"/>
      <c r="F62" s="24" t="s">
        <v>643</v>
      </c>
      <c r="G62" s="67" t="s">
        <v>168</v>
      </c>
      <c r="H62" s="24" t="str">
        <f t="shared" si="199"/>
        <v>华山龙源细薯条</v>
      </c>
      <c r="I62" s="67">
        <f>VLOOKUP(H62,盘点表!A$1:O$65536,15,0)</f>
        <v>938</v>
      </c>
      <c r="M62" s="24" t="s">
        <v>643</v>
      </c>
      <c r="N62" s="67" t="s">
        <v>4</v>
      </c>
      <c r="O62" s="12" t="str">
        <f t="shared" si="194"/>
        <v>华山龙源玉米粒</v>
      </c>
      <c r="P62" s="67">
        <f>VLOOKUP(O62,盘点表!A$1:O$65536,15,0)</f>
        <v>177.9</v>
      </c>
      <c r="T62" s="24" t="s">
        <v>643</v>
      </c>
      <c r="U62" s="67" t="s">
        <v>5</v>
      </c>
      <c r="V62" s="12" t="str">
        <f t="shared" si="201"/>
        <v>华山龙源山东肉丁</v>
      </c>
      <c r="W62" s="67">
        <f>VLOOKUP(V62,盘点表!A$1:O$65536,15,0)</f>
        <v>2608.6999999999998</v>
      </c>
      <c r="AA62" s="24" t="s">
        <v>643</v>
      </c>
      <c r="AB62" s="67" t="s">
        <v>169</v>
      </c>
      <c r="AC62" s="12" t="str">
        <f t="shared" si="202"/>
        <v>华山龙源门店生菜</v>
      </c>
      <c r="AD62" s="67">
        <f>VLOOKUP(AC62,盘点表!A$1:O$65536,15,0)</f>
        <v>-193.4</v>
      </c>
      <c r="AH62" s="24" t="s">
        <v>643</v>
      </c>
      <c r="AI62" s="24" t="s">
        <v>170</v>
      </c>
      <c r="AJ62" s="12" t="str">
        <f t="shared" si="203"/>
        <v>华山龙源25号专用粉</v>
      </c>
      <c r="AK62" s="24">
        <f>VLOOKUP(AJ62,盘点表!A$1:O$65536,15,0)</f>
        <v>-4652.1000000000004</v>
      </c>
      <c r="AO62" s="60" t="s">
        <v>643</v>
      </c>
      <c r="AP62" s="24" t="s">
        <v>8</v>
      </c>
      <c r="AQ62" s="12" t="str">
        <f t="shared" si="204"/>
        <v>华山龙源川香酱</v>
      </c>
      <c r="AR62" s="24">
        <f>VLOOKUP(AQ62,盘点表!A$1:O$65536,15,0)</f>
        <v>348.2</v>
      </c>
      <c r="AW62" s="24" t="s">
        <v>643</v>
      </c>
      <c r="AX62" s="24" t="s">
        <v>9</v>
      </c>
      <c r="AY62" s="12" t="str">
        <f t="shared" si="205"/>
        <v>华山龙源蜜汁酱</v>
      </c>
      <c r="AZ62" s="24">
        <f>VLOOKUP(AY62,盘点表!A$1:O$65536,15,0)</f>
        <v>433.6</v>
      </c>
      <c r="BD62" s="24" t="s">
        <v>643</v>
      </c>
      <c r="BE62" s="24" t="s">
        <v>171</v>
      </c>
      <c r="BF62" s="12" t="str">
        <f t="shared" si="206"/>
        <v>华山龙源中辣味粉</v>
      </c>
      <c r="BG62" s="24">
        <f>VLOOKUP(BF62,盘点表!A$1:O$65536,15,0)</f>
        <v>339.35</v>
      </c>
      <c r="BK62" s="24" t="s">
        <v>643</v>
      </c>
      <c r="BL62" s="24" t="s">
        <v>63</v>
      </c>
      <c r="BM62" s="12" t="str">
        <f t="shared" si="207"/>
        <v>华山龙源鸡排粉</v>
      </c>
      <c r="BN62" s="24">
        <f>VLOOKUP(BM62,盘点表!A$1:O$65536,15,0)</f>
        <v>1435.4</v>
      </c>
      <c r="BR62" s="24" t="s">
        <v>643</v>
      </c>
      <c r="BS62" s="24" t="s">
        <v>172</v>
      </c>
      <c r="BT62" s="12" t="str">
        <f t="shared" si="208"/>
        <v>华山龙源亿霖袋装沙司（后台）</v>
      </c>
      <c r="BU62" s="24">
        <f>VLOOKUP(BT62,盘点表!A$1:O$65536,15,0)</f>
        <v>1224.2</v>
      </c>
      <c r="BY62" s="24" t="s">
        <v>643</v>
      </c>
      <c r="BZ62" s="24" t="s">
        <v>173</v>
      </c>
      <c r="CA62" s="12" t="str">
        <f t="shared" si="209"/>
        <v>华山龙源沙拉酱</v>
      </c>
      <c r="CB62" s="24">
        <f>VLOOKUP(CA62,盘点表!A$1:O$65536,15,0)</f>
        <v>4576.8</v>
      </c>
      <c r="CF62" s="24" t="s">
        <v>643</v>
      </c>
      <c r="CG62" s="24" t="s">
        <v>174</v>
      </c>
      <c r="CH62" s="12" t="str">
        <f t="shared" si="179"/>
        <v>华山龙源BBQ烤腌制粉</v>
      </c>
      <c r="CI62" s="24">
        <f>VLOOKUP(CH62,盘点表!A$1:O$65536,15,0)</f>
        <v>318</v>
      </c>
      <c r="CM62" s="24" t="s">
        <v>643</v>
      </c>
      <c r="CN62" s="30" t="s">
        <v>66</v>
      </c>
      <c r="CO62" s="12" t="str">
        <f t="shared" si="180"/>
        <v>华山龙源可乐糖浆</v>
      </c>
      <c r="CP62" s="24">
        <f>VLOOKUP(CO62,盘点表!A$1:O$65536,15,0)</f>
        <v>102.06</v>
      </c>
      <c r="CT62" s="24" t="s">
        <v>643</v>
      </c>
      <c r="CU62" s="24" t="s">
        <v>67</v>
      </c>
      <c r="CV62" s="12" t="str">
        <f t="shared" si="181"/>
        <v>华山龙源七喜糖浆</v>
      </c>
      <c r="CW62" s="24">
        <f>VLOOKUP(CV62,盘点表!A$1:O$65536,15,0)</f>
        <v>1847.32</v>
      </c>
      <c r="DH62" s="24" t="s">
        <v>643</v>
      </c>
      <c r="DI62" s="24" t="s">
        <v>590</v>
      </c>
      <c r="DJ62" s="12" t="str">
        <f t="shared" si="182"/>
        <v>华山龙源橙C原材料</v>
      </c>
      <c r="DK62" s="24">
        <f>VLOOKUP(DJ62,盘点表!A$1:O$65536,15,0)</f>
        <v>611.1</v>
      </c>
      <c r="DV62" s="24" t="s">
        <v>643</v>
      </c>
      <c r="DW62" s="24" t="s">
        <v>175</v>
      </c>
      <c r="DX62" s="12" t="str">
        <f t="shared" si="183"/>
        <v>华山龙源蕃茄沙司（前台）</v>
      </c>
      <c r="DY62" s="24">
        <f>VLOOKUP(DX62,盘点表!A$1:O$65536,15,0)</f>
        <v>354</v>
      </c>
      <c r="EC62" s="24" t="s">
        <v>643</v>
      </c>
      <c r="ED62" s="24" t="s">
        <v>72</v>
      </c>
      <c r="EE62" s="12" t="str">
        <f t="shared" si="184"/>
        <v>华山龙源糖包</v>
      </c>
      <c r="EF62" s="24">
        <f>VLOOKUP(EE62,盘点表!A$1:O$65536,15,0)</f>
        <v>3</v>
      </c>
      <c r="EJ62" s="24" t="s">
        <v>643</v>
      </c>
      <c r="EK62" s="24" t="s">
        <v>73</v>
      </c>
      <c r="EL62" s="12" t="str">
        <f t="shared" si="185"/>
        <v>华山龙源吸管</v>
      </c>
      <c r="EM62" s="24" t="e">
        <f>VLOOKUP(EL62,盘点表!A$1:O$65536,15,0)</f>
        <v>#N/A</v>
      </c>
      <c r="EQ62" s="24" t="s">
        <v>643</v>
      </c>
      <c r="ER62" s="24" t="s">
        <v>176</v>
      </c>
      <c r="ES62" s="12" t="str">
        <f t="shared" si="186"/>
        <v>华山龙源搅拌棒</v>
      </c>
      <c r="ET62" s="24" t="e">
        <f>VLOOKUP(ES62,盘点表!A$1:O$65536,15,0)</f>
        <v>#N/A</v>
      </c>
      <c r="EX62" s="24" t="s">
        <v>643</v>
      </c>
      <c r="EY62" s="24" t="s">
        <v>25</v>
      </c>
      <c r="EZ62" s="12" t="str">
        <f t="shared" si="187"/>
        <v>华山龙源小勺</v>
      </c>
      <c r="FA62" s="24" t="e">
        <f>VLOOKUP(EZ62,盘点表!A$1:O$65536,15,0)</f>
        <v>#N/A</v>
      </c>
      <c r="FE62" s="24" t="s">
        <v>643</v>
      </c>
      <c r="FF62" s="24" t="s">
        <v>26</v>
      </c>
      <c r="FG62" s="64" t="str">
        <f t="shared" si="188"/>
        <v>华山龙源汉堡纸</v>
      </c>
      <c r="FH62" s="24">
        <f>VLOOKUP(FG62,盘点表!A$1:O$65536,15,0)</f>
        <v>-156</v>
      </c>
      <c r="FS62" s="24" t="s">
        <v>643</v>
      </c>
      <c r="FT62" s="24" t="s">
        <v>75</v>
      </c>
      <c r="FU62" s="64" t="str">
        <f t="shared" si="189"/>
        <v>华山龙源纸巾</v>
      </c>
      <c r="FV62" s="24">
        <f>VLOOKUP(FU62,盘点表!A$1:O$65536,15,0)</f>
        <v>-145</v>
      </c>
      <c r="FX62" s="24" t="s">
        <v>643</v>
      </c>
      <c r="FY62" s="24" t="s">
        <v>29</v>
      </c>
      <c r="FZ62" s="64" t="str">
        <f t="shared" si="190"/>
        <v>华山龙源托盘纸</v>
      </c>
      <c r="GA62" s="24">
        <f>VLOOKUP(FZ62,盘点表!A$1:O$65536,15,0)</f>
        <v>0</v>
      </c>
      <c r="GB62" s="24" t="s">
        <v>643</v>
      </c>
      <c r="GC62" s="24" t="s">
        <v>30</v>
      </c>
      <c r="GD62" s="64" t="str">
        <f t="shared" si="191"/>
        <v>华山龙源起酥油</v>
      </c>
      <c r="GE62" s="24">
        <f>VLOOKUP(GD62,盘点表!A$1:O$65536,15,0)</f>
        <v>-14</v>
      </c>
      <c r="GK62" s="24" t="s">
        <v>643</v>
      </c>
      <c r="GL62" s="24" t="s">
        <v>77</v>
      </c>
      <c r="GM62" s="64" t="str">
        <f t="shared" si="192"/>
        <v>华山龙源打包袋</v>
      </c>
      <c r="GN62" s="24" t="e">
        <f>VLOOKUP(GM62,盘点表!A$1:O$65536,15,0)</f>
        <v>#N/A</v>
      </c>
    </row>
    <row r="63" spans="5:196" x14ac:dyDescent="0.15">
      <c r="E63" s="65"/>
    </row>
    <row r="64" spans="5:196" x14ac:dyDescent="0.15">
      <c r="E64" s="65"/>
    </row>
    <row r="65" spans="5:5" x14ac:dyDescent="0.15">
      <c r="E65" s="65"/>
    </row>
    <row r="66" spans="5:5" x14ac:dyDescent="0.15">
      <c r="E66" s="65"/>
    </row>
    <row r="67" spans="5:5" x14ac:dyDescent="0.15">
      <c r="E67" s="65"/>
    </row>
    <row r="68" spans="5:5" x14ac:dyDescent="0.15">
      <c r="E68" s="65"/>
    </row>
    <row r="69" spans="5:5" x14ac:dyDescent="0.15">
      <c r="E69" s="65"/>
    </row>
    <row r="70" spans="5:5" x14ac:dyDescent="0.15">
      <c r="E70" s="65"/>
    </row>
    <row r="71" spans="5:5" x14ac:dyDescent="0.15">
      <c r="E71" s="65"/>
    </row>
    <row r="72" spans="5:5" x14ac:dyDescent="0.15">
      <c r="E72" s="65"/>
    </row>
    <row r="73" spans="5:5" x14ac:dyDescent="0.15">
      <c r="E73" s="65"/>
    </row>
    <row r="74" spans="5:5" x14ac:dyDescent="0.15">
      <c r="E74" s="65"/>
    </row>
    <row r="75" spans="5:5" x14ac:dyDescent="0.15">
      <c r="E75" s="65"/>
    </row>
    <row r="76" spans="5:5" x14ac:dyDescent="0.15">
      <c r="E76" s="65"/>
    </row>
    <row r="77" spans="5:5" x14ac:dyDescent="0.15">
      <c r="E77" s="65"/>
    </row>
    <row r="78" spans="5:5" x14ac:dyDescent="0.15">
      <c r="E78" s="65"/>
    </row>
    <row r="79" spans="5:5" x14ac:dyDescent="0.15">
      <c r="E79" s="65"/>
    </row>
    <row r="80" spans="5:5" x14ac:dyDescent="0.15">
      <c r="E80" s="65"/>
    </row>
    <row r="81" spans="5:5" x14ac:dyDescent="0.15">
      <c r="E81" s="65"/>
    </row>
    <row r="82" spans="5:5" x14ac:dyDescent="0.15">
      <c r="E82" s="65"/>
    </row>
    <row r="83" spans="5:5" x14ac:dyDescent="0.15">
      <c r="E83" s="65"/>
    </row>
    <row r="84" spans="5:5" x14ac:dyDescent="0.15">
      <c r="E84" s="65"/>
    </row>
    <row r="85" spans="5:5" x14ac:dyDescent="0.15">
      <c r="E85" s="65"/>
    </row>
    <row r="86" spans="5:5" x14ac:dyDescent="0.15">
      <c r="E86" s="65"/>
    </row>
    <row r="87" spans="5:5" x14ac:dyDescent="0.15">
      <c r="E87" s="65"/>
    </row>
    <row r="88" spans="5:5" x14ac:dyDescent="0.15">
      <c r="E88" s="65"/>
    </row>
    <row r="89" spans="5:5" x14ac:dyDescent="0.15">
      <c r="E89" s="65"/>
    </row>
    <row r="90" spans="5:5" x14ac:dyDescent="0.15">
      <c r="E90" s="65"/>
    </row>
    <row r="91" spans="5:5" x14ac:dyDescent="0.15">
      <c r="E91" s="65"/>
    </row>
    <row r="92" spans="5:5" x14ac:dyDescent="0.15">
      <c r="E92" s="65"/>
    </row>
    <row r="93" spans="5:5" x14ac:dyDescent="0.15">
      <c r="E93" s="65"/>
    </row>
    <row r="94" spans="5:5" x14ac:dyDescent="0.15">
      <c r="E94" s="65"/>
    </row>
    <row r="95" spans="5:5" x14ac:dyDescent="0.15">
      <c r="E95" s="65"/>
    </row>
    <row r="96" spans="5:5" x14ac:dyDescent="0.15">
      <c r="E96" s="65"/>
    </row>
    <row r="97" spans="5:5" x14ac:dyDescent="0.15">
      <c r="E97" s="65"/>
    </row>
    <row r="98" spans="5:5" x14ac:dyDescent="0.15">
      <c r="E98" s="65"/>
    </row>
    <row r="99" spans="5:5" x14ac:dyDescent="0.15">
      <c r="E99" s="65"/>
    </row>
    <row r="100" spans="5:5" x14ac:dyDescent="0.15">
      <c r="E100" s="65"/>
    </row>
    <row r="101" spans="5:5" x14ac:dyDescent="0.15">
      <c r="E101" s="65"/>
    </row>
    <row r="102" spans="5:5" x14ac:dyDescent="0.15">
      <c r="E102" s="65"/>
    </row>
  </sheetData>
  <autoFilter ref="A6:JW6" xr:uid="{FB788544-836E-4B50-A73D-A614C29CFE89}"/>
  <mergeCells count="97">
    <mergeCell ref="A4:A5"/>
    <mergeCell ref="B4:B5"/>
    <mergeCell ref="C4:C5"/>
    <mergeCell ref="D4:D5"/>
    <mergeCell ref="E4:E5"/>
    <mergeCell ref="GK3:GN3"/>
    <mergeCell ref="GO3:GQ3"/>
    <mergeCell ref="GR3:GT3"/>
    <mergeCell ref="HP3:HR3"/>
    <mergeCell ref="HS3:HU3"/>
    <mergeCell ref="FL3:FO3"/>
    <mergeCell ref="FS3:FW3"/>
    <mergeCell ref="FX3:GA3"/>
    <mergeCell ref="GB3:GD3"/>
    <mergeCell ref="GE3:GG3"/>
    <mergeCell ref="FE3:FH3"/>
    <mergeCell ref="CF3:CI3"/>
    <mergeCell ref="CM3:CP3"/>
    <mergeCell ref="CT3:CW3"/>
    <mergeCell ref="DA3:DD3"/>
    <mergeCell ref="DH3:DK3"/>
    <mergeCell ref="DO3:DR3"/>
    <mergeCell ref="DV3:DY3"/>
    <mergeCell ref="EC3:EF3"/>
    <mergeCell ref="EJ3:EM3"/>
    <mergeCell ref="EQ3:ET3"/>
    <mergeCell ref="EX3:FA3"/>
    <mergeCell ref="BY3:CB3"/>
    <mergeCell ref="A3:E3"/>
    <mergeCell ref="F3:I3"/>
    <mergeCell ref="M3:P3"/>
    <mergeCell ref="T3:W3"/>
    <mergeCell ref="AA3:AD3"/>
    <mergeCell ref="AH3:AL3"/>
    <mergeCell ref="AP3:AS3"/>
    <mergeCell ref="AW3:AZ3"/>
    <mergeCell ref="BD3:BG3"/>
    <mergeCell ref="BK3:BN3"/>
    <mergeCell ref="BR3:BU3"/>
    <mergeCell ref="II2:II4"/>
    <mergeCell ref="HY3:IA3"/>
    <mergeCell ref="IB3:ID3"/>
    <mergeCell ref="GB2:GD2"/>
    <mergeCell ref="GE2:GG2"/>
    <mergeCell ref="GH2:GJ2"/>
    <mergeCell ref="GK2:GN2"/>
    <mergeCell ref="GO2:GQ2"/>
    <mergeCell ref="GR2:GT2"/>
    <mergeCell ref="HP2:ID2"/>
    <mergeCell ref="IE2:IE4"/>
    <mergeCell ref="IF2:IF4"/>
    <mergeCell ref="IG2:IG4"/>
    <mergeCell ref="IH2:IH4"/>
    <mergeCell ref="HV3:HX3"/>
    <mergeCell ref="GH3:GJ3"/>
    <mergeCell ref="FX2:FZ2"/>
    <mergeCell ref="DA2:DG2"/>
    <mergeCell ref="DH2:DN2"/>
    <mergeCell ref="DO2:DU2"/>
    <mergeCell ref="DV2:EB2"/>
    <mergeCell ref="EC2:EI2"/>
    <mergeCell ref="EJ2:EP2"/>
    <mergeCell ref="EQ2:EW2"/>
    <mergeCell ref="EX2:FD2"/>
    <mergeCell ref="FE2:FK2"/>
    <mergeCell ref="FL2:FR2"/>
    <mergeCell ref="FS2:FW2"/>
    <mergeCell ref="CT2:CZ2"/>
    <mergeCell ref="A1:IV1"/>
    <mergeCell ref="A2:E2"/>
    <mergeCell ref="F2:L2"/>
    <mergeCell ref="M2:S2"/>
    <mergeCell ref="T2:Z2"/>
    <mergeCell ref="AA2:AG2"/>
    <mergeCell ref="AH2:AO2"/>
    <mergeCell ref="AP2:AV2"/>
    <mergeCell ref="AW2:BC2"/>
    <mergeCell ref="BD2:BJ2"/>
    <mergeCell ref="BK2:BQ2"/>
    <mergeCell ref="BR2:BX2"/>
    <mergeCell ref="BY2:CE2"/>
    <mergeCell ref="CF2:CL2"/>
    <mergeCell ref="CM2:CS2"/>
    <mergeCell ref="HJ2:HL2"/>
    <mergeCell ref="HM2:HO2"/>
    <mergeCell ref="GU3:GW3"/>
    <mergeCell ref="GX3:GZ3"/>
    <mergeCell ref="HA3:HC3"/>
    <mergeCell ref="HD3:HF3"/>
    <mergeCell ref="HG3:HI3"/>
    <mergeCell ref="HJ3:HL3"/>
    <mergeCell ref="HM3:HO3"/>
    <mergeCell ref="GU2:GW2"/>
    <mergeCell ref="GX2:GZ2"/>
    <mergeCell ref="HA2:HC2"/>
    <mergeCell ref="HD2:HF2"/>
    <mergeCell ref="HG2:HI2"/>
  </mergeCells>
  <phoneticPr fontId="1" type="noConversion"/>
  <conditionalFormatting sqref="A6">
    <cfRule type="duplicateValues" dxfId="43" priority="7"/>
    <cfRule type="duplicateValues" dxfId="42" priority="8"/>
  </conditionalFormatting>
  <conditionalFormatting sqref="B6">
    <cfRule type="duplicateValues" dxfId="41" priority="20"/>
  </conditionalFormatting>
  <conditionalFormatting sqref="A2:A5">
    <cfRule type="duplicateValues" dxfId="40" priority="1"/>
    <cfRule type="duplicateValues" dxfId="39" priority="3"/>
  </conditionalFormatting>
  <conditionalFormatting sqref="B2:B5">
    <cfRule type="duplicateValues" dxfId="38" priority="2"/>
  </conditionalFormatting>
  <conditionalFormatting sqref="J6:J32">
    <cfRule type="cellIs" dxfId="37" priority="4" stopIfTrue="1" operator="notBetween">
      <formula>8.6</formula>
      <formula>9.6</formula>
    </cfRule>
  </conditionalFormatting>
  <conditionalFormatting sqref="Q6:Q32">
    <cfRule type="cellIs" dxfId="36" priority="19" stopIfTrue="1" operator="notBetween">
      <formula>10.5</formula>
      <formula>11.7</formula>
    </cfRule>
  </conditionalFormatting>
  <conditionalFormatting sqref="X6:X32">
    <cfRule type="cellIs" dxfId="35" priority="18" stopIfTrue="1" operator="notBetween">
      <formula>9.5</formula>
      <formula>10.6</formula>
    </cfRule>
  </conditionalFormatting>
  <conditionalFormatting sqref="X34:X37">
    <cfRule type="cellIs" dxfId="34" priority="46" stopIfTrue="1" operator="notBetween">
      <formula>9.5</formula>
      <formula>10.6</formula>
    </cfRule>
  </conditionalFormatting>
  <conditionalFormatting sqref="AE6:AE32">
    <cfRule type="cellIs" dxfId="33" priority="17" stopIfTrue="1" operator="notBetween">
      <formula>90</formula>
      <formula>110.1</formula>
    </cfRule>
  </conditionalFormatting>
  <conditionalFormatting sqref="AE34:AE37">
    <cfRule type="cellIs" dxfId="32" priority="23" stopIfTrue="1" operator="greaterThanOrEqual">
      <formula>110.1</formula>
    </cfRule>
    <cfRule type="cellIs" dxfId="31" priority="24" stopIfTrue="1" operator="lessThanOrEqual">
      <formula>90</formula>
    </cfRule>
    <cfRule type="cellIs" dxfId="30" priority="45" stopIfTrue="1" operator="notBetween">
      <formula>90</formula>
      <formula>110.1</formula>
    </cfRule>
  </conditionalFormatting>
  <conditionalFormatting sqref="AM6:AM33">
    <cfRule type="cellIs" dxfId="29" priority="16" stopIfTrue="1" operator="notBetween">
      <formula>31.6</formula>
      <formula>35.1</formula>
    </cfRule>
  </conditionalFormatting>
  <conditionalFormatting sqref="AM34:AM37">
    <cfRule type="cellIs" dxfId="28" priority="25" stopIfTrue="1" operator="notBetween">
      <formula>31.6</formula>
      <formula>35.1</formula>
    </cfRule>
    <cfRule type="cellIs" dxfId="27" priority="44" stopIfTrue="1" operator="notBetween">
      <formula>31.6</formula>
      <formula>35.1</formula>
    </cfRule>
  </conditionalFormatting>
  <conditionalFormatting sqref="AT6:AT32">
    <cfRule type="cellIs" dxfId="26" priority="15" stopIfTrue="1" operator="notBetween">
      <formula>217.5</formula>
      <formula>240.5</formula>
    </cfRule>
  </conditionalFormatting>
  <conditionalFormatting sqref="AT34:AT37">
    <cfRule type="cellIs" dxfId="25" priority="26" stopIfTrue="1" operator="notBetween">
      <formula>217.5</formula>
      <formula>240.5</formula>
    </cfRule>
    <cfRule type="cellIs" dxfId="24" priority="43" stopIfTrue="1" operator="notBetween">
      <formula>217.5</formula>
      <formula>240.5</formula>
    </cfRule>
  </conditionalFormatting>
  <conditionalFormatting sqref="BA6:BA32">
    <cfRule type="cellIs" dxfId="23" priority="13" stopIfTrue="1" operator="notBetween">
      <formula>144.4</formula>
      <formula>159.7</formula>
    </cfRule>
    <cfRule type="cellIs" priority="14" stopIfTrue="1" operator="notBetween">
      <formula>144.4</formula>
      <formula>159</formula>
    </cfRule>
  </conditionalFormatting>
  <conditionalFormatting sqref="BA34:BA37">
    <cfRule type="cellIs" dxfId="22" priority="27" stopIfTrue="1" operator="notBetween">
      <formula>144.4</formula>
      <formula>159.7</formula>
    </cfRule>
    <cfRule type="cellIs" dxfId="21" priority="41" stopIfTrue="1" operator="notBetween">
      <formula>144.4</formula>
      <formula>159.7</formula>
    </cfRule>
    <cfRule type="cellIs" priority="42" stopIfTrue="1" operator="notBetween">
      <formula>144.4</formula>
      <formula>159</formula>
    </cfRule>
  </conditionalFormatting>
  <conditionalFormatting sqref="BH6:BH32">
    <cfRule type="cellIs" dxfId="20" priority="12" stopIfTrue="1" operator="notBetween">
      <formula>730.7</formula>
      <formula>807.7</formula>
    </cfRule>
  </conditionalFormatting>
  <conditionalFormatting sqref="BH34:BH37">
    <cfRule type="cellIs" dxfId="19" priority="28" stopIfTrue="1" operator="notBetween">
      <formula>730.7</formula>
      <formula>807.7</formula>
    </cfRule>
    <cfRule type="cellIs" dxfId="18" priority="40" stopIfTrue="1" operator="notBetween">
      <formula>730.7</formula>
      <formula>807.7</formula>
    </cfRule>
  </conditionalFormatting>
  <conditionalFormatting sqref="BO34:BO37">
    <cfRule type="cellIs" dxfId="17" priority="22" stopIfTrue="1" operator="notBetween">
      <formula>1187.5</formula>
      <formula>1312.6</formula>
    </cfRule>
    <cfRule type="cellIs" dxfId="16" priority="29" stopIfTrue="1" operator="notBetween">
      <formula>1187.5</formula>
      <formula>1312.6</formula>
    </cfRule>
  </conditionalFormatting>
  <conditionalFormatting sqref="BV6:BV32">
    <cfRule type="cellIs" dxfId="15" priority="6" operator="notBetween">
      <formula>90</formula>
      <formula>110.1</formula>
    </cfRule>
  </conditionalFormatting>
  <conditionalFormatting sqref="BV34:BV37">
    <cfRule type="cellIs" dxfId="14" priority="21" stopIfTrue="1" operator="notBetween">
      <formula>90</formula>
      <formula>110.1</formula>
    </cfRule>
    <cfRule type="cellIs" dxfId="13" priority="30" stopIfTrue="1" operator="notBetween">
      <formula>90</formula>
      <formula>110.1</formula>
    </cfRule>
  </conditionalFormatting>
  <conditionalFormatting sqref="CC6:CC32">
    <cfRule type="cellIs" dxfId="12" priority="11" stopIfTrue="1" operator="notBetween">
      <formula>60</formula>
      <formula>73.4</formula>
    </cfRule>
  </conditionalFormatting>
  <conditionalFormatting sqref="CC34:CC37">
    <cfRule type="cellIs" dxfId="11" priority="31" stopIfTrue="1" operator="notBetween">
      <formula>60</formula>
      <formula>73.4</formula>
    </cfRule>
    <cfRule type="cellIs" dxfId="10" priority="39" stopIfTrue="1" operator="notBetween">
      <formula>60</formula>
      <formula>73.4</formula>
    </cfRule>
  </conditionalFormatting>
  <conditionalFormatting sqref="CJ6:CJ32">
    <cfRule type="cellIs" dxfId="9" priority="10" stopIfTrue="1" operator="notBetween">
      <formula>168.7</formula>
      <formula>186.6</formula>
    </cfRule>
  </conditionalFormatting>
  <conditionalFormatting sqref="CJ34:CJ37">
    <cfRule type="cellIs" dxfId="8" priority="38" stopIfTrue="1" operator="notBetween">
      <formula>168.7</formula>
      <formula>186.6</formula>
    </cfRule>
  </conditionalFormatting>
  <conditionalFormatting sqref="CQ34:CQ37">
    <cfRule type="cellIs" dxfId="7" priority="35" stopIfTrue="1" operator="notBetween">
      <formula>21.5</formula>
      <formula>23.96</formula>
    </cfRule>
    <cfRule type="cellIs" dxfId="6" priority="37" stopIfTrue="1" operator="notBetween">
      <formula>21.5</formula>
      <formula>23.9</formula>
    </cfRule>
  </conditionalFormatting>
  <conditionalFormatting sqref="CY34:CY37">
    <cfRule type="cellIs" dxfId="5" priority="36" stopIfTrue="1" operator="between">
      <formula>21.5</formula>
      <formula>23.9</formula>
    </cfRule>
  </conditionalFormatting>
  <conditionalFormatting sqref="DE34:DE37">
    <cfRule type="cellIs" dxfId="4" priority="34" stopIfTrue="1" operator="notBetween">
      <formula>18.2</formula>
      <formula>20.2</formula>
    </cfRule>
  </conditionalFormatting>
  <conditionalFormatting sqref="DL6:DL32">
    <cfRule type="cellIs" dxfId="3" priority="5" operator="notBetween">
      <formula>21.5</formula>
      <formula>23.9</formula>
    </cfRule>
  </conditionalFormatting>
  <conditionalFormatting sqref="CX6:CX32 CQ6:CQ32">
    <cfRule type="cellIs" dxfId="2" priority="9" stopIfTrue="1" operator="notBetween">
      <formula>21.5</formula>
      <formula>23.9</formula>
    </cfRule>
  </conditionalFormatting>
  <conditionalFormatting sqref="CJ34:CK37">
    <cfRule type="cellIs" dxfId="1" priority="32" stopIfTrue="1" operator="notBetween">
      <formula>168.7</formula>
      <formula>186.6</formula>
    </cfRule>
  </conditionalFormatting>
  <conditionalFormatting sqref="CX34:CX37 DL34:DL37 CR34:CR37">
    <cfRule type="cellIs" dxfId="0" priority="33" stopIfTrue="1" operator="notBetween">
      <formula>21.5</formula>
      <formula>23.9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63295-B944-48E8-9DE9-FC8F15880D1A}">
  <sheetPr codeName="Sheet3"/>
  <dimension ref="A1:FQ4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O38" sqref="O38"/>
    </sheetView>
  </sheetViews>
  <sheetFormatPr defaultColWidth="8.75" defaultRowHeight="18" customHeight="1" x14ac:dyDescent="0.15"/>
  <cols>
    <col min="1" max="1" width="9" style="28" customWidth="1"/>
    <col min="2" max="2" width="8.75" style="28"/>
    <col min="3" max="3" width="12.375" style="29" customWidth="1"/>
    <col min="4" max="4" width="10.875" style="28" customWidth="1"/>
    <col min="5" max="5" width="8.75" style="24"/>
    <col min="6" max="6" width="12.75" style="24" customWidth="1"/>
    <col min="7" max="7" width="10.5" style="24" customWidth="1"/>
    <col min="8" max="8" width="11.25" style="24" customWidth="1"/>
    <col min="9" max="9" width="10.625" style="24" customWidth="1"/>
    <col min="10" max="10" width="12.75" style="24" customWidth="1"/>
    <col min="11" max="11" width="9" style="24" customWidth="1"/>
    <col min="12" max="12" width="10.875" style="24" customWidth="1"/>
    <col min="13" max="13" width="13.25" style="24" customWidth="1"/>
    <col min="14" max="15" width="9.25" style="24" customWidth="1"/>
    <col min="16" max="17" width="9.125" style="24" customWidth="1"/>
    <col min="18" max="18" width="11.75" style="24" customWidth="1"/>
    <col min="19" max="19" width="10.5" style="24" customWidth="1"/>
    <col min="20" max="20" width="9.125" style="24" customWidth="1"/>
    <col min="21" max="23" width="10.5" style="24" customWidth="1"/>
    <col min="24" max="24" width="9.125" style="24" customWidth="1"/>
    <col min="25" max="25" width="12.75" style="24" customWidth="1"/>
    <col min="26" max="27" width="10.5" style="24" customWidth="1"/>
    <col min="28" max="28" width="9.5" style="24" customWidth="1"/>
    <col min="29" max="29" width="9.125" style="24" customWidth="1"/>
    <col min="30" max="30" width="10.5" style="24" customWidth="1"/>
    <col min="31" max="31" width="12.75" style="24" customWidth="1"/>
    <col min="32" max="33" width="9.125" style="24" customWidth="1"/>
    <col min="34" max="34" width="10.5" style="24" customWidth="1"/>
    <col min="35" max="38" width="9.125" style="24" customWidth="1"/>
    <col min="39" max="39" width="9.5" style="24" customWidth="1"/>
    <col min="40" max="40" width="10.5" style="24" customWidth="1"/>
    <col min="41" max="41" width="9.125" style="24" customWidth="1"/>
    <col min="42" max="42" width="10.5" style="24" customWidth="1"/>
    <col min="43" max="44" width="9.125" style="24" customWidth="1"/>
    <col min="45" max="45" width="9.5" style="24" customWidth="1"/>
    <col min="46" max="46" width="9.125" style="24" customWidth="1"/>
    <col min="47" max="47" width="16.5" style="28" customWidth="1"/>
    <col min="48" max="48" width="18.125" style="28" customWidth="1"/>
    <col min="49" max="49" width="12.75" style="28" customWidth="1"/>
    <col min="50" max="52" width="9.125" style="28" customWidth="1"/>
    <col min="53" max="63" width="16" style="28" customWidth="1"/>
    <col min="64" max="64" width="10" style="28" customWidth="1"/>
    <col min="65" max="65" width="12.5" style="28" customWidth="1"/>
    <col min="66" max="67" width="10.5" style="28" bestFit="1" customWidth="1"/>
    <col min="68" max="69" width="9.125" style="28" bestFit="1" customWidth="1"/>
    <col min="70" max="70" width="10.5" style="28" bestFit="1" customWidth="1"/>
    <col min="71" max="71" width="13.5" style="28" customWidth="1"/>
    <col min="72" max="74" width="9.125" style="28" bestFit="1" customWidth="1"/>
    <col min="75" max="75" width="12.875" style="28" customWidth="1"/>
    <col min="76" max="77" width="9.125" style="28" bestFit="1" customWidth="1"/>
    <col min="78" max="78" width="11.5" style="28" customWidth="1"/>
    <col min="79" max="79" width="11.875" style="28" customWidth="1"/>
    <col min="80" max="80" width="10.5" style="28" customWidth="1"/>
    <col min="81" max="81" width="10.5" style="28" bestFit="1" customWidth="1"/>
    <col min="82" max="82" width="12.875" style="28" customWidth="1"/>
    <col min="83" max="83" width="12" style="28" customWidth="1"/>
    <col min="84" max="84" width="13.625" style="28" customWidth="1"/>
    <col min="85" max="85" width="16.5" style="28" customWidth="1"/>
    <col min="86" max="86" width="12" style="28" customWidth="1"/>
    <col min="87" max="87" width="12.875" style="28" customWidth="1"/>
    <col min="88" max="88" width="15.625" style="28" customWidth="1"/>
    <col min="89" max="89" width="9" style="28" customWidth="1"/>
    <col min="90" max="90" width="11.5" style="28" customWidth="1"/>
    <col min="91" max="91" width="9" style="28" customWidth="1"/>
    <col min="92" max="93" width="10.875" style="28" customWidth="1"/>
    <col min="94" max="94" width="22.25" style="28" bestFit="1" customWidth="1"/>
    <col min="95" max="97" width="10.875" style="28" customWidth="1"/>
    <col min="98" max="98" width="16.625" style="28" customWidth="1"/>
    <col min="99" max="106" width="9" style="28" customWidth="1"/>
    <col min="107" max="107" width="15.375" style="28" customWidth="1"/>
    <col min="108" max="108" width="15.875" style="28" customWidth="1"/>
    <col min="109" max="115" width="9" style="28" customWidth="1"/>
    <col min="116" max="116" width="18.625" style="28" customWidth="1"/>
    <col min="117" max="117" width="16.5" style="28" customWidth="1"/>
    <col min="118" max="118" width="17.875" style="28" bestFit="1" customWidth="1"/>
    <col min="119" max="119" width="14.25" style="28" bestFit="1" customWidth="1"/>
    <col min="120" max="120" width="20.5" style="28" bestFit="1" customWidth="1"/>
    <col min="121" max="121" width="16.375" style="28" bestFit="1" customWidth="1"/>
    <col min="122" max="122" width="15.625" style="28" bestFit="1" customWidth="1"/>
    <col min="123" max="123" width="22.25" style="28" bestFit="1" customWidth="1"/>
    <col min="124" max="124" width="21.625" style="28" bestFit="1" customWidth="1"/>
    <col min="125" max="127" width="9" style="28" customWidth="1"/>
    <col min="128" max="159" width="8.75" style="28"/>
    <col min="160" max="173" width="9" style="28" customWidth="1"/>
    <col min="174" max="255" width="8.75" style="30"/>
    <col min="256" max="256" width="9" style="30" customWidth="1"/>
    <col min="257" max="257" width="8.75" style="30"/>
    <col min="258" max="258" width="12.375" style="30" customWidth="1"/>
    <col min="259" max="259" width="10.875" style="30" customWidth="1"/>
    <col min="260" max="260" width="8.75" style="30"/>
    <col min="261" max="261" width="12.75" style="30" customWidth="1"/>
    <col min="262" max="262" width="10.5" style="30" customWidth="1"/>
    <col min="263" max="263" width="11.25" style="30" customWidth="1"/>
    <col min="264" max="264" width="10.625" style="30" customWidth="1"/>
    <col min="265" max="265" width="12.75" style="30" customWidth="1"/>
    <col min="266" max="266" width="9" style="30" customWidth="1"/>
    <col min="267" max="267" width="10.875" style="30" customWidth="1"/>
    <col min="268" max="268" width="13.25" style="30" customWidth="1"/>
    <col min="269" max="270" width="9.25" style="30" customWidth="1"/>
    <col min="271" max="272" width="9.125" style="30" customWidth="1"/>
    <col min="273" max="273" width="11.75" style="30" customWidth="1"/>
    <col min="274" max="274" width="10.5" style="30" customWidth="1"/>
    <col min="275" max="275" width="9.125" style="30" customWidth="1"/>
    <col min="276" max="278" width="10.5" style="30" customWidth="1"/>
    <col min="279" max="279" width="9.125" style="30" customWidth="1"/>
    <col min="280" max="280" width="12.75" style="30" customWidth="1"/>
    <col min="281" max="282" width="10.5" style="30" customWidth="1"/>
    <col min="283" max="283" width="9.5" style="30" customWidth="1"/>
    <col min="284" max="284" width="9.125" style="30" customWidth="1"/>
    <col min="285" max="285" width="10.5" style="30" customWidth="1"/>
    <col min="286" max="286" width="12.75" style="30" customWidth="1"/>
    <col min="287" max="288" width="9.125" style="30" customWidth="1"/>
    <col min="289" max="289" width="10.5" style="30" customWidth="1"/>
    <col min="290" max="293" width="9.125" style="30" customWidth="1"/>
    <col min="294" max="294" width="9.5" style="30" customWidth="1"/>
    <col min="295" max="295" width="10.5" style="30" customWidth="1"/>
    <col min="296" max="296" width="9.125" style="30" customWidth="1"/>
    <col min="297" max="297" width="10.5" style="30" customWidth="1"/>
    <col min="298" max="299" width="9.125" style="30" customWidth="1"/>
    <col min="300" max="300" width="9.5" style="30" customWidth="1"/>
    <col min="301" max="301" width="9.125" style="30" customWidth="1"/>
    <col min="302" max="302" width="16.5" style="30" customWidth="1"/>
    <col min="303" max="303" width="18.125" style="30" customWidth="1"/>
    <col min="304" max="304" width="12.75" style="30" customWidth="1"/>
    <col min="305" max="307" width="9.125" style="30" customWidth="1"/>
    <col min="308" max="318" width="16" style="30" customWidth="1"/>
    <col min="319" max="319" width="10" style="30" customWidth="1"/>
    <col min="320" max="320" width="12.5" style="30" customWidth="1"/>
    <col min="321" max="322" width="10.5" style="30" bestFit="1" customWidth="1"/>
    <col min="323" max="324" width="9.125" style="30" bestFit="1" customWidth="1"/>
    <col min="325" max="325" width="10.5" style="30" bestFit="1" customWidth="1"/>
    <col min="326" max="326" width="13.5" style="30" customWidth="1"/>
    <col min="327" max="329" width="9.125" style="30" bestFit="1" customWidth="1"/>
    <col min="330" max="330" width="12.875" style="30" customWidth="1"/>
    <col min="331" max="332" width="9.125" style="30" bestFit="1" customWidth="1"/>
    <col min="333" max="333" width="11.5" style="30" customWidth="1"/>
    <col min="334" max="334" width="11.875" style="30" customWidth="1"/>
    <col min="335" max="335" width="10.5" style="30" customWidth="1"/>
    <col min="336" max="336" width="10.5" style="30" bestFit="1" customWidth="1"/>
    <col min="337" max="337" width="12.875" style="30" customWidth="1"/>
    <col min="338" max="338" width="12" style="30" customWidth="1"/>
    <col min="339" max="339" width="13.625" style="30" customWidth="1"/>
    <col min="340" max="340" width="16.5" style="30" customWidth="1"/>
    <col min="341" max="341" width="12" style="30" customWidth="1"/>
    <col min="342" max="342" width="12.875" style="30" customWidth="1"/>
    <col min="343" max="343" width="15.625" style="30" customWidth="1"/>
    <col min="344" max="344" width="9" style="30" customWidth="1"/>
    <col min="345" max="345" width="11.5" style="30" customWidth="1"/>
    <col min="346" max="346" width="9" style="30" customWidth="1"/>
    <col min="347" max="352" width="10.875" style="30" customWidth="1"/>
    <col min="353" max="353" width="16.625" style="30" customWidth="1"/>
    <col min="354" max="362" width="9" style="30" customWidth="1"/>
    <col min="363" max="363" width="15.375" style="30" customWidth="1"/>
    <col min="364" max="364" width="15.875" style="30" customWidth="1"/>
    <col min="365" max="383" width="9" style="30" customWidth="1"/>
    <col min="384" max="415" width="8.75" style="30"/>
    <col min="416" max="429" width="9" style="30" customWidth="1"/>
    <col min="430" max="511" width="8.75" style="30"/>
    <col min="512" max="512" width="9" style="30" customWidth="1"/>
    <col min="513" max="513" width="8.75" style="30"/>
    <col min="514" max="514" width="12.375" style="30" customWidth="1"/>
    <col min="515" max="515" width="10.875" style="30" customWidth="1"/>
    <col min="516" max="516" width="8.75" style="30"/>
    <col min="517" max="517" width="12.75" style="30" customWidth="1"/>
    <col min="518" max="518" width="10.5" style="30" customWidth="1"/>
    <col min="519" max="519" width="11.25" style="30" customWidth="1"/>
    <col min="520" max="520" width="10.625" style="30" customWidth="1"/>
    <col min="521" max="521" width="12.75" style="30" customWidth="1"/>
    <col min="522" max="522" width="9" style="30" customWidth="1"/>
    <col min="523" max="523" width="10.875" style="30" customWidth="1"/>
    <col min="524" max="524" width="13.25" style="30" customWidth="1"/>
    <col min="525" max="526" width="9.25" style="30" customWidth="1"/>
    <col min="527" max="528" width="9.125" style="30" customWidth="1"/>
    <col min="529" max="529" width="11.75" style="30" customWidth="1"/>
    <col min="530" max="530" width="10.5" style="30" customWidth="1"/>
    <col min="531" max="531" width="9.125" style="30" customWidth="1"/>
    <col min="532" max="534" width="10.5" style="30" customWidth="1"/>
    <col min="535" max="535" width="9.125" style="30" customWidth="1"/>
    <col min="536" max="536" width="12.75" style="30" customWidth="1"/>
    <col min="537" max="538" width="10.5" style="30" customWidth="1"/>
    <col min="539" max="539" width="9.5" style="30" customWidth="1"/>
    <col min="540" max="540" width="9.125" style="30" customWidth="1"/>
    <col min="541" max="541" width="10.5" style="30" customWidth="1"/>
    <col min="542" max="542" width="12.75" style="30" customWidth="1"/>
    <col min="543" max="544" width="9.125" style="30" customWidth="1"/>
    <col min="545" max="545" width="10.5" style="30" customWidth="1"/>
    <col min="546" max="549" width="9.125" style="30" customWidth="1"/>
    <col min="550" max="550" width="9.5" style="30" customWidth="1"/>
    <col min="551" max="551" width="10.5" style="30" customWidth="1"/>
    <col min="552" max="552" width="9.125" style="30" customWidth="1"/>
    <col min="553" max="553" width="10.5" style="30" customWidth="1"/>
    <col min="554" max="555" width="9.125" style="30" customWidth="1"/>
    <col min="556" max="556" width="9.5" style="30" customWidth="1"/>
    <col min="557" max="557" width="9.125" style="30" customWidth="1"/>
    <col min="558" max="558" width="16.5" style="30" customWidth="1"/>
    <col min="559" max="559" width="18.125" style="30" customWidth="1"/>
    <col min="560" max="560" width="12.75" style="30" customWidth="1"/>
    <col min="561" max="563" width="9.125" style="30" customWidth="1"/>
    <col min="564" max="574" width="16" style="30" customWidth="1"/>
    <col min="575" max="575" width="10" style="30" customWidth="1"/>
    <col min="576" max="576" width="12.5" style="30" customWidth="1"/>
    <col min="577" max="578" width="10.5" style="30" bestFit="1" customWidth="1"/>
    <col min="579" max="580" width="9.125" style="30" bestFit="1" customWidth="1"/>
    <col min="581" max="581" width="10.5" style="30" bestFit="1" customWidth="1"/>
    <col min="582" max="582" width="13.5" style="30" customWidth="1"/>
    <col min="583" max="585" width="9.125" style="30" bestFit="1" customWidth="1"/>
    <col min="586" max="586" width="12.875" style="30" customWidth="1"/>
    <col min="587" max="588" width="9.125" style="30" bestFit="1" customWidth="1"/>
    <col min="589" max="589" width="11.5" style="30" customWidth="1"/>
    <col min="590" max="590" width="11.875" style="30" customWidth="1"/>
    <col min="591" max="591" width="10.5" style="30" customWidth="1"/>
    <col min="592" max="592" width="10.5" style="30" bestFit="1" customWidth="1"/>
    <col min="593" max="593" width="12.875" style="30" customWidth="1"/>
    <col min="594" max="594" width="12" style="30" customWidth="1"/>
    <col min="595" max="595" width="13.625" style="30" customWidth="1"/>
    <col min="596" max="596" width="16.5" style="30" customWidth="1"/>
    <col min="597" max="597" width="12" style="30" customWidth="1"/>
    <col min="598" max="598" width="12.875" style="30" customWidth="1"/>
    <col min="599" max="599" width="15.625" style="30" customWidth="1"/>
    <col min="600" max="600" width="9" style="30" customWidth="1"/>
    <col min="601" max="601" width="11.5" style="30" customWidth="1"/>
    <col min="602" max="602" width="9" style="30" customWidth="1"/>
    <col min="603" max="608" width="10.875" style="30" customWidth="1"/>
    <col min="609" max="609" width="16.625" style="30" customWidth="1"/>
    <col min="610" max="618" width="9" style="30" customWidth="1"/>
    <col min="619" max="619" width="15.375" style="30" customWidth="1"/>
    <col min="620" max="620" width="15.875" style="30" customWidth="1"/>
    <col min="621" max="639" width="9" style="30" customWidth="1"/>
    <col min="640" max="671" width="8.75" style="30"/>
    <col min="672" max="685" width="9" style="30" customWidth="1"/>
    <col min="686" max="767" width="8.75" style="30"/>
    <col min="768" max="768" width="9" style="30" customWidth="1"/>
    <col min="769" max="769" width="8.75" style="30"/>
    <col min="770" max="770" width="12.375" style="30" customWidth="1"/>
    <col min="771" max="771" width="10.875" style="30" customWidth="1"/>
    <col min="772" max="772" width="8.75" style="30"/>
    <col min="773" max="773" width="12.75" style="30" customWidth="1"/>
    <col min="774" max="774" width="10.5" style="30" customWidth="1"/>
    <col min="775" max="775" width="11.25" style="30" customWidth="1"/>
    <col min="776" max="776" width="10.625" style="30" customWidth="1"/>
    <col min="777" max="777" width="12.75" style="30" customWidth="1"/>
    <col min="778" max="778" width="9" style="30" customWidth="1"/>
    <col min="779" max="779" width="10.875" style="30" customWidth="1"/>
    <col min="780" max="780" width="13.25" style="30" customWidth="1"/>
    <col min="781" max="782" width="9.25" style="30" customWidth="1"/>
    <col min="783" max="784" width="9.125" style="30" customWidth="1"/>
    <col min="785" max="785" width="11.75" style="30" customWidth="1"/>
    <col min="786" max="786" width="10.5" style="30" customWidth="1"/>
    <col min="787" max="787" width="9.125" style="30" customWidth="1"/>
    <col min="788" max="790" width="10.5" style="30" customWidth="1"/>
    <col min="791" max="791" width="9.125" style="30" customWidth="1"/>
    <col min="792" max="792" width="12.75" style="30" customWidth="1"/>
    <col min="793" max="794" width="10.5" style="30" customWidth="1"/>
    <col min="795" max="795" width="9.5" style="30" customWidth="1"/>
    <col min="796" max="796" width="9.125" style="30" customWidth="1"/>
    <col min="797" max="797" width="10.5" style="30" customWidth="1"/>
    <col min="798" max="798" width="12.75" style="30" customWidth="1"/>
    <col min="799" max="800" width="9.125" style="30" customWidth="1"/>
    <col min="801" max="801" width="10.5" style="30" customWidth="1"/>
    <col min="802" max="805" width="9.125" style="30" customWidth="1"/>
    <col min="806" max="806" width="9.5" style="30" customWidth="1"/>
    <col min="807" max="807" width="10.5" style="30" customWidth="1"/>
    <col min="808" max="808" width="9.125" style="30" customWidth="1"/>
    <col min="809" max="809" width="10.5" style="30" customWidth="1"/>
    <col min="810" max="811" width="9.125" style="30" customWidth="1"/>
    <col min="812" max="812" width="9.5" style="30" customWidth="1"/>
    <col min="813" max="813" width="9.125" style="30" customWidth="1"/>
    <col min="814" max="814" width="16.5" style="30" customWidth="1"/>
    <col min="815" max="815" width="18.125" style="30" customWidth="1"/>
    <col min="816" max="816" width="12.75" style="30" customWidth="1"/>
    <col min="817" max="819" width="9.125" style="30" customWidth="1"/>
    <col min="820" max="830" width="16" style="30" customWidth="1"/>
    <col min="831" max="831" width="10" style="30" customWidth="1"/>
    <col min="832" max="832" width="12.5" style="30" customWidth="1"/>
    <col min="833" max="834" width="10.5" style="30" bestFit="1" customWidth="1"/>
    <col min="835" max="836" width="9.125" style="30" bestFit="1" customWidth="1"/>
    <col min="837" max="837" width="10.5" style="30" bestFit="1" customWidth="1"/>
    <col min="838" max="838" width="13.5" style="30" customWidth="1"/>
    <col min="839" max="841" width="9.125" style="30" bestFit="1" customWidth="1"/>
    <col min="842" max="842" width="12.875" style="30" customWidth="1"/>
    <col min="843" max="844" width="9.125" style="30" bestFit="1" customWidth="1"/>
    <col min="845" max="845" width="11.5" style="30" customWidth="1"/>
    <col min="846" max="846" width="11.875" style="30" customWidth="1"/>
    <col min="847" max="847" width="10.5" style="30" customWidth="1"/>
    <col min="848" max="848" width="10.5" style="30" bestFit="1" customWidth="1"/>
    <col min="849" max="849" width="12.875" style="30" customWidth="1"/>
    <col min="850" max="850" width="12" style="30" customWidth="1"/>
    <col min="851" max="851" width="13.625" style="30" customWidth="1"/>
    <col min="852" max="852" width="16.5" style="30" customWidth="1"/>
    <col min="853" max="853" width="12" style="30" customWidth="1"/>
    <col min="854" max="854" width="12.875" style="30" customWidth="1"/>
    <col min="855" max="855" width="15.625" style="30" customWidth="1"/>
    <col min="856" max="856" width="9" style="30" customWidth="1"/>
    <col min="857" max="857" width="11.5" style="30" customWidth="1"/>
    <col min="858" max="858" width="9" style="30" customWidth="1"/>
    <col min="859" max="864" width="10.875" style="30" customWidth="1"/>
    <col min="865" max="865" width="16.625" style="30" customWidth="1"/>
    <col min="866" max="874" width="9" style="30" customWidth="1"/>
    <col min="875" max="875" width="15.375" style="30" customWidth="1"/>
    <col min="876" max="876" width="15.875" style="30" customWidth="1"/>
    <col min="877" max="895" width="9" style="30" customWidth="1"/>
    <col min="896" max="927" width="8.75" style="30"/>
    <col min="928" max="941" width="9" style="30" customWidth="1"/>
    <col min="942" max="1023" width="8.75" style="30"/>
    <col min="1024" max="1024" width="9" style="30" customWidth="1"/>
    <col min="1025" max="1025" width="8.75" style="30"/>
    <col min="1026" max="1026" width="12.375" style="30" customWidth="1"/>
    <col min="1027" max="1027" width="10.875" style="30" customWidth="1"/>
    <col min="1028" max="1028" width="8.75" style="30"/>
    <col min="1029" max="1029" width="12.75" style="30" customWidth="1"/>
    <col min="1030" max="1030" width="10.5" style="30" customWidth="1"/>
    <col min="1031" max="1031" width="11.25" style="30" customWidth="1"/>
    <col min="1032" max="1032" width="10.625" style="30" customWidth="1"/>
    <col min="1033" max="1033" width="12.75" style="30" customWidth="1"/>
    <col min="1034" max="1034" width="9" style="30" customWidth="1"/>
    <col min="1035" max="1035" width="10.875" style="30" customWidth="1"/>
    <col min="1036" max="1036" width="13.25" style="30" customWidth="1"/>
    <col min="1037" max="1038" width="9.25" style="30" customWidth="1"/>
    <col min="1039" max="1040" width="9.125" style="30" customWidth="1"/>
    <col min="1041" max="1041" width="11.75" style="30" customWidth="1"/>
    <col min="1042" max="1042" width="10.5" style="30" customWidth="1"/>
    <col min="1043" max="1043" width="9.125" style="30" customWidth="1"/>
    <col min="1044" max="1046" width="10.5" style="30" customWidth="1"/>
    <col min="1047" max="1047" width="9.125" style="30" customWidth="1"/>
    <col min="1048" max="1048" width="12.75" style="30" customWidth="1"/>
    <col min="1049" max="1050" width="10.5" style="30" customWidth="1"/>
    <col min="1051" max="1051" width="9.5" style="30" customWidth="1"/>
    <col min="1052" max="1052" width="9.125" style="30" customWidth="1"/>
    <col min="1053" max="1053" width="10.5" style="30" customWidth="1"/>
    <col min="1054" max="1054" width="12.75" style="30" customWidth="1"/>
    <col min="1055" max="1056" width="9.125" style="30" customWidth="1"/>
    <col min="1057" max="1057" width="10.5" style="30" customWidth="1"/>
    <col min="1058" max="1061" width="9.125" style="30" customWidth="1"/>
    <col min="1062" max="1062" width="9.5" style="30" customWidth="1"/>
    <col min="1063" max="1063" width="10.5" style="30" customWidth="1"/>
    <col min="1064" max="1064" width="9.125" style="30" customWidth="1"/>
    <col min="1065" max="1065" width="10.5" style="30" customWidth="1"/>
    <col min="1066" max="1067" width="9.125" style="30" customWidth="1"/>
    <col min="1068" max="1068" width="9.5" style="30" customWidth="1"/>
    <col min="1069" max="1069" width="9.125" style="30" customWidth="1"/>
    <col min="1070" max="1070" width="16.5" style="30" customWidth="1"/>
    <col min="1071" max="1071" width="18.125" style="30" customWidth="1"/>
    <col min="1072" max="1072" width="12.75" style="30" customWidth="1"/>
    <col min="1073" max="1075" width="9.125" style="30" customWidth="1"/>
    <col min="1076" max="1086" width="16" style="30" customWidth="1"/>
    <col min="1087" max="1087" width="10" style="30" customWidth="1"/>
    <col min="1088" max="1088" width="12.5" style="30" customWidth="1"/>
    <col min="1089" max="1090" width="10.5" style="30" bestFit="1" customWidth="1"/>
    <col min="1091" max="1092" width="9.125" style="30" bestFit="1" customWidth="1"/>
    <col min="1093" max="1093" width="10.5" style="30" bestFit="1" customWidth="1"/>
    <col min="1094" max="1094" width="13.5" style="30" customWidth="1"/>
    <col min="1095" max="1097" width="9.125" style="30" bestFit="1" customWidth="1"/>
    <col min="1098" max="1098" width="12.875" style="30" customWidth="1"/>
    <col min="1099" max="1100" width="9.125" style="30" bestFit="1" customWidth="1"/>
    <col min="1101" max="1101" width="11.5" style="30" customWidth="1"/>
    <col min="1102" max="1102" width="11.875" style="30" customWidth="1"/>
    <col min="1103" max="1103" width="10.5" style="30" customWidth="1"/>
    <col min="1104" max="1104" width="10.5" style="30" bestFit="1" customWidth="1"/>
    <col min="1105" max="1105" width="12.875" style="30" customWidth="1"/>
    <col min="1106" max="1106" width="12" style="30" customWidth="1"/>
    <col min="1107" max="1107" width="13.625" style="30" customWidth="1"/>
    <col min="1108" max="1108" width="16.5" style="30" customWidth="1"/>
    <col min="1109" max="1109" width="12" style="30" customWidth="1"/>
    <col min="1110" max="1110" width="12.875" style="30" customWidth="1"/>
    <col min="1111" max="1111" width="15.625" style="30" customWidth="1"/>
    <col min="1112" max="1112" width="9" style="30" customWidth="1"/>
    <col min="1113" max="1113" width="11.5" style="30" customWidth="1"/>
    <col min="1114" max="1114" width="9" style="30" customWidth="1"/>
    <col min="1115" max="1120" width="10.875" style="30" customWidth="1"/>
    <col min="1121" max="1121" width="16.625" style="30" customWidth="1"/>
    <col min="1122" max="1130" width="9" style="30" customWidth="1"/>
    <col min="1131" max="1131" width="15.375" style="30" customWidth="1"/>
    <col min="1132" max="1132" width="15.875" style="30" customWidth="1"/>
    <col min="1133" max="1151" width="9" style="30" customWidth="1"/>
    <col min="1152" max="1183" width="8.75" style="30"/>
    <col min="1184" max="1197" width="9" style="30" customWidth="1"/>
    <col min="1198" max="1279" width="8.75" style="30"/>
    <col min="1280" max="1280" width="9" style="30" customWidth="1"/>
    <col min="1281" max="1281" width="8.75" style="30"/>
    <col min="1282" max="1282" width="12.375" style="30" customWidth="1"/>
    <col min="1283" max="1283" width="10.875" style="30" customWidth="1"/>
    <col min="1284" max="1284" width="8.75" style="30"/>
    <col min="1285" max="1285" width="12.75" style="30" customWidth="1"/>
    <col min="1286" max="1286" width="10.5" style="30" customWidth="1"/>
    <col min="1287" max="1287" width="11.25" style="30" customWidth="1"/>
    <col min="1288" max="1288" width="10.625" style="30" customWidth="1"/>
    <col min="1289" max="1289" width="12.75" style="30" customWidth="1"/>
    <col min="1290" max="1290" width="9" style="30" customWidth="1"/>
    <col min="1291" max="1291" width="10.875" style="30" customWidth="1"/>
    <col min="1292" max="1292" width="13.25" style="30" customWidth="1"/>
    <col min="1293" max="1294" width="9.25" style="30" customWidth="1"/>
    <col min="1295" max="1296" width="9.125" style="30" customWidth="1"/>
    <col min="1297" max="1297" width="11.75" style="30" customWidth="1"/>
    <col min="1298" max="1298" width="10.5" style="30" customWidth="1"/>
    <col min="1299" max="1299" width="9.125" style="30" customWidth="1"/>
    <col min="1300" max="1302" width="10.5" style="30" customWidth="1"/>
    <col min="1303" max="1303" width="9.125" style="30" customWidth="1"/>
    <col min="1304" max="1304" width="12.75" style="30" customWidth="1"/>
    <col min="1305" max="1306" width="10.5" style="30" customWidth="1"/>
    <col min="1307" max="1307" width="9.5" style="30" customWidth="1"/>
    <col min="1308" max="1308" width="9.125" style="30" customWidth="1"/>
    <col min="1309" max="1309" width="10.5" style="30" customWidth="1"/>
    <col min="1310" max="1310" width="12.75" style="30" customWidth="1"/>
    <col min="1311" max="1312" width="9.125" style="30" customWidth="1"/>
    <col min="1313" max="1313" width="10.5" style="30" customWidth="1"/>
    <col min="1314" max="1317" width="9.125" style="30" customWidth="1"/>
    <col min="1318" max="1318" width="9.5" style="30" customWidth="1"/>
    <col min="1319" max="1319" width="10.5" style="30" customWidth="1"/>
    <col min="1320" max="1320" width="9.125" style="30" customWidth="1"/>
    <col min="1321" max="1321" width="10.5" style="30" customWidth="1"/>
    <col min="1322" max="1323" width="9.125" style="30" customWidth="1"/>
    <col min="1324" max="1324" width="9.5" style="30" customWidth="1"/>
    <col min="1325" max="1325" width="9.125" style="30" customWidth="1"/>
    <col min="1326" max="1326" width="16.5" style="30" customWidth="1"/>
    <col min="1327" max="1327" width="18.125" style="30" customWidth="1"/>
    <col min="1328" max="1328" width="12.75" style="30" customWidth="1"/>
    <col min="1329" max="1331" width="9.125" style="30" customWidth="1"/>
    <col min="1332" max="1342" width="16" style="30" customWidth="1"/>
    <col min="1343" max="1343" width="10" style="30" customWidth="1"/>
    <col min="1344" max="1344" width="12.5" style="30" customWidth="1"/>
    <col min="1345" max="1346" width="10.5" style="30" bestFit="1" customWidth="1"/>
    <col min="1347" max="1348" width="9.125" style="30" bestFit="1" customWidth="1"/>
    <col min="1349" max="1349" width="10.5" style="30" bestFit="1" customWidth="1"/>
    <col min="1350" max="1350" width="13.5" style="30" customWidth="1"/>
    <col min="1351" max="1353" width="9.125" style="30" bestFit="1" customWidth="1"/>
    <col min="1354" max="1354" width="12.875" style="30" customWidth="1"/>
    <col min="1355" max="1356" width="9.125" style="30" bestFit="1" customWidth="1"/>
    <col min="1357" max="1357" width="11.5" style="30" customWidth="1"/>
    <col min="1358" max="1358" width="11.875" style="30" customWidth="1"/>
    <col min="1359" max="1359" width="10.5" style="30" customWidth="1"/>
    <col min="1360" max="1360" width="10.5" style="30" bestFit="1" customWidth="1"/>
    <col min="1361" max="1361" width="12.875" style="30" customWidth="1"/>
    <col min="1362" max="1362" width="12" style="30" customWidth="1"/>
    <col min="1363" max="1363" width="13.625" style="30" customWidth="1"/>
    <col min="1364" max="1364" width="16.5" style="30" customWidth="1"/>
    <col min="1365" max="1365" width="12" style="30" customWidth="1"/>
    <col min="1366" max="1366" width="12.875" style="30" customWidth="1"/>
    <col min="1367" max="1367" width="15.625" style="30" customWidth="1"/>
    <col min="1368" max="1368" width="9" style="30" customWidth="1"/>
    <col min="1369" max="1369" width="11.5" style="30" customWidth="1"/>
    <col min="1370" max="1370" width="9" style="30" customWidth="1"/>
    <col min="1371" max="1376" width="10.875" style="30" customWidth="1"/>
    <col min="1377" max="1377" width="16.625" style="30" customWidth="1"/>
    <col min="1378" max="1386" width="9" style="30" customWidth="1"/>
    <col min="1387" max="1387" width="15.375" style="30" customWidth="1"/>
    <col min="1388" max="1388" width="15.875" style="30" customWidth="1"/>
    <col min="1389" max="1407" width="9" style="30" customWidth="1"/>
    <col min="1408" max="1439" width="8.75" style="30"/>
    <col min="1440" max="1453" width="9" style="30" customWidth="1"/>
    <col min="1454" max="1535" width="8.75" style="30"/>
    <col min="1536" max="1536" width="9" style="30" customWidth="1"/>
    <col min="1537" max="1537" width="8.75" style="30"/>
    <col min="1538" max="1538" width="12.375" style="30" customWidth="1"/>
    <col min="1539" max="1539" width="10.875" style="30" customWidth="1"/>
    <col min="1540" max="1540" width="8.75" style="30"/>
    <col min="1541" max="1541" width="12.75" style="30" customWidth="1"/>
    <col min="1542" max="1542" width="10.5" style="30" customWidth="1"/>
    <col min="1543" max="1543" width="11.25" style="30" customWidth="1"/>
    <col min="1544" max="1544" width="10.625" style="30" customWidth="1"/>
    <col min="1545" max="1545" width="12.75" style="30" customWidth="1"/>
    <col min="1546" max="1546" width="9" style="30" customWidth="1"/>
    <col min="1547" max="1547" width="10.875" style="30" customWidth="1"/>
    <col min="1548" max="1548" width="13.25" style="30" customWidth="1"/>
    <col min="1549" max="1550" width="9.25" style="30" customWidth="1"/>
    <col min="1551" max="1552" width="9.125" style="30" customWidth="1"/>
    <col min="1553" max="1553" width="11.75" style="30" customWidth="1"/>
    <col min="1554" max="1554" width="10.5" style="30" customWidth="1"/>
    <col min="1555" max="1555" width="9.125" style="30" customWidth="1"/>
    <col min="1556" max="1558" width="10.5" style="30" customWidth="1"/>
    <col min="1559" max="1559" width="9.125" style="30" customWidth="1"/>
    <col min="1560" max="1560" width="12.75" style="30" customWidth="1"/>
    <col min="1561" max="1562" width="10.5" style="30" customWidth="1"/>
    <col min="1563" max="1563" width="9.5" style="30" customWidth="1"/>
    <col min="1564" max="1564" width="9.125" style="30" customWidth="1"/>
    <col min="1565" max="1565" width="10.5" style="30" customWidth="1"/>
    <col min="1566" max="1566" width="12.75" style="30" customWidth="1"/>
    <col min="1567" max="1568" width="9.125" style="30" customWidth="1"/>
    <col min="1569" max="1569" width="10.5" style="30" customWidth="1"/>
    <col min="1570" max="1573" width="9.125" style="30" customWidth="1"/>
    <col min="1574" max="1574" width="9.5" style="30" customWidth="1"/>
    <col min="1575" max="1575" width="10.5" style="30" customWidth="1"/>
    <col min="1576" max="1576" width="9.125" style="30" customWidth="1"/>
    <col min="1577" max="1577" width="10.5" style="30" customWidth="1"/>
    <col min="1578" max="1579" width="9.125" style="30" customWidth="1"/>
    <col min="1580" max="1580" width="9.5" style="30" customWidth="1"/>
    <col min="1581" max="1581" width="9.125" style="30" customWidth="1"/>
    <col min="1582" max="1582" width="16.5" style="30" customWidth="1"/>
    <col min="1583" max="1583" width="18.125" style="30" customWidth="1"/>
    <col min="1584" max="1584" width="12.75" style="30" customWidth="1"/>
    <col min="1585" max="1587" width="9.125" style="30" customWidth="1"/>
    <col min="1588" max="1598" width="16" style="30" customWidth="1"/>
    <col min="1599" max="1599" width="10" style="30" customWidth="1"/>
    <col min="1600" max="1600" width="12.5" style="30" customWidth="1"/>
    <col min="1601" max="1602" width="10.5" style="30" bestFit="1" customWidth="1"/>
    <col min="1603" max="1604" width="9.125" style="30" bestFit="1" customWidth="1"/>
    <col min="1605" max="1605" width="10.5" style="30" bestFit="1" customWidth="1"/>
    <col min="1606" max="1606" width="13.5" style="30" customWidth="1"/>
    <col min="1607" max="1609" width="9.125" style="30" bestFit="1" customWidth="1"/>
    <col min="1610" max="1610" width="12.875" style="30" customWidth="1"/>
    <col min="1611" max="1612" width="9.125" style="30" bestFit="1" customWidth="1"/>
    <col min="1613" max="1613" width="11.5" style="30" customWidth="1"/>
    <col min="1614" max="1614" width="11.875" style="30" customWidth="1"/>
    <col min="1615" max="1615" width="10.5" style="30" customWidth="1"/>
    <col min="1616" max="1616" width="10.5" style="30" bestFit="1" customWidth="1"/>
    <col min="1617" max="1617" width="12.875" style="30" customWidth="1"/>
    <col min="1618" max="1618" width="12" style="30" customWidth="1"/>
    <col min="1619" max="1619" width="13.625" style="30" customWidth="1"/>
    <col min="1620" max="1620" width="16.5" style="30" customWidth="1"/>
    <col min="1621" max="1621" width="12" style="30" customWidth="1"/>
    <col min="1622" max="1622" width="12.875" style="30" customWidth="1"/>
    <col min="1623" max="1623" width="15.625" style="30" customWidth="1"/>
    <col min="1624" max="1624" width="9" style="30" customWidth="1"/>
    <col min="1625" max="1625" width="11.5" style="30" customWidth="1"/>
    <col min="1626" max="1626" width="9" style="30" customWidth="1"/>
    <col min="1627" max="1632" width="10.875" style="30" customWidth="1"/>
    <col min="1633" max="1633" width="16.625" style="30" customWidth="1"/>
    <col min="1634" max="1642" width="9" style="30" customWidth="1"/>
    <col min="1643" max="1643" width="15.375" style="30" customWidth="1"/>
    <col min="1644" max="1644" width="15.875" style="30" customWidth="1"/>
    <col min="1645" max="1663" width="9" style="30" customWidth="1"/>
    <col min="1664" max="1695" width="8.75" style="30"/>
    <col min="1696" max="1709" width="9" style="30" customWidth="1"/>
    <col min="1710" max="1791" width="8.75" style="30"/>
    <col min="1792" max="1792" width="9" style="30" customWidth="1"/>
    <col min="1793" max="1793" width="8.75" style="30"/>
    <col min="1794" max="1794" width="12.375" style="30" customWidth="1"/>
    <col min="1795" max="1795" width="10.875" style="30" customWidth="1"/>
    <col min="1796" max="1796" width="8.75" style="30"/>
    <col min="1797" max="1797" width="12.75" style="30" customWidth="1"/>
    <col min="1798" max="1798" width="10.5" style="30" customWidth="1"/>
    <col min="1799" max="1799" width="11.25" style="30" customWidth="1"/>
    <col min="1800" max="1800" width="10.625" style="30" customWidth="1"/>
    <col min="1801" max="1801" width="12.75" style="30" customWidth="1"/>
    <col min="1802" max="1802" width="9" style="30" customWidth="1"/>
    <col min="1803" max="1803" width="10.875" style="30" customWidth="1"/>
    <col min="1804" max="1804" width="13.25" style="30" customWidth="1"/>
    <col min="1805" max="1806" width="9.25" style="30" customWidth="1"/>
    <col min="1807" max="1808" width="9.125" style="30" customWidth="1"/>
    <col min="1809" max="1809" width="11.75" style="30" customWidth="1"/>
    <col min="1810" max="1810" width="10.5" style="30" customWidth="1"/>
    <col min="1811" max="1811" width="9.125" style="30" customWidth="1"/>
    <col min="1812" max="1814" width="10.5" style="30" customWidth="1"/>
    <col min="1815" max="1815" width="9.125" style="30" customWidth="1"/>
    <col min="1816" max="1816" width="12.75" style="30" customWidth="1"/>
    <col min="1817" max="1818" width="10.5" style="30" customWidth="1"/>
    <col min="1819" max="1819" width="9.5" style="30" customWidth="1"/>
    <col min="1820" max="1820" width="9.125" style="30" customWidth="1"/>
    <col min="1821" max="1821" width="10.5" style="30" customWidth="1"/>
    <col min="1822" max="1822" width="12.75" style="30" customWidth="1"/>
    <col min="1823" max="1824" width="9.125" style="30" customWidth="1"/>
    <col min="1825" max="1825" width="10.5" style="30" customWidth="1"/>
    <col min="1826" max="1829" width="9.125" style="30" customWidth="1"/>
    <col min="1830" max="1830" width="9.5" style="30" customWidth="1"/>
    <col min="1831" max="1831" width="10.5" style="30" customWidth="1"/>
    <col min="1832" max="1832" width="9.125" style="30" customWidth="1"/>
    <col min="1833" max="1833" width="10.5" style="30" customWidth="1"/>
    <col min="1834" max="1835" width="9.125" style="30" customWidth="1"/>
    <col min="1836" max="1836" width="9.5" style="30" customWidth="1"/>
    <col min="1837" max="1837" width="9.125" style="30" customWidth="1"/>
    <col min="1838" max="1838" width="16.5" style="30" customWidth="1"/>
    <col min="1839" max="1839" width="18.125" style="30" customWidth="1"/>
    <col min="1840" max="1840" width="12.75" style="30" customWidth="1"/>
    <col min="1841" max="1843" width="9.125" style="30" customWidth="1"/>
    <col min="1844" max="1854" width="16" style="30" customWidth="1"/>
    <col min="1855" max="1855" width="10" style="30" customWidth="1"/>
    <col min="1856" max="1856" width="12.5" style="30" customWidth="1"/>
    <col min="1857" max="1858" width="10.5" style="30" bestFit="1" customWidth="1"/>
    <col min="1859" max="1860" width="9.125" style="30" bestFit="1" customWidth="1"/>
    <col min="1861" max="1861" width="10.5" style="30" bestFit="1" customWidth="1"/>
    <col min="1862" max="1862" width="13.5" style="30" customWidth="1"/>
    <col min="1863" max="1865" width="9.125" style="30" bestFit="1" customWidth="1"/>
    <col min="1866" max="1866" width="12.875" style="30" customWidth="1"/>
    <col min="1867" max="1868" width="9.125" style="30" bestFit="1" customWidth="1"/>
    <col min="1869" max="1869" width="11.5" style="30" customWidth="1"/>
    <col min="1870" max="1870" width="11.875" style="30" customWidth="1"/>
    <col min="1871" max="1871" width="10.5" style="30" customWidth="1"/>
    <col min="1872" max="1872" width="10.5" style="30" bestFit="1" customWidth="1"/>
    <col min="1873" max="1873" width="12.875" style="30" customWidth="1"/>
    <col min="1874" max="1874" width="12" style="30" customWidth="1"/>
    <col min="1875" max="1875" width="13.625" style="30" customWidth="1"/>
    <col min="1876" max="1876" width="16.5" style="30" customWidth="1"/>
    <col min="1877" max="1877" width="12" style="30" customWidth="1"/>
    <col min="1878" max="1878" width="12.875" style="30" customWidth="1"/>
    <col min="1879" max="1879" width="15.625" style="30" customWidth="1"/>
    <col min="1880" max="1880" width="9" style="30" customWidth="1"/>
    <col min="1881" max="1881" width="11.5" style="30" customWidth="1"/>
    <col min="1882" max="1882" width="9" style="30" customWidth="1"/>
    <col min="1883" max="1888" width="10.875" style="30" customWidth="1"/>
    <col min="1889" max="1889" width="16.625" style="30" customWidth="1"/>
    <col min="1890" max="1898" width="9" style="30" customWidth="1"/>
    <col min="1899" max="1899" width="15.375" style="30" customWidth="1"/>
    <col min="1900" max="1900" width="15.875" style="30" customWidth="1"/>
    <col min="1901" max="1919" width="9" style="30" customWidth="1"/>
    <col min="1920" max="1951" width="8.75" style="30"/>
    <col min="1952" max="1965" width="9" style="30" customWidth="1"/>
    <col min="1966" max="2047" width="8.75" style="30"/>
    <col min="2048" max="2048" width="9" style="30" customWidth="1"/>
    <col min="2049" max="2049" width="8.75" style="30"/>
    <col min="2050" max="2050" width="12.375" style="30" customWidth="1"/>
    <col min="2051" max="2051" width="10.875" style="30" customWidth="1"/>
    <col min="2052" max="2052" width="8.75" style="30"/>
    <col min="2053" max="2053" width="12.75" style="30" customWidth="1"/>
    <col min="2054" max="2054" width="10.5" style="30" customWidth="1"/>
    <col min="2055" max="2055" width="11.25" style="30" customWidth="1"/>
    <col min="2056" max="2056" width="10.625" style="30" customWidth="1"/>
    <col min="2057" max="2057" width="12.75" style="30" customWidth="1"/>
    <col min="2058" max="2058" width="9" style="30" customWidth="1"/>
    <col min="2059" max="2059" width="10.875" style="30" customWidth="1"/>
    <col min="2060" max="2060" width="13.25" style="30" customWidth="1"/>
    <col min="2061" max="2062" width="9.25" style="30" customWidth="1"/>
    <col min="2063" max="2064" width="9.125" style="30" customWidth="1"/>
    <col min="2065" max="2065" width="11.75" style="30" customWidth="1"/>
    <col min="2066" max="2066" width="10.5" style="30" customWidth="1"/>
    <col min="2067" max="2067" width="9.125" style="30" customWidth="1"/>
    <col min="2068" max="2070" width="10.5" style="30" customWidth="1"/>
    <col min="2071" max="2071" width="9.125" style="30" customWidth="1"/>
    <col min="2072" max="2072" width="12.75" style="30" customWidth="1"/>
    <col min="2073" max="2074" width="10.5" style="30" customWidth="1"/>
    <col min="2075" max="2075" width="9.5" style="30" customWidth="1"/>
    <col min="2076" max="2076" width="9.125" style="30" customWidth="1"/>
    <col min="2077" max="2077" width="10.5" style="30" customWidth="1"/>
    <col min="2078" max="2078" width="12.75" style="30" customWidth="1"/>
    <col min="2079" max="2080" width="9.125" style="30" customWidth="1"/>
    <col min="2081" max="2081" width="10.5" style="30" customWidth="1"/>
    <col min="2082" max="2085" width="9.125" style="30" customWidth="1"/>
    <col min="2086" max="2086" width="9.5" style="30" customWidth="1"/>
    <col min="2087" max="2087" width="10.5" style="30" customWidth="1"/>
    <col min="2088" max="2088" width="9.125" style="30" customWidth="1"/>
    <col min="2089" max="2089" width="10.5" style="30" customWidth="1"/>
    <col min="2090" max="2091" width="9.125" style="30" customWidth="1"/>
    <col min="2092" max="2092" width="9.5" style="30" customWidth="1"/>
    <col min="2093" max="2093" width="9.125" style="30" customWidth="1"/>
    <col min="2094" max="2094" width="16.5" style="30" customWidth="1"/>
    <col min="2095" max="2095" width="18.125" style="30" customWidth="1"/>
    <col min="2096" max="2096" width="12.75" style="30" customWidth="1"/>
    <col min="2097" max="2099" width="9.125" style="30" customWidth="1"/>
    <col min="2100" max="2110" width="16" style="30" customWidth="1"/>
    <col min="2111" max="2111" width="10" style="30" customWidth="1"/>
    <col min="2112" max="2112" width="12.5" style="30" customWidth="1"/>
    <col min="2113" max="2114" width="10.5" style="30" bestFit="1" customWidth="1"/>
    <col min="2115" max="2116" width="9.125" style="30" bestFit="1" customWidth="1"/>
    <col min="2117" max="2117" width="10.5" style="30" bestFit="1" customWidth="1"/>
    <col min="2118" max="2118" width="13.5" style="30" customWidth="1"/>
    <col min="2119" max="2121" width="9.125" style="30" bestFit="1" customWidth="1"/>
    <col min="2122" max="2122" width="12.875" style="30" customWidth="1"/>
    <col min="2123" max="2124" width="9.125" style="30" bestFit="1" customWidth="1"/>
    <col min="2125" max="2125" width="11.5" style="30" customWidth="1"/>
    <col min="2126" max="2126" width="11.875" style="30" customWidth="1"/>
    <col min="2127" max="2127" width="10.5" style="30" customWidth="1"/>
    <col min="2128" max="2128" width="10.5" style="30" bestFit="1" customWidth="1"/>
    <col min="2129" max="2129" width="12.875" style="30" customWidth="1"/>
    <col min="2130" max="2130" width="12" style="30" customWidth="1"/>
    <col min="2131" max="2131" width="13.625" style="30" customWidth="1"/>
    <col min="2132" max="2132" width="16.5" style="30" customWidth="1"/>
    <col min="2133" max="2133" width="12" style="30" customWidth="1"/>
    <col min="2134" max="2134" width="12.875" style="30" customWidth="1"/>
    <col min="2135" max="2135" width="15.625" style="30" customWidth="1"/>
    <col min="2136" max="2136" width="9" style="30" customWidth="1"/>
    <col min="2137" max="2137" width="11.5" style="30" customWidth="1"/>
    <col min="2138" max="2138" width="9" style="30" customWidth="1"/>
    <col min="2139" max="2144" width="10.875" style="30" customWidth="1"/>
    <col min="2145" max="2145" width="16.625" style="30" customWidth="1"/>
    <col min="2146" max="2154" width="9" style="30" customWidth="1"/>
    <col min="2155" max="2155" width="15.375" style="30" customWidth="1"/>
    <col min="2156" max="2156" width="15.875" style="30" customWidth="1"/>
    <col min="2157" max="2175" width="9" style="30" customWidth="1"/>
    <col min="2176" max="2207" width="8.75" style="30"/>
    <col min="2208" max="2221" width="9" style="30" customWidth="1"/>
    <col min="2222" max="2303" width="8.75" style="30"/>
    <col min="2304" max="2304" width="9" style="30" customWidth="1"/>
    <col min="2305" max="2305" width="8.75" style="30"/>
    <col min="2306" max="2306" width="12.375" style="30" customWidth="1"/>
    <col min="2307" max="2307" width="10.875" style="30" customWidth="1"/>
    <col min="2308" max="2308" width="8.75" style="30"/>
    <col min="2309" max="2309" width="12.75" style="30" customWidth="1"/>
    <col min="2310" max="2310" width="10.5" style="30" customWidth="1"/>
    <col min="2311" max="2311" width="11.25" style="30" customWidth="1"/>
    <col min="2312" max="2312" width="10.625" style="30" customWidth="1"/>
    <col min="2313" max="2313" width="12.75" style="30" customWidth="1"/>
    <col min="2314" max="2314" width="9" style="30" customWidth="1"/>
    <col min="2315" max="2315" width="10.875" style="30" customWidth="1"/>
    <col min="2316" max="2316" width="13.25" style="30" customWidth="1"/>
    <col min="2317" max="2318" width="9.25" style="30" customWidth="1"/>
    <col min="2319" max="2320" width="9.125" style="30" customWidth="1"/>
    <col min="2321" max="2321" width="11.75" style="30" customWidth="1"/>
    <col min="2322" max="2322" width="10.5" style="30" customWidth="1"/>
    <col min="2323" max="2323" width="9.125" style="30" customWidth="1"/>
    <col min="2324" max="2326" width="10.5" style="30" customWidth="1"/>
    <col min="2327" max="2327" width="9.125" style="30" customWidth="1"/>
    <col min="2328" max="2328" width="12.75" style="30" customWidth="1"/>
    <col min="2329" max="2330" width="10.5" style="30" customWidth="1"/>
    <col min="2331" max="2331" width="9.5" style="30" customWidth="1"/>
    <col min="2332" max="2332" width="9.125" style="30" customWidth="1"/>
    <col min="2333" max="2333" width="10.5" style="30" customWidth="1"/>
    <col min="2334" max="2334" width="12.75" style="30" customWidth="1"/>
    <col min="2335" max="2336" width="9.125" style="30" customWidth="1"/>
    <col min="2337" max="2337" width="10.5" style="30" customWidth="1"/>
    <col min="2338" max="2341" width="9.125" style="30" customWidth="1"/>
    <col min="2342" max="2342" width="9.5" style="30" customWidth="1"/>
    <col min="2343" max="2343" width="10.5" style="30" customWidth="1"/>
    <col min="2344" max="2344" width="9.125" style="30" customWidth="1"/>
    <col min="2345" max="2345" width="10.5" style="30" customWidth="1"/>
    <col min="2346" max="2347" width="9.125" style="30" customWidth="1"/>
    <col min="2348" max="2348" width="9.5" style="30" customWidth="1"/>
    <col min="2349" max="2349" width="9.125" style="30" customWidth="1"/>
    <col min="2350" max="2350" width="16.5" style="30" customWidth="1"/>
    <col min="2351" max="2351" width="18.125" style="30" customWidth="1"/>
    <col min="2352" max="2352" width="12.75" style="30" customWidth="1"/>
    <col min="2353" max="2355" width="9.125" style="30" customWidth="1"/>
    <col min="2356" max="2366" width="16" style="30" customWidth="1"/>
    <col min="2367" max="2367" width="10" style="30" customWidth="1"/>
    <col min="2368" max="2368" width="12.5" style="30" customWidth="1"/>
    <col min="2369" max="2370" width="10.5" style="30" bestFit="1" customWidth="1"/>
    <col min="2371" max="2372" width="9.125" style="30" bestFit="1" customWidth="1"/>
    <col min="2373" max="2373" width="10.5" style="30" bestFit="1" customWidth="1"/>
    <col min="2374" max="2374" width="13.5" style="30" customWidth="1"/>
    <col min="2375" max="2377" width="9.125" style="30" bestFit="1" customWidth="1"/>
    <col min="2378" max="2378" width="12.875" style="30" customWidth="1"/>
    <col min="2379" max="2380" width="9.125" style="30" bestFit="1" customWidth="1"/>
    <col min="2381" max="2381" width="11.5" style="30" customWidth="1"/>
    <col min="2382" max="2382" width="11.875" style="30" customWidth="1"/>
    <col min="2383" max="2383" width="10.5" style="30" customWidth="1"/>
    <col min="2384" max="2384" width="10.5" style="30" bestFit="1" customWidth="1"/>
    <col min="2385" max="2385" width="12.875" style="30" customWidth="1"/>
    <col min="2386" max="2386" width="12" style="30" customWidth="1"/>
    <col min="2387" max="2387" width="13.625" style="30" customWidth="1"/>
    <col min="2388" max="2388" width="16.5" style="30" customWidth="1"/>
    <col min="2389" max="2389" width="12" style="30" customWidth="1"/>
    <col min="2390" max="2390" width="12.875" style="30" customWidth="1"/>
    <col min="2391" max="2391" width="15.625" style="30" customWidth="1"/>
    <col min="2392" max="2392" width="9" style="30" customWidth="1"/>
    <col min="2393" max="2393" width="11.5" style="30" customWidth="1"/>
    <col min="2394" max="2394" width="9" style="30" customWidth="1"/>
    <col min="2395" max="2400" width="10.875" style="30" customWidth="1"/>
    <col min="2401" max="2401" width="16.625" style="30" customWidth="1"/>
    <col min="2402" max="2410" width="9" style="30" customWidth="1"/>
    <col min="2411" max="2411" width="15.375" style="30" customWidth="1"/>
    <col min="2412" max="2412" width="15.875" style="30" customWidth="1"/>
    <col min="2413" max="2431" width="9" style="30" customWidth="1"/>
    <col min="2432" max="2463" width="8.75" style="30"/>
    <col min="2464" max="2477" width="9" style="30" customWidth="1"/>
    <col min="2478" max="2559" width="8.75" style="30"/>
    <col min="2560" max="2560" width="9" style="30" customWidth="1"/>
    <col min="2561" max="2561" width="8.75" style="30"/>
    <col min="2562" max="2562" width="12.375" style="30" customWidth="1"/>
    <col min="2563" max="2563" width="10.875" style="30" customWidth="1"/>
    <col min="2564" max="2564" width="8.75" style="30"/>
    <col min="2565" max="2565" width="12.75" style="30" customWidth="1"/>
    <col min="2566" max="2566" width="10.5" style="30" customWidth="1"/>
    <col min="2567" max="2567" width="11.25" style="30" customWidth="1"/>
    <col min="2568" max="2568" width="10.625" style="30" customWidth="1"/>
    <col min="2569" max="2569" width="12.75" style="30" customWidth="1"/>
    <col min="2570" max="2570" width="9" style="30" customWidth="1"/>
    <col min="2571" max="2571" width="10.875" style="30" customWidth="1"/>
    <col min="2572" max="2572" width="13.25" style="30" customWidth="1"/>
    <col min="2573" max="2574" width="9.25" style="30" customWidth="1"/>
    <col min="2575" max="2576" width="9.125" style="30" customWidth="1"/>
    <col min="2577" max="2577" width="11.75" style="30" customWidth="1"/>
    <col min="2578" max="2578" width="10.5" style="30" customWidth="1"/>
    <col min="2579" max="2579" width="9.125" style="30" customWidth="1"/>
    <col min="2580" max="2582" width="10.5" style="30" customWidth="1"/>
    <col min="2583" max="2583" width="9.125" style="30" customWidth="1"/>
    <col min="2584" max="2584" width="12.75" style="30" customWidth="1"/>
    <col min="2585" max="2586" width="10.5" style="30" customWidth="1"/>
    <col min="2587" max="2587" width="9.5" style="30" customWidth="1"/>
    <col min="2588" max="2588" width="9.125" style="30" customWidth="1"/>
    <col min="2589" max="2589" width="10.5" style="30" customWidth="1"/>
    <col min="2590" max="2590" width="12.75" style="30" customWidth="1"/>
    <col min="2591" max="2592" width="9.125" style="30" customWidth="1"/>
    <col min="2593" max="2593" width="10.5" style="30" customWidth="1"/>
    <col min="2594" max="2597" width="9.125" style="30" customWidth="1"/>
    <col min="2598" max="2598" width="9.5" style="30" customWidth="1"/>
    <col min="2599" max="2599" width="10.5" style="30" customWidth="1"/>
    <col min="2600" max="2600" width="9.125" style="30" customWidth="1"/>
    <col min="2601" max="2601" width="10.5" style="30" customWidth="1"/>
    <col min="2602" max="2603" width="9.125" style="30" customWidth="1"/>
    <col min="2604" max="2604" width="9.5" style="30" customWidth="1"/>
    <col min="2605" max="2605" width="9.125" style="30" customWidth="1"/>
    <col min="2606" max="2606" width="16.5" style="30" customWidth="1"/>
    <col min="2607" max="2607" width="18.125" style="30" customWidth="1"/>
    <col min="2608" max="2608" width="12.75" style="30" customWidth="1"/>
    <col min="2609" max="2611" width="9.125" style="30" customWidth="1"/>
    <col min="2612" max="2622" width="16" style="30" customWidth="1"/>
    <col min="2623" max="2623" width="10" style="30" customWidth="1"/>
    <col min="2624" max="2624" width="12.5" style="30" customWidth="1"/>
    <col min="2625" max="2626" width="10.5" style="30" bestFit="1" customWidth="1"/>
    <col min="2627" max="2628" width="9.125" style="30" bestFit="1" customWidth="1"/>
    <col min="2629" max="2629" width="10.5" style="30" bestFit="1" customWidth="1"/>
    <col min="2630" max="2630" width="13.5" style="30" customWidth="1"/>
    <col min="2631" max="2633" width="9.125" style="30" bestFit="1" customWidth="1"/>
    <col min="2634" max="2634" width="12.875" style="30" customWidth="1"/>
    <col min="2635" max="2636" width="9.125" style="30" bestFit="1" customWidth="1"/>
    <col min="2637" max="2637" width="11.5" style="30" customWidth="1"/>
    <col min="2638" max="2638" width="11.875" style="30" customWidth="1"/>
    <col min="2639" max="2639" width="10.5" style="30" customWidth="1"/>
    <col min="2640" max="2640" width="10.5" style="30" bestFit="1" customWidth="1"/>
    <col min="2641" max="2641" width="12.875" style="30" customWidth="1"/>
    <col min="2642" max="2642" width="12" style="30" customWidth="1"/>
    <col min="2643" max="2643" width="13.625" style="30" customWidth="1"/>
    <col min="2644" max="2644" width="16.5" style="30" customWidth="1"/>
    <col min="2645" max="2645" width="12" style="30" customWidth="1"/>
    <col min="2646" max="2646" width="12.875" style="30" customWidth="1"/>
    <col min="2647" max="2647" width="15.625" style="30" customWidth="1"/>
    <col min="2648" max="2648" width="9" style="30" customWidth="1"/>
    <col min="2649" max="2649" width="11.5" style="30" customWidth="1"/>
    <col min="2650" max="2650" width="9" style="30" customWidth="1"/>
    <col min="2651" max="2656" width="10.875" style="30" customWidth="1"/>
    <col min="2657" max="2657" width="16.625" style="30" customWidth="1"/>
    <col min="2658" max="2666" width="9" style="30" customWidth="1"/>
    <col min="2667" max="2667" width="15.375" style="30" customWidth="1"/>
    <col min="2668" max="2668" width="15.875" style="30" customWidth="1"/>
    <col min="2669" max="2687" width="9" style="30" customWidth="1"/>
    <col min="2688" max="2719" width="8.75" style="30"/>
    <col min="2720" max="2733" width="9" style="30" customWidth="1"/>
    <col min="2734" max="2815" width="8.75" style="30"/>
    <col min="2816" max="2816" width="9" style="30" customWidth="1"/>
    <col min="2817" max="2817" width="8.75" style="30"/>
    <col min="2818" max="2818" width="12.375" style="30" customWidth="1"/>
    <col min="2819" max="2819" width="10.875" style="30" customWidth="1"/>
    <col min="2820" max="2820" width="8.75" style="30"/>
    <col min="2821" max="2821" width="12.75" style="30" customWidth="1"/>
    <col min="2822" max="2822" width="10.5" style="30" customWidth="1"/>
    <col min="2823" max="2823" width="11.25" style="30" customWidth="1"/>
    <col min="2824" max="2824" width="10.625" style="30" customWidth="1"/>
    <col min="2825" max="2825" width="12.75" style="30" customWidth="1"/>
    <col min="2826" max="2826" width="9" style="30" customWidth="1"/>
    <col min="2827" max="2827" width="10.875" style="30" customWidth="1"/>
    <col min="2828" max="2828" width="13.25" style="30" customWidth="1"/>
    <col min="2829" max="2830" width="9.25" style="30" customWidth="1"/>
    <col min="2831" max="2832" width="9.125" style="30" customWidth="1"/>
    <col min="2833" max="2833" width="11.75" style="30" customWidth="1"/>
    <col min="2834" max="2834" width="10.5" style="30" customWidth="1"/>
    <col min="2835" max="2835" width="9.125" style="30" customWidth="1"/>
    <col min="2836" max="2838" width="10.5" style="30" customWidth="1"/>
    <col min="2839" max="2839" width="9.125" style="30" customWidth="1"/>
    <col min="2840" max="2840" width="12.75" style="30" customWidth="1"/>
    <col min="2841" max="2842" width="10.5" style="30" customWidth="1"/>
    <col min="2843" max="2843" width="9.5" style="30" customWidth="1"/>
    <col min="2844" max="2844" width="9.125" style="30" customWidth="1"/>
    <col min="2845" max="2845" width="10.5" style="30" customWidth="1"/>
    <col min="2846" max="2846" width="12.75" style="30" customWidth="1"/>
    <col min="2847" max="2848" width="9.125" style="30" customWidth="1"/>
    <col min="2849" max="2849" width="10.5" style="30" customWidth="1"/>
    <col min="2850" max="2853" width="9.125" style="30" customWidth="1"/>
    <col min="2854" max="2854" width="9.5" style="30" customWidth="1"/>
    <col min="2855" max="2855" width="10.5" style="30" customWidth="1"/>
    <col min="2856" max="2856" width="9.125" style="30" customWidth="1"/>
    <col min="2857" max="2857" width="10.5" style="30" customWidth="1"/>
    <col min="2858" max="2859" width="9.125" style="30" customWidth="1"/>
    <col min="2860" max="2860" width="9.5" style="30" customWidth="1"/>
    <col min="2861" max="2861" width="9.125" style="30" customWidth="1"/>
    <col min="2862" max="2862" width="16.5" style="30" customWidth="1"/>
    <col min="2863" max="2863" width="18.125" style="30" customWidth="1"/>
    <col min="2864" max="2864" width="12.75" style="30" customWidth="1"/>
    <col min="2865" max="2867" width="9.125" style="30" customWidth="1"/>
    <col min="2868" max="2878" width="16" style="30" customWidth="1"/>
    <col min="2879" max="2879" width="10" style="30" customWidth="1"/>
    <col min="2880" max="2880" width="12.5" style="30" customWidth="1"/>
    <col min="2881" max="2882" width="10.5" style="30" bestFit="1" customWidth="1"/>
    <col min="2883" max="2884" width="9.125" style="30" bestFit="1" customWidth="1"/>
    <col min="2885" max="2885" width="10.5" style="30" bestFit="1" customWidth="1"/>
    <col min="2886" max="2886" width="13.5" style="30" customWidth="1"/>
    <col min="2887" max="2889" width="9.125" style="30" bestFit="1" customWidth="1"/>
    <col min="2890" max="2890" width="12.875" style="30" customWidth="1"/>
    <col min="2891" max="2892" width="9.125" style="30" bestFit="1" customWidth="1"/>
    <col min="2893" max="2893" width="11.5" style="30" customWidth="1"/>
    <col min="2894" max="2894" width="11.875" style="30" customWidth="1"/>
    <col min="2895" max="2895" width="10.5" style="30" customWidth="1"/>
    <col min="2896" max="2896" width="10.5" style="30" bestFit="1" customWidth="1"/>
    <col min="2897" max="2897" width="12.875" style="30" customWidth="1"/>
    <col min="2898" max="2898" width="12" style="30" customWidth="1"/>
    <col min="2899" max="2899" width="13.625" style="30" customWidth="1"/>
    <col min="2900" max="2900" width="16.5" style="30" customWidth="1"/>
    <col min="2901" max="2901" width="12" style="30" customWidth="1"/>
    <col min="2902" max="2902" width="12.875" style="30" customWidth="1"/>
    <col min="2903" max="2903" width="15.625" style="30" customWidth="1"/>
    <col min="2904" max="2904" width="9" style="30" customWidth="1"/>
    <col min="2905" max="2905" width="11.5" style="30" customWidth="1"/>
    <col min="2906" max="2906" width="9" style="30" customWidth="1"/>
    <col min="2907" max="2912" width="10.875" style="30" customWidth="1"/>
    <col min="2913" max="2913" width="16.625" style="30" customWidth="1"/>
    <col min="2914" max="2922" width="9" style="30" customWidth="1"/>
    <col min="2923" max="2923" width="15.375" style="30" customWidth="1"/>
    <col min="2924" max="2924" width="15.875" style="30" customWidth="1"/>
    <col min="2925" max="2943" width="9" style="30" customWidth="1"/>
    <col min="2944" max="2975" width="8.75" style="30"/>
    <col min="2976" max="2989" width="9" style="30" customWidth="1"/>
    <col min="2990" max="3071" width="8.75" style="30"/>
    <col min="3072" max="3072" width="9" style="30" customWidth="1"/>
    <col min="3073" max="3073" width="8.75" style="30"/>
    <col min="3074" max="3074" width="12.375" style="30" customWidth="1"/>
    <col min="3075" max="3075" width="10.875" style="30" customWidth="1"/>
    <col min="3076" max="3076" width="8.75" style="30"/>
    <col min="3077" max="3077" width="12.75" style="30" customWidth="1"/>
    <col min="3078" max="3078" width="10.5" style="30" customWidth="1"/>
    <col min="3079" max="3079" width="11.25" style="30" customWidth="1"/>
    <col min="3080" max="3080" width="10.625" style="30" customWidth="1"/>
    <col min="3081" max="3081" width="12.75" style="30" customWidth="1"/>
    <col min="3082" max="3082" width="9" style="30" customWidth="1"/>
    <col min="3083" max="3083" width="10.875" style="30" customWidth="1"/>
    <col min="3084" max="3084" width="13.25" style="30" customWidth="1"/>
    <col min="3085" max="3086" width="9.25" style="30" customWidth="1"/>
    <col min="3087" max="3088" width="9.125" style="30" customWidth="1"/>
    <col min="3089" max="3089" width="11.75" style="30" customWidth="1"/>
    <col min="3090" max="3090" width="10.5" style="30" customWidth="1"/>
    <col min="3091" max="3091" width="9.125" style="30" customWidth="1"/>
    <col min="3092" max="3094" width="10.5" style="30" customWidth="1"/>
    <col min="3095" max="3095" width="9.125" style="30" customWidth="1"/>
    <col min="3096" max="3096" width="12.75" style="30" customWidth="1"/>
    <col min="3097" max="3098" width="10.5" style="30" customWidth="1"/>
    <col min="3099" max="3099" width="9.5" style="30" customWidth="1"/>
    <col min="3100" max="3100" width="9.125" style="30" customWidth="1"/>
    <col min="3101" max="3101" width="10.5" style="30" customWidth="1"/>
    <col min="3102" max="3102" width="12.75" style="30" customWidth="1"/>
    <col min="3103" max="3104" width="9.125" style="30" customWidth="1"/>
    <col min="3105" max="3105" width="10.5" style="30" customWidth="1"/>
    <col min="3106" max="3109" width="9.125" style="30" customWidth="1"/>
    <col min="3110" max="3110" width="9.5" style="30" customWidth="1"/>
    <col min="3111" max="3111" width="10.5" style="30" customWidth="1"/>
    <col min="3112" max="3112" width="9.125" style="30" customWidth="1"/>
    <col min="3113" max="3113" width="10.5" style="30" customWidth="1"/>
    <col min="3114" max="3115" width="9.125" style="30" customWidth="1"/>
    <col min="3116" max="3116" width="9.5" style="30" customWidth="1"/>
    <col min="3117" max="3117" width="9.125" style="30" customWidth="1"/>
    <col min="3118" max="3118" width="16.5" style="30" customWidth="1"/>
    <col min="3119" max="3119" width="18.125" style="30" customWidth="1"/>
    <col min="3120" max="3120" width="12.75" style="30" customWidth="1"/>
    <col min="3121" max="3123" width="9.125" style="30" customWidth="1"/>
    <col min="3124" max="3134" width="16" style="30" customWidth="1"/>
    <col min="3135" max="3135" width="10" style="30" customWidth="1"/>
    <col min="3136" max="3136" width="12.5" style="30" customWidth="1"/>
    <col min="3137" max="3138" width="10.5" style="30" bestFit="1" customWidth="1"/>
    <col min="3139" max="3140" width="9.125" style="30" bestFit="1" customWidth="1"/>
    <col min="3141" max="3141" width="10.5" style="30" bestFit="1" customWidth="1"/>
    <col min="3142" max="3142" width="13.5" style="30" customWidth="1"/>
    <col min="3143" max="3145" width="9.125" style="30" bestFit="1" customWidth="1"/>
    <col min="3146" max="3146" width="12.875" style="30" customWidth="1"/>
    <col min="3147" max="3148" width="9.125" style="30" bestFit="1" customWidth="1"/>
    <col min="3149" max="3149" width="11.5" style="30" customWidth="1"/>
    <col min="3150" max="3150" width="11.875" style="30" customWidth="1"/>
    <col min="3151" max="3151" width="10.5" style="30" customWidth="1"/>
    <col min="3152" max="3152" width="10.5" style="30" bestFit="1" customWidth="1"/>
    <col min="3153" max="3153" width="12.875" style="30" customWidth="1"/>
    <col min="3154" max="3154" width="12" style="30" customWidth="1"/>
    <col min="3155" max="3155" width="13.625" style="30" customWidth="1"/>
    <col min="3156" max="3156" width="16.5" style="30" customWidth="1"/>
    <col min="3157" max="3157" width="12" style="30" customWidth="1"/>
    <col min="3158" max="3158" width="12.875" style="30" customWidth="1"/>
    <col min="3159" max="3159" width="15.625" style="30" customWidth="1"/>
    <col min="3160" max="3160" width="9" style="30" customWidth="1"/>
    <col min="3161" max="3161" width="11.5" style="30" customWidth="1"/>
    <col min="3162" max="3162" width="9" style="30" customWidth="1"/>
    <col min="3163" max="3168" width="10.875" style="30" customWidth="1"/>
    <col min="3169" max="3169" width="16.625" style="30" customWidth="1"/>
    <col min="3170" max="3178" width="9" style="30" customWidth="1"/>
    <col min="3179" max="3179" width="15.375" style="30" customWidth="1"/>
    <col min="3180" max="3180" width="15.875" style="30" customWidth="1"/>
    <col min="3181" max="3199" width="9" style="30" customWidth="1"/>
    <col min="3200" max="3231" width="8.75" style="30"/>
    <col min="3232" max="3245" width="9" style="30" customWidth="1"/>
    <col min="3246" max="3327" width="8.75" style="30"/>
    <col min="3328" max="3328" width="9" style="30" customWidth="1"/>
    <col min="3329" max="3329" width="8.75" style="30"/>
    <col min="3330" max="3330" width="12.375" style="30" customWidth="1"/>
    <col min="3331" max="3331" width="10.875" style="30" customWidth="1"/>
    <col min="3332" max="3332" width="8.75" style="30"/>
    <col min="3333" max="3333" width="12.75" style="30" customWidth="1"/>
    <col min="3334" max="3334" width="10.5" style="30" customWidth="1"/>
    <col min="3335" max="3335" width="11.25" style="30" customWidth="1"/>
    <col min="3336" max="3336" width="10.625" style="30" customWidth="1"/>
    <col min="3337" max="3337" width="12.75" style="30" customWidth="1"/>
    <col min="3338" max="3338" width="9" style="30" customWidth="1"/>
    <col min="3339" max="3339" width="10.875" style="30" customWidth="1"/>
    <col min="3340" max="3340" width="13.25" style="30" customWidth="1"/>
    <col min="3341" max="3342" width="9.25" style="30" customWidth="1"/>
    <col min="3343" max="3344" width="9.125" style="30" customWidth="1"/>
    <col min="3345" max="3345" width="11.75" style="30" customWidth="1"/>
    <col min="3346" max="3346" width="10.5" style="30" customWidth="1"/>
    <col min="3347" max="3347" width="9.125" style="30" customWidth="1"/>
    <col min="3348" max="3350" width="10.5" style="30" customWidth="1"/>
    <col min="3351" max="3351" width="9.125" style="30" customWidth="1"/>
    <col min="3352" max="3352" width="12.75" style="30" customWidth="1"/>
    <col min="3353" max="3354" width="10.5" style="30" customWidth="1"/>
    <col min="3355" max="3355" width="9.5" style="30" customWidth="1"/>
    <col min="3356" max="3356" width="9.125" style="30" customWidth="1"/>
    <col min="3357" max="3357" width="10.5" style="30" customWidth="1"/>
    <col min="3358" max="3358" width="12.75" style="30" customWidth="1"/>
    <col min="3359" max="3360" width="9.125" style="30" customWidth="1"/>
    <col min="3361" max="3361" width="10.5" style="30" customWidth="1"/>
    <col min="3362" max="3365" width="9.125" style="30" customWidth="1"/>
    <col min="3366" max="3366" width="9.5" style="30" customWidth="1"/>
    <col min="3367" max="3367" width="10.5" style="30" customWidth="1"/>
    <col min="3368" max="3368" width="9.125" style="30" customWidth="1"/>
    <col min="3369" max="3369" width="10.5" style="30" customWidth="1"/>
    <col min="3370" max="3371" width="9.125" style="30" customWidth="1"/>
    <col min="3372" max="3372" width="9.5" style="30" customWidth="1"/>
    <col min="3373" max="3373" width="9.125" style="30" customWidth="1"/>
    <col min="3374" max="3374" width="16.5" style="30" customWidth="1"/>
    <col min="3375" max="3375" width="18.125" style="30" customWidth="1"/>
    <col min="3376" max="3376" width="12.75" style="30" customWidth="1"/>
    <col min="3377" max="3379" width="9.125" style="30" customWidth="1"/>
    <col min="3380" max="3390" width="16" style="30" customWidth="1"/>
    <col min="3391" max="3391" width="10" style="30" customWidth="1"/>
    <col min="3392" max="3392" width="12.5" style="30" customWidth="1"/>
    <col min="3393" max="3394" width="10.5" style="30" bestFit="1" customWidth="1"/>
    <col min="3395" max="3396" width="9.125" style="30" bestFit="1" customWidth="1"/>
    <col min="3397" max="3397" width="10.5" style="30" bestFit="1" customWidth="1"/>
    <col min="3398" max="3398" width="13.5" style="30" customWidth="1"/>
    <col min="3399" max="3401" width="9.125" style="30" bestFit="1" customWidth="1"/>
    <col min="3402" max="3402" width="12.875" style="30" customWidth="1"/>
    <col min="3403" max="3404" width="9.125" style="30" bestFit="1" customWidth="1"/>
    <col min="3405" max="3405" width="11.5" style="30" customWidth="1"/>
    <col min="3406" max="3406" width="11.875" style="30" customWidth="1"/>
    <col min="3407" max="3407" width="10.5" style="30" customWidth="1"/>
    <col min="3408" max="3408" width="10.5" style="30" bestFit="1" customWidth="1"/>
    <col min="3409" max="3409" width="12.875" style="30" customWidth="1"/>
    <col min="3410" max="3410" width="12" style="30" customWidth="1"/>
    <col min="3411" max="3411" width="13.625" style="30" customWidth="1"/>
    <col min="3412" max="3412" width="16.5" style="30" customWidth="1"/>
    <col min="3413" max="3413" width="12" style="30" customWidth="1"/>
    <col min="3414" max="3414" width="12.875" style="30" customWidth="1"/>
    <col min="3415" max="3415" width="15.625" style="30" customWidth="1"/>
    <col min="3416" max="3416" width="9" style="30" customWidth="1"/>
    <col min="3417" max="3417" width="11.5" style="30" customWidth="1"/>
    <col min="3418" max="3418" width="9" style="30" customWidth="1"/>
    <col min="3419" max="3424" width="10.875" style="30" customWidth="1"/>
    <col min="3425" max="3425" width="16.625" style="30" customWidth="1"/>
    <col min="3426" max="3434" width="9" style="30" customWidth="1"/>
    <col min="3435" max="3435" width="15.375" style="30" customWidth="1"/>
    <col min="3436" max="3436" width="15.875" style="30" customWidth="1"/>
    <col min="3437" max="3455" width="9" style="30" customWidth="1"/>
    <col min="3456" max="3487" width="8.75" style="30"/>
    <col min="3488" max="3501" width="9" style="30" customWidth="1"/>
    <col min="3502" max="3583" width="8.75" style="30"/>
    <col min="3584" max="3584" width="9" style="30" customWidth="1"/>
    <col min="3585" max="3585" width="8.75" style="30"/>
    <col min="3586" max="3586" width="12.375" style="30" customWidth="1"/>
    <col min="3587" max="3587" width="10.875" style="30" customWidth="1"/>
    <col min="3588" max="3588" width="8.75" style="30"/>
    <col min="3589" max="3589" width="12.75" style="30" customWidth="1"/>
    <col min="3590" max="3590" width="10.5" style="30" customWidth="1"/>
    <col min="3591" max="3591" width="11.25" style="30" customWidth="1"/>
    <col min="3592" max="3592" width="10.625" style="30" customWidth="1"/>
    <col min="3593" max="3593" width="12.75" style="30" customWidth="1"/>
    <col min="3594" max="3594" width="9" style="30" customWidth="1"/>
    <col min="3595" max="3595" width="10.875" style="30" customWidth="1"/>
    <col min="3596" max="3596" width="13.25" style="30" customWidth="1"/>
    <col min="3597" max="3598" width="9.25" style="30" customWidth="1"/>
    <col min="3599" max="3600" width="9.125" style="30" customWidth="1"/>
    <col min="3601" max="3601" width="11.75" style="30" customWidth="1"/>
    <col min="3602" max="3602" width="10.5" style="30" customWidth="1"/>
    <col min="3603" max="3603" width="9.125" style="30" customWidth="1"/>
    <col min="3604" max="3606" width="10.5" style="30" customWidth="1"/>
    <col min="3607" max="3607" width="9.125" style="30" customWidth="1"/>
    <col min="3608" max="3608" width="12.75" style="30" customWidth="1"/>
    <col min="3609" max="3610" width="10.5" style="30" customWidth="1"/>
    <col min="3611" max="3611" width="9.5" style="30" customWidth="1"/>
    <col min="3612" max="3612" width="9.125" style="30" customWidth="1"/>
    <col min="3613" max="3613" width="10.5" style="30" customWidth="1"/>
    <col min="3614" max="3614" width="12.75" style="30" customWidth="1"/>
    <col min="3615" max="3616" width="9.125" style="30" customWidth="1"/>
    <col min="3617" max="3617" width="10.5" style="30" customWidth="1"/>
    <col min="3618" max="3621" width="9.125" style="30" customWidth="1"/>
    <col min="3622" max="3622" width="9.5" style="30" customWidth="1"/>
    <col min="3623" max="3623" width="10.5" style="30" customWidth="1"/>
    <col min="3624" max="3624" width="9.125" style="30" customWidth="1"/>
    <col min="3625" max="3625" width="10.5" style="30" customWidth="1"/>
    <col min="3626" max="3627" width="9.125" style="30" customWidth="1"/>
    <col min="3628" max="3628" width="9.5" style="30" customWidth="1"/>
    <col min="3629" max="3629" width="9.125" style="30" customWidth="1"/>
    <col min="3630" max="3630" width="16.5" style="30" customWidth="1"/>
    <col min="3631" max="3631" width="18.125" style="30" customWidth="1"/>
    <col min="3632" max="3632" width="12.75" style="30" customWidth="1"/>
    <col min="3633" max="3635" width="9.125" style="30" customWidth="1"/>
    <col min="3636" max="3646" width="16" style="30" customWidth="1"/>
    <col min="3647" max="3647" width="10" style="30" customWidth="1"/>
    <col min="3648" max="3648" width="12.5" style="30" customWidth="1"/>
    <col min="3649" max="3650" width="10.5" style="30" bestFit="1" customWidth="1"/>
    <col min="3651" max="3652" width="9.125" style="30" bestFit="1" customWidth="1"/>
    <col min="3653" max="3653" width="10.5" style="30" bestFit="1" customWidth="1"/>
    <col min="3654" max="3654" width="13.5" style="30" customWidth="1"/>
    <col min="3655" max="3657" width="9.125" style="30" bestFit="1" customWidth="1"/>
    <col min="3658" max="3658" width="12.875" style="30" customWidth="1"/>
    <col min="3659" max="3660" width="9.125" style="30" bestFit="1" customWidth="1"/>
    <col min="3661" max="3661" width="11.5" style="30" customWidth="1"/>
    <col min="3662" max="3662" width="11.875" style="30" customWidth="1"/>
    <col min="3663" max="3663" width="10.5" style="30" customWidth="1"/>
    <col min="3664" max="3664" width="10.5" style="30" bestFit="1" customWidth="1"/>
    <col min="3665" max="3665" width="12.875" style="30" customWidth="1"/>
    <col min="3666" max="3666" width="12" style="30" customWidth="1"/>
    <col min="3667" max="3667" width="13.625" style="30" customWidth="1"/>
    <col min="3668" max="3668" width="16.5" style="30" customWidth="1"/>
    <col min="3669" max="3669" width="12" style="30" customWidth="1"/>
    <col min="3670" max="3670" width="12.875" style="30" customWidth="1"/>
    <col min="3671" max="3671" width="15.625" style="30" customWidth="1"/>
    <col min="3672" max="3672" width="9" style="30" customWidth="1"/>
    <col min="3673" max="3673" width="11.5" style="30" customWidth="1"/>
    <col min="3674" max="3674" width="9" style="30" customWidth="1"/>
    <col min="3675" max="3680" width="10.875" style="30" customWidth="1"/>
    <col min="3681" max="3681" width="16.625" style="30" customWidth="1"/>
    <col min="3682" max="3690" width="9" style="30" customWidth="1"/>
    <col min="3691" max="3691" width="15.375" style="30" customWidth="1"/>
    <col min="3692" max="3692" width="15.875" style="30" customWidth="1"/>
    <col min="3693" max="3711" width="9" style="30" customWidth="1"/>
    <col min="3712" max="3743" width="8.75" style="30"/>
    <col min="3744" max="3757" width="9" style="30" customWidth="1"/>
    <col min="3758" max="3839" width="8.75" style="30"/>
    <col min="3840" max="3840" width="9" style="30" customWidth="1"/>
    <col min="3841" max="3841" width="8.75" style="30"/>
    <col min="3842" max="3842" width="12.375" style="30" customWidth="1"/>
    <col min="3843" max="3843" width="10.875" style="30" customWidth="1"/>
    <col min="3844" max="3844" width="8.75" style="30"/>
    <col min="3845" max="3845" width="12.75" style="30" customWidth="1"/>
    <col min="3846" max="3846" width="10.5" style="30" customWidth="1"/>
    <col min="3847" max="3847" width="11.25" style="30" customWidth="1"/>
    <col min="3848" max="3848" width="10.625" style="30" customWidth="1"/>
    <col min="3849" max="3849" width="12.75" style="30" customWidth="1"/>
    <col min="3850" max="3850" width="9" style="30" customWidth="1"/>
    <col min="3851" max="3851" width="10.875" style="30" customWidth="1"/>
    <col min="3852" max="3852" width="13.25" style="30" customWidth="1"/>
    <col min="3853" max="3854" width="9.25" style="30" customWidth="1"/>
    <col min="3855" max="3856" width="9.125" style="30" customWidth="1"/>
    <col min="3857" max="3857" width="11.75" style="30" customWidth="1"/>
    <col min="3858" max="3858" width="10.5" style="30" customWidth="1"/>
    <col min="3859" max="3859" width="9.125" style="30" customWidth="1"/>
    <col min="3860" max="3862" width="10.5" style="30" customWidth="1"/>
    <col min="3863" max="3863" width="9.125" style="30" customWidth="1"/>
    <col min="3864" max="3864" width="12.75" style="30" customWidth="1"/>
    <col min="3865" max="3866" width="10.5" style="30" customWidth="1"/>
    <col min="3867" max="3867" width="9.5" style="30" customWidth="1"/>
    <col min="3868" max="3868" width="9.125" style="30" customWidth="1"/>
    <col min="3869" max="3869" width="10.5" style="30" customWidth="1"/>
    <col min="3870" max="3870" width="12.75" style="30" customWidth="1"/>
    <col min="3871" max="3872" width="9.125" style="30" customWidth="1"/>
    <col min="3873" max="3873" width="10.5" style="30" customWidth="1"/>
    <col min="3874" max="3877" width="9.125" style="30" customWidth="1"/>
    <col min="3878" max="3878" width="9.5" style="30" customWidth="1"/>
    <col min="3879" max="3879" width="10.5" style="30" customWidth="1"/>
    <col min="3880" max="3880" width="9.125" style="30" customWidth="1"/>
    <col min="3881" max="3881" width="10.5" style="30" customWidth="1"/>
    <col min="3882" max="3883" width="9.125" style="30" customWidth="1"/>
    <col min="3884" max="3884" width="9.5" style="30" customWidth="1"/>
    <col min="3885" max="3885" width="9.125" style="30" customWidth="1"/>
    <col min="3886" max="3886" width="16.5" style="30" customWidth="1"/>
    <col min="3887" max="3887" width="18.125" style="30" customWidth="1"/>
    <col min="3888" max="3888" width="12.75" style="30" customWidth="1"/>
    <col min="3889" max="3891" width="9.125" style="30" customWidth="1"/>
    <col min="3892" max="3902" width="16" style="30" customWidth="1"/>
    <col min="3903" max="3903" width="10" style="30" customWidth="1"/>
    <col min="3904" max="3904" width="12.5" style="30" customWidth="1"/>
    <col min="3905" max="3906" width="10.5" style="30" bestFit="1" customWidth="1"/>
    <col min="3907" max="3908" width="9.125" style="30" bestFit="1" customWidth="1"/>
    <col min="3909" max="3909" width="10.5" style="30" bestFit="1" customWidth="1"/>
    <col min="3910" max="3910" width="13.5" style="30" customWidth="1"/>
    <col min="3911" max="3913" width="9.125" style="30" bestFit="1" customWidth="1"/>
    <col min="3914" max="3914" width="12.875" style="30" customWidth="1"/>
    <col min="3915" max="3916" width="9.125" style="30" bestFit="1" customWidth="1"/>
    <col min="3917" max="3917" width="11.5" style="30" customWidth="1"/>
    <col min="3918" max="3918" width="11.875" style="30" customWidth="1"/>
    <col min="3919" max="3919" width="10.5" style="30" customWidth="1"/>
    <col min="3920" max="3920" width="10.5" style="30" bestFit="1" customWidth="1"/>
    <col min="3921" max="3921" width="12.875" style="30" customWidth="1"/>
    <col min="3922" max="3922" width="12" style="30" customWidth="1"/>
    <col min="3923" max="3923" width="13.625" style="30" customWidth="1"/>
    <col min="3924" max="3924" width="16.5" style="30" customWidth="1"/>
    <col min="3925" max="3925" width="12" style="30" customWidth="1"/>
    <col min="3926" max="3926" width="12.875" style="30" customWidth="1"/>
    <col min="3927" max="3927" width="15.625" style="30" customWidth="1"/>
    <col min="3928" max="3928" width="9" style="30" customWidth="1"/>
    <col min="3929" max="3929" width="11.5" style="30" customWidth="1"/>
    <col min="3930" max="3930" width="9" style="30" customWidth="1"/>
    <col min="3931" max="3936" width="10.875" style="30" customWidth="1"/>
    <col min="3937" max="3937" width="16.625" style="30" customWidth="1"/>
    <col min="3938" max="3946" width="9" style="30" customWidth="1"/>
    <col min="3947" max="3947" width="15.375" style="30" customWidth="1"/>
    <col min="3948" max="3948" width="15.875" style="30" customWidth="1"/>
    <col min="3949" max="3967" width="9" style="30" customWidth="1"/>
    <col min="3968" max="3999" width="8.75" style="30"/>
    <col min="4000" max="4013" width="9" style="30" customWidth="1"/>
    <col min="4014" max="4095" width="8.75" style="30"/>
    <col min="4096" max="4096" width="9" style="30" customWidth="1"/>
    <col min="4097" max="4097" width="8.75" style="30"/>
    <col min="4098" max="4098" width="12.375" style="30" customWidth="1"/>
    <col min="4099" max="4099" width="10.875" style="30" customWidth="1"/>
    <col min="4100" max="4100" width="8.75" style="30"/>
    <col min="4101" max="4101" width="12.75" style="30" customWidth="1"/>
    <col min="4102" max="4102" width="10.5" style="30" customWidth="1"/>
    <col min="4103" max="4103" width="11.25" style="30" customWidth="1"/>
    <col min="4104" max="4104" width="10.625" style="30" customWidth="1"/>
    <col min="4105" max="4105" width="12.75" style="30" customWidth="1"/>
    <col min="4106" max="4106" width="9" style="30" customWidth="1"/>
    <col min="4107" max="4107" width="10.875" style="30" customWidth="1"/>
    <col min="4108" max="4108" width="13.25" style="30" customWidth="1"/>
    <col min="4109" max="4110" width="9.25" style="30" customWidth="1"/>
    <col min="4111" max="4112" width="9.125" style="30" customWidth="1"/>
    <col min="4113" max="4113" width="11.75" style="30" customWidth="1"/>
    <col min="4114" max="4114" width="10.5" style="30" customWidth="1"/>
    <col min="4115" max="4115" width="9.125" style="30" customWidth="1"/>
    <col min="4116" max="4118" width="10.5" style="30" customWidth="1"/>
    <col min="4119" max="4119" width="9.125" style="30" customWidth="1"/>
    <col min="4120" max="4120" width="12.75" style="30" customWidth="1"/>
    <col min="4121" max="4122" width="10.5" style="30" customWidth="1"/>
    <col min="4123" max="4123" width="9.5" style="30" customWidth="1"/>
    <col min="4124" max="4124" width="9.125" style="30" customWidth="1"/>
    <col min="4125" max="4125" width="10.5" style="30" customWidth="1"/>
    <col min="4126" max="4126" width="12.75" style="30" customWidth="1"/>
    <col min="4127" max="4128" width="9.125" style="30" customWidth="1"/>
    <col min="4129" max="4129" width="10.5" style="30" customWidth="1"/>
    <col min="4130" max="4133" width="9.125" style="30" customWidth="1"/>
    <col min="4134" max="4134" width="9.5" style="30" customWidth="1"/>
    <col min="4135" max="4135" width="10.5" style="30" customWidth="1"/>
    <col min="4136" max="4136" width="9.125" style="30" customWidth="1"/>
    <col min="4137" max="4137" width="10.5" style="30" customWidth="1"/>
    <col min="4138" max="4139" width="9.125" style="30" customWidth="1"/>
    <col min="4140" max="4140" width="9.5" style="30" customWidth="1"/>
    <col min="4141" max="4141" width="9.125" style="30" customWidth="1"/>
    <col min="4142" max="4142" width="16.5" style="30" customWidth="1"/>
    <col min="4143" max="4143" width="18.125" style="30" customWidth="1"/>
    <col min="4144" max="4144" width="12.75" style="30" customWidth="1"/>
    <col min="4145" max="4147" width="9.125" style="30" customWidth="1"/>
    <col min="4148" max="4158" width="16" style="30" customWidth="1"/>
    <col min="4159" max="4159" width="10" style="30" customWidth="1"/>
    <col min="4160" max="4160" width="12.5" style="30" customWidth="1"/>
    <col min="4161" max="4162" width="10.5" style="30" bestFit="1" customWidth="1"/>
    <col min="4163" max="4164" width="9.125" style="30" bestFit="1" customWidth="1"/>
    <col min="4165" max="4165" width="10.5" style="30" bestFit="1" customWidth="1"/>
    <col min="4166" max="4166" width="13.5" style="30" customWidth="1"/>
    <col min="4167" max="4169" width="9.125" style="30" bestFit="1" customWidth="1"/>
    <col min="4170" max="4170" width="12.875" style="30" customWidth="1"/>
    <col min="4171" max="4172" width="9.125" style="30" bestFit="1" customWidth="1"/>
    <col min="4173" max="4173" width="11.5" style="30" customWidth="1"/>
    <col min="4174" max="4174" width="11.875" style="30" customWidth="1"/>
    <col min="4175" max="4175" width="10.5" style="30" customWidth="1"/>
    <col min="4176" max="4176" width="10.5" style="30" bestFit="1" customWidth="1"/>
    <col min="4177" max="4177" width="12.875" style="30" customWidth="1"/>
    <col min="4178" max="4178" width="12" style="30" customWidth="1"/>
    <col min="4179" max="4179" width="13.625" style="30" customWidth="1"/>
    <col min="4180" max="4180" width="16.5" style="30" customWidth="1"/>
    <col min="4181" max="4181" width="12" style="30" customWidth="1"/>
    <col min="4182" max="4182" width="12.875" style="30" customWidth="1"/>
    <col min="4183" max="4183" width="15.625" style="30" customWidth="1"/>
    <col min="4184" max="4184" width="9" style="30" customWidth="1"/>
    <col min="4185" max="4185" width="11.5" style="30" customWidth="1"/>
    <col min="4186" max="4186" width="9" style="30" customWidth="1"/>
    <col min="4187" max="4192" width="10.875" style="30" customWidth="1"/>
    <col min="4193" max="4193" width="16.625" style="30" customWidth="1"/>
    <col min="4194" max="4202" width="9" style="30" customWidth="1"/>
    <col min="4203" max="4203" width="15.375" style="30" customWidth="1"/>
    <col min="4204" max="4204" width="15.875" style="30" customWidth="1"/>
    <col min="4205" max="4223" width="9" style="30" customWidth="1"/>
    <col min="4224" max="4255" width="8.75" style="30"/>
    <col min="4256" max="4269" width="9" style="30" customWidth="1"/>
    <col min="4270" max="4351" width="8.75" style="30"/>
    <col min="4352" max="4352" width="9" style="30" customWidth="1"/>
    <col min="4353" max="4353" width="8.75" style="30"/>
    <col min="4354" max="4354" width="12.375" style="30" customWidth="1"/>
    <col min="4355" max="4355" width="10.875" style="30" customWidth="1"/>
    <col min="4356" max="4356" width="8.75" style="30"/>
    <col min="4357" max="4357" width="12.75" style="30" customWidth="1"/>
    <col min="4358" max="4358" width="10.5" style="30" customWidth="1"/>
    <col min="4359" max="4359" width="11.25" style="30" customWidth="1"/>
    <col min="4360" max="4360" width="10.625" style="30" customWidth="1"/>
    <col min="4361" max="4361" width="12.75" style="30" customWidth="1"/>
    <col min="4362" max="4362" width="9" style="30" customWidth="1"/>
    <col min="4363" max="4363" width="10.875" style="30" customWidth="1"/>
    <col min="4364" max="4364" width="13.25" style="30" customWidth="1"/>
    <col min="4365" max="4366" width="9.25" style="30" customWidth="1"/>
    <col min="4367" max="4368" width="9.125" style="30" customWidth="1"/>
    <col min="4369" max="4369" width="11.75" style="30" customWidth="1"/>
    <col min="4370" max="4370" width="10.5" style="30" customWidth="1"/>
    <col min="4371" max="4371" width="9.125" style="30" customWidth="1"/>
    <col min="4372" max="4374" width="10.5" style="30" customWidth="1"/>
    <col min="4375" max="4375" width="9.125" style="30" customWidth="1"/>
    <col min="4376" max="4376" width="12.75" style="30" customWidth="1"/>
    <col min="4377" max="4378" width="10.5" style="30" customWidth="1"/>
    <col min="4379" max="4379" width="9.5" style="30" customWidth="1"/>
    <col min="4380" max="4380" width="9.125" style="30" customWidth="1"/>
    <col min="4381" max="4381" width="10.5" style="30" customWidth="1"/>
    <col min="4382" max="4382" width="12.75" style="30" customWidth="1"/>
    <col min="4383" max="4384" width="9.125" style="30" customWidth="1"/>
    <col min="4385" max="4385" width="10.5" style="30" customWidth="1"/>
    <col min="4386" max="4389" width="9.125" style="30" customWidth="1"/>
    <col min="4390" max="4390" width="9.5" style="30" customWidth="1"/>
    <col min="4391" max="4391" width="10.5" style="30" customWidth="1"/>
    <col min="4392" max="4392" width="9.125" style="30" customWidth="1"/>
    <col min="4393" max="4393" width="10.5" style="30" customWidth="1"/>
    <col min="4394" max="4395" width="9.125" style="30" customWidth="1"/>
    <col min="4396" max="4396" width="9.5" style="30" customWidth="1"/>
    <col min="4397" max="4397" width="9.125" style="30" customWidth="1"/>
    <col min="4398" max="4398" width="16.5" style="30" customWidth="1"/>
    <col min="4399" max="4399" width="18.125" style="30" customWidth="1"/>
    <col min="4400" max="4400" width="12.75" style="30" customWidth="1"/>
    <col min="4401" max="4403" width="9.125" style="30" customWidth="1"/>
    <col min="4404" max="4414" width="16" style="30" customWidth="1"/>
    <col min="4415" max="4415" width="10" style="30" customWidth="1"/>
    <col min="4416" max="4416" width="12.5" style="30" customWidth="1"/>
    <col min="4417" max="4418" width="10.5" style="30" bestFit="1" customWidth="1"/>
    <col min="4419" max="4420" width="9.125" style="30" bestFit="1" customWidth="1"/>
    <col min="4421" max="4421" width="10.5" style="30" bestFit="1" customWidth="1"/>
    <col min="4422" max="4422" width="13.5" style="30" customWidth="1"/>
    <col min="4423" max="4425" width="9.125" style="30" bestFit="1" customWidth="1"/>
    <col min="4426" max="4426" width="12.875" style="30" customWidth="1"/>
    <col min="4427" max="4428" width="9.125" style="30" bestFit="1" customWidth="1"/>
    <col min="4429" max="4429" width="11.5" style="30" customWidth="1"/>
    <col min="4430" max="4430" width="11.875" style="30" customWidth="1"/>
    <col min="4431" max="4431" width="10.5" style="30" customWidth="1"/>
    <col min="4432" max="4432" width="10.5" style="30" bestFit="1" customWidth="1"/>
    <col min="4433" max="4433" width="12.875" style="30" customWidth="1"/>
    <col min="4434" max="4434" width="12" style="30" customWidth="1"/>
    <col min="4435" max="4435" width="13.625" style="30" customWidth="1"/>
    <col min="4436" max="4436" width="16.5" style="30" customWidth="1"/>
    <col min="4437" max="4437" width="12" style="30" customWidth="1"/>
    <col min="4438" max="4438" width="12.875" style="30" customWidth="1"/>
    <col min="4439" max="4439" width="15.625" style="30" customWidth="1"/>
    <col min="4440" max="4440" width="9" style="30" customWidth="1"/>
    <col min="4441" max="4441" width="11.5" style="30" customWidth="1"/>
    <col min="4442" max="4442" width="9" style="30" customWidth="1"/>
    <col min="4443" max="4448" width="10.875" style="30" customWidth="1"/>
    <col min="4449" max="4449" width="16.625" style="30" customWidth="1"/>
    <col min="4450" max="4458" width="9" style="30" customWidth="1"/>
    <col min="4459" max="4459" width="15.375" style="30" customWidth="1"/>
    <col min="4460" max="4460" width="15.875" style="30" customWidth="1"/>
    <col min="4461" max="4479" width="9" style="30" customWidth="1"/>
    <col min="4480" max="4511" width="8.75" style="30"/>
    <col min="4512" max="4525" width="9" style="30" customWidth="1"/>
    <col min="4526" max="4607" width="8.75" style="30"/>
    <col min="4608" max="4608" width="9" style="30" customWidth="1"/>
    <col min="4609" max="4609" width="8.75" style="30"/>
    <col min="4610" max="4610" width="12.375" style="30" customWidth="1"/>
    <col min="4611" max="4611" width="10.875" style="30" customWidth="1"/>
    <col min="4612" max="4612" width="8.75" style="30"/>
    <col min="4613" max="4613" width="12.75" style="30" customWidth="1"/>
    <col min="4614" max="4614" width="10.5" style="30" customWidth="1"/>
    <col min="4615" max="4615" width="11.25" style="30" customWidth="1"/>
    <col min="4616" max="4616" width="10.625" style="30" customWidth="1"/>
    <col min="4617" max="4617" width="12.75" style="30" customWidth="1"/>
    <col min="4618" max="4618" width="9" style="30" customWidth="1"/>
    <col min="4619" max="4619" width="10.875" style="30" customWidth="1"/>
    <col min="4620" max="4620" width="13.25" style="30" customWidth="1"/>
    <col min="4621" max="4622" width="9.25" style="30" customWidth="1"/>
    <col min="4623" max="4624" width="9.125" style="30" customWidth="1"/>
    <col min="4625" max="4625" width="11.75" style="30" customWidth="1"/>
    <col min="4626" max="4626" width="10.5" style="30" customWidth="1"/>
    <col min="4627" max="4627" width="9.125" style="30" customWidth="1"/>
    <col min="4628" max="4630" width="10.5" style="30" customWidth="1"/>
    <col min="4631" max="4631" width="9.125" style="30" customWidth="1"/>
    <col min="4632" max="4632" width="12.75" style="30" customWidth="1"/>
    <col min="4633" max="4634" width="10.5" style="30" customWidth="1"/>
    <col min="4635" max="4635" width="9.5" style="30" customWidth="1"/>
    <col min="4636" max="4636" width="9.125" style="30" customWidth="1"/>
    <col min="4637" max="4637" width="10.5" style="30" customWidth="1"/>
    <col min="4638" max="4638" width="12.75" style="30" customWidth="1"/>
    <col min="4639" max="4640" width="9.125" style="30" customWidth="1"/>
    <col min="4641" max="4641" width="10.5" style="30" customWidth="1"/>
    <col min="4642" max="4645" width="9.125" style="30" customWidth="1"/>
    <col min="4646" max="4646" width="9.5" style="30" customWidth="1"/>
    <col min="4647" max="4647" width="10.5" style="30" customWidth="1"/>
    <col min="4648" max="4648" width="9.125" style="30" customWidth="1"/>
    <col min="4649" max="4649" width="10.5" style="30" customWidth="1"/>
    <col min="4650" max="4651" width="9.125" style="30" customWidth="1"/>
    <col min="4652" max="4652" width="9.5" style="30" customWidth="1"/>
    <col min="4653" max="4653" width="9.125" style="30" customWidth="1"/>
    <col min="4654" max="4654" width="16.5" style="30" customWidth="1"/>
    <col min="4655" max="4655" width="18.125" style="30" customWidth="1"/>
    <col min="4656" max="4656" width="12.75" style="30" customWidth="1"/>
    <col min="4657" max="4659" width="9.125" style="30" customWidth="1"/>
    <col min="4660" max="4670" width="16" style="30" customWidth="1"/>
    <col min="4671" max="4671" width="10" style="30" customWidth="1"/>
    <col min="4672" max="4672" width="12.5" style="30" customWidth="1"/>
    <col min="4673" max="4674" width="10.5" style="30" bestFit="1" customWidth="1"/>
    <col min="4675" max="4676" width="9.125" style="30" bestFit="1" customWidth="1"/>
    <col min="4677" max="4677" width="10.5" style="30" bestFit="1" customWidth="1"/>
    <col min="4678" max="4678" width="13.5" style="30" customWidth="1"/>
    <col min="4679" max="4681" width="9.125" style="30" bestFit="1" customWidth="1"/>
    <col min="4682" max="4682" width="12.875" style="30" customWidth="1"/>
    <col min="4683" max="4684" width="9.125" style="30" bestFit="1" customWidth="1"/>
    <col min="4685" max="4685" width="11.5" style="30" customWidth="1"/>
    <col min="4686" max="4686" width="11.875" style="30" customWidth="1"/>
    <col min="4687" max="4687" width="10.5" style="30" customWidth="1"/>
    <col min="4688" max="4688" width="10.5" style="30" bestFit="1" customWidth="1"/>
    <col min="4689" max="4689" width="12.875" style="30" customWidth="1"/>
    <col min="4690" max="4690" width="12" style="30" customWidth="1"/>
    <col min="4691" max="4691" width="13.625" style="30" customWidth="1"/>
    <col min="4692" max="4692" width="16.5" style="30" customWidth="1"/>
    <col min="4693" max="4693" width="12" style="30" customWidth="1"/>
    <col min="4694" max="4694" width="12.875" style="30" customWidth="1"/>
    <col min="4695" max="4695" width="15.625" style="30" customWidth="1"/>
    <col min="4696" max="4696" width="9" style="30" customWidth="1"/>
    <col min="4697" max="4697" width="11.5" style="30" customWidth="1"/>
    <col min="4698" max="4698" width="9" style="30" customWidth="1"/>
    <col min="4699" max="4704" width="10.875" style="30" customWidth="1"/>
    <col min="4705" max="4705" width="16.625" style="30" customWidth="1"/>
    <col min="4706" max="4714" width="9" style="30" customWidth="1"/>
    <col min="4715" max="4715" width="15.375" style="30" customWidth="1"/>
    <col min="4716" max="4716" width="15.875" style="30" customWidth="1"/>
    <col min="4717" max="4735" width="9" style="30" customWidth="1"/>
    <col min="4736" max="4767" width="8.75" style="30"/>
    <col min="4768" max="4781" width="9" style="30" customWidth="1"/>
    <col min="4782" max="4863" width="8.75" style="30"/>
    <col min="4864" max="4864" width="9" style="30" customWidth="1"/>
    <col min="4865" max="4865" width="8.75" style="30"/>
    <col min="4866" max="4866" width="12.375" style="30" customWidth="1"/>
    <col min="4867" max="4867" width="10.875" style="30" customWidth="1"/>
    <col min="4868" max="4868" width="8.75" style="30"/>
    <col min="4869" max="4869" width="12.75" style="30" customWidth="1"/>
    <col min="4870" max="4870" width="10.5" style="30" customWidth="1"/>
    <col min="4871" max="4871" width="11.25" style="30" customWidth="1"/>
    <col min="4872" max="4872" width="10.625" style="30" customWidth="1"/>
    <col min="4873" max="4873" width="12.75" style="30" customWidth="1"/>
    <col min="4874" max="4874" width="9" style="30" customWidth="1"/>
    <col min="4875" max="4875" width="10.875" style="30" customWidth="1"/>
    <col min="4876" max="4876" width="13.25" style="30" customWidth="1"/>
    <col min="4877" max="4878" width="9.25" style="30" customWidth="1"/>
    <col min="4879" max="4880" width="9.125" style="30" customWidth="1"/>
    <col min="4881" max="4881" width="11.75" style="30" customWidth="1"/>
    <col min="4882" max="4882" width="10.5" style="30" customWidth="1"/>
    <col min="4883" max="4883" width="9.125" style="30" customWidth="1"/>
    <col min="4884" max="4886" width="10.5" style="30" customWidth="1"/>
    <col min="4887" max="4887" width="9.125" style="30" customWidth="1"/>
    <col min="4888" max="4888" width="12.75" style="30" customWidth="1"/>
    <col min="4889" max="4890" width="10.5" style="30" customWidth="1"/>
    <col min="4891" max="4891" width="9.5" style="30" customWidth="1"/>
    <col min="4892" max="4892" width="9.125" style="30" customWidth="1"/>
    <col min="4893" max="4893" width="10.5" style="30" customWidth="1"/>
    <col min="4894" max="4894" width="12.75" style="30" customWidth="1"/>
    <col min="4895" max="4896" width="9.125" style="30" customWidth="1"/>
    <col min="4897" max="4897" width="10.5" style="30" customWidth="1"/>
    <col min="4898" max="4901" width="9.125" style="30" customWidth="1"/>
    <col min="4902" max="4902" width="9.5" style="30" customWidth="1"/>
    <col min="4903" max="4903" width="10.5" style="30" customWidth="1"/>
    <col min="4904" max="4904" width="9.125" style="30" customWidth="1"/>
    <col min="4905" max="4905" width="10.5" style="30" customWidth="1"/>
    <col min="4906" max="4907" width="9.125" style="30" customWidth="1"/>
    <col min="4908" max="4908" width="9.5" style="30" customWidth="1"/>
    <col min="4909" max="4909" width="9.125" style="30" customWidth="1"/>
    <col min="4910" max="4910" width="16.5" style="30" customWidth="1"/>
    <col min="4911" max="4911" width="18.125" style="30" customWidth="1"/>
    <col min="4912" max="4912" width="12.75" style="30" customWidth="1"/>
    <col min="4913" max="4915" width="9.125" style="30" customWidth="1"/>
    <col min="4916" max="4926" width="16" style="30" customWidth="1"/>
    <col min="4927" max="4927" width="10" style="30" customWidth="1"/>
    <col min="4928" max="4928" width="12.5" style="30" customWidth="1"/>
    <col min="4929" max="4930" width="10.5" style="30" bestFit="1" customWidth="1"/>
    <col min="4931" max="4932" width="9.125" style="30" bestFit="1" customWidth="1"/>
    <col min="4933" max="4933" width="10.5" style="30" bestFit="1" customWidth="1"/>
    <col min="4934" max="4934" width="13.5" style="30" customWidth="1"/>
    <col min="4935" max="4937" width="9.125" style="30" bestFit="1" customWidth="1"/>
    <col min="4938" max="4938" width="12.875" style="30" customWidth="1"/>
    <col min="4939" max="4940" width="9.125" style="30" bestFit="1" customWidth="1"/>
    <col min="4941" max="4941" width="11.5" style="30" customWidth="1"/>
    <col min="4942" max="4942" width="11.875" style="30" customWidth="1"/>
    <col min="4943" max="4943" width="10.5" style="30" customWidth="1"/>
    <col min="4944" max="4944" width="10.5" style="30" bestFit="1" customWidth="1"/>
    <col min="4945" max="4945" width="12.875" style="30" customWidth="1"/>
    <col min="4946" max="4946" width="12" style="30" customWidth="1"/>
    <col min="4947" max="4947" width="13.625" style="30" customWidth="1"/>
    <col min="4948" max="4948" width="16.5" style="30" customWidth="1"/>
    <col min="4949" max="4949" width="12" style="30" customWidth="1"/>
    <col min="4950" max="4950" width="12.875" style="30" customWidth="1"/>
    <col min="4951" max="4951" width="15.625" style="30" customWidth="1"/>
    <col min="4952" max="4952" width="9" style="30" customWidth="1"/>
    <col min="4953" max="4953" width="11.5" style="30" customWidth="1"/>
    <col min="4954" max="4954" width="9" style="30" customWidth="1"/>
    <col min="4955" max="4960" width="10.875" style="30" customWidth="1"/>
    <col min="4961" max="4961" width="16.625" style="30" customWidth="1"/>
    <col min="4962" max="4970" width="9" style="30" customWidth="1"/>
    <col min="4971" max="4971" width="15.375" style="30" customWidth="1"/>
    <col min="4972" max="4972" width="15.875" style="30" customWidth="1"/>
    <col min="4973" max="4991" width="9" style="30" customWidth="1"/>
    <col min="4992" max="5023" width="8.75" style="30"/>
    <col min="5024" max="5037" width="9" style="30" customWidth="1"/>
    <col min="5038" max="5119" width="8.75" style="30"/>
    <col min="5120" max="5120" width="9" style="30" customWidth="1"/>
    <col min="5121" max="5121" width="8.75" style="30"/>
    <col min="5122" max="5122" width="12.375" style="30" customWidth="1"/>
    <col min="5123" max="5123" width="10.875" style="30" customWidth="1"/>
    <col min="5124" max="5124" width="8.75" style="30"/>
    <col min="5125" max="5125" width="12.75" style="30" customWidth="1"/>
    <col min="5126" max="5126" width="10.5" style="30" customWidth="1"/>
    <col min="5127" max="5127" width="11.25" style="30" customWidth="1"/>
    <col min="5128" max="5128" width="10.625" style="30" customWidth="1"/>
    <col min="5129" max="5129" width="12.75" style="30" customWidth="1"/>
    <col min="5130" max="5130" width="9" style="30" customWidth="1"/>
    <col min="5131" max="5131" width="10.875" style="30" customWidth="1"/>
    <col min="5132" max="5132" width="13.25" style="30" customWidth="1"/>
    <col min="5133" max="5134" width="9.25" style="30" customWidth="1"/>
    <col min="5135" max="5136" width="9.125" style="30" customWidth="1"/>
    <col min="5137" max="5137" width="11.75" style="30" customWidth="1"/>
    <col min="5138" max="5138" width="10.5" style="30" customWidth="1"/>
    <col min="5139" max="5139" width="9.125" style="30" customWidth="1"/>
    <col min="5140" max="5142" width="10.5" style="30" customWidth="1"/>
    <col min="5143" max="5143" width="9.125" style="30" customWidth="1"/>
    <col min="5144" max="5144" width="12.75" style="30" customWidth="1"/>
    <col min="5145" max="5146" width="10.5" style="30" customWidth="1"/>
    <col min="5147" max="5147" width="9.5" style="30" customWidth="1"/>
    <col min="5148" max="5148" width="9.125" style="30" customWidth="1"/>
    <col min="5149" max="5149" width="10.5" style="30" customWidth="1"/>
    <col min="5150" max="5150" width="12.75" style="30" customWidth="1"/>
    <col min="5151" max="5152" width="9.125" style="30" customWidth="1"/>
    <col min="5153" max="5153" width="10.5" style="30" customWidth="1"/>
    <col min="5154" max="5157" width="9.125" style="30" customWidth="1"/>
    <col min="5158" max="5158" width="9.5" style="30" customWidth="1"/>
    <col min="5159" max="5159" width="10.5" style="30" customWidth="1"/>
    <col min="5160" max="5160" width="9.125" style="30" customWidth="1"/>
    <col min="5161" max="5161" width="10.5" style="30" customWidth="1"/>
    <col min="5162" max="5163" width="9.125" style="30" customWidth="1"/>
    <col min="5164" max="5164" width="9.5" style="30" customWidth="1"/>
    <col min="5165" max="5165" width="9.125" style="30" customWidth="1"/>
    <col min="5166" max="5166" width="16.5" style="30" customWidth="1"/>
    <col min="5167" max="5167" width="18.125" style="30" customWidth="1"/>
    <col min="5168" max="5168" width="12.75" style="30" customWidth="1"/>
    <col min="5169" max="5171" width="9.125" style="30" customWidth="1"/>
    <col min="5172" max="5182" width="16" style="30" customWidth="1"/>
    <col min="5183" max="5183" width="10" style="30" customWidth="1"/>
    <col min="5184" max="5184" width="12.5" style="30" customWidth="1"/>
    <col min="5185" max="5186" width="10.5" style="30" bestFit="1" customWidth="1"/>
    <col min="5187" max="5188" width="9.125" style="30" bestFit="1" customWidth="1"/>
    <col min="5189" max="5189" width="10.5" style="30" bestFit="1" customWidth="1"/>
    <col min="5190" max="5190" width="13.5" style="30" customWidth="1"/>
    <col min="5191" max="5193" width="9.125" style="30" bestFit="1" customWidth="1"/>
    <col min="5194" max="5194" width="12.875" style="30" customWidth="1"/>
    <col min="5195" max="5196" width="9.125" style="30" bestFit="1" customWidth="1"/>
    <col min="5197" max="5197" width="11.5" style="30" customWidth="1"/>
    <col min="5198" max="5198" width="11.875" style="30" customWidth="1"/>
    <col min="5199" max="5199" width="10.5" style="30" customWidth="1"/>
    <col min="5200" max="5200" width="10.5" style="30" bestFit="1" customWidth="1"/>
    <col min="5201" max="5201" width="12.875" style="30" customWidth="1"/>
    <col min="5202" max="5202" width="12" style="30" customWidth="1"/>
    <col min="5203" max="5203" width="13.625" style="30" customWidth="1"/>
    <col min="5204" max="5204" width="16.5" style="30" customWidth="1"/>
    <col min="5205" max="5205" width="12" style="30" customWidth="1"/>
    <col min="5206" max="5206" width="12.875" style="30" customWidth="1"/>
    <col min="5207" max="5207" width="15.625" style="30" customWidth="1"/>
    <col min="5208" max="5208" width="9" style="30" customWidth="1"/>
    <col min="5209" max="5209" width="11.5" style="30" customWidth="1"/>
    <col min="5210" max="5210" width="9" style="30" customWidth="1"/>
    <col min="5211" max="5216" width="10.875" style="30" customWidth="1"/>
    <col min="5217" max="5217" width="16.625" style="30" customWidth="1"/>
    <col min="5218" max="5226" width="9" style="30" customWidth="1"/>
    <col min="5227" max="5227" width="15.375" style="30" customWidth="1"/>
    <col min="5228" max="5228" width="15.875" style="30" customWidth="1"/>
    <col min="5229" max="5247" width="9" style="30" customWidth="1"/>
    <col min="5248" max="5279" width="8.75" style="30"/>
    <col min="5280" max="5293" width="9" style="30" customWidth="1"/>
    <col min="5294" max="5375" width="8.75" style="30"/>
    <col min="5376" max="5376" width="9" style="30" customWidth="1"/>
    <col min="5377" max="5377" width="8.75" style="30"/>
    <col min="5378" max="5378" width="12.375" style="30" customWidth="1"/>
    <col min="5379" max="5379" width="10.875" style="30" customWidth="1"/>
    <col min="5380" max="5380" width="8.75" style="30"/>
    <col min="5381" max="5381" width="12.75" style="30" customWidth="1"/>
    <col min="5382" max="5382" width="10.5" style="30" customWidth="1"/>
    <col min="5383" max="5383" width="11.25" style="30" customWidth="1"/>
    <col min="5384" max="5384" width="10.625" style="30" customWidth="1"/>
    <col min="5385" max="5385" width="12.75" style="30" customWidth="1"/>
    <col min="5386" max="5386" width="9" style="30" customWidth="1"/>
    <col min="5387" max="5387" width="10.875" style="30" customWidth="1"/>
    <col min="5388" max="5388" width="13.25" style="30" customWidth="1"/>
    <col min="5389" max="5390" width="9.25" style="30" customWidth="1"/>
    <col min="5391" max="5392" width="9.125" style="30" customWidth="1"/>
    <col min="5393" max="5393" width="11.75" style="30" customWidth="1"/>
    <col min="5394" max="5394" width="10.5" style="30" customWidth="1"/>
    <col min="5395" max="5395" width="9.125" style="30" customWidth="1"/>
    <col min="5396" max="5398" width="10.5" style="30" customWidth="1"/>
    <col min="5399" max="5399" width="9.125" style="30" customWidth="1"/>
    <col min="5400" max="5400" width="12.75" style="30" customWidth="1"/>
    <col min="5401" max="5402" width="10.5" style="30" customWidth="1"/>
    <col min="5403" max="5403" width="9.5" style="30" customWidth="1"/>
    <col min="5404" max="5404" width="9.125" style="30" customWidth="1"/>
    <col min="5405" max="5405" width="10.5" style="30" customWidth="1"/>
    <col min="5406" max="5406" width="12.75" style="30" customWidth="1"/>
    <col min="5407" max="5408" width="9.125" style="30" customWidth="1"/>
    <col min="5409" max="5409" width="10.5" style="30" customWidth="1"/>
    <col min="5410" max="5413" width="9.125" style="30" customWidth="1"/>
    <col min="5414" max="5414" width="9.5" style="30" customWidth="1"/>
    <col min="5415" max="5415" width="10.5" style="30" customWidth="1"/>
    <col min="5416" max="5416" width="9.125" style="30" customWidth="1"/>
    <col min="5417" max="5417" width="10.5" style="30" customWidth="1"/>
    <col min="5418" max="5419" width="9.125" style="30" customWidth="1"/>
    <col min="5420" max="5420" width="9.5" style="30" customWidth="1"/>
    <col min="5421" max="5421" width="9.125" style="30" customWidth="1"/>
    <col min="5422" max="5422" width="16.5" style="30" customWidth="1"/>
    <col min="5423" max="5423" width="18.125" style="30" customWidth="1"/>
    <col min="5424" max="5424" width="12.75" style="30" customWidth="1"/>
    <col min="5425" max="5427" width="9.125" style="30" customWidth="1"/>
    <col min="5428" max="5438" width="16" style="30" customWidth="1"/>
    <col min="5439" max="5439" width="10" style="30" customWidth="1"/>
    <col min="5440" max="5440" width="12.5" style="30" customWidth="1"/>
    <col min="5441" max="5442" width="10.5" style="30" bestFit="1" customWidth="1"/>
    <col min="5443" max="5444" width="9.125" style="30" bestFit="1" customWidth="1"/>
    <col min="5445" max="5445" width="10.5" style="30" bestFit="1" customWidth="1"/>
    <col min="5446" max="5446" width="13.5" style="30" customWidth="1"/>
    <col min="5447" max="5449" width="9.125" style="30" bestFit="1" customWidth="1"/>
    <col min="5450" max="5450" width="12.875" style="30" customWidth="1"/>
    <col min="5451" max="5452" width="9.125" style="30" bestFit="1" customWidth="1"/>
    <col min="5453" max="5453" width="11.5" style="30" customWidth="1"/>
    <col min="5454" max="5454" width="11.875" style="30" customWidth="1"/>
    <col min="5455" max="5455" width="10.5" style="30" customWidth="1"/>
    <col min="5456" max="5456" width="10.5" style="30" bestFit="1" customWidth="1"/>
    <col min="5457" max="5457" width="12.875" style="30" customWidth="1"/>
    <col min="5458" max="5458" width="12" style="30" customWidth="1"/>
    <col min="5459" max="5459" width="13.625" style="30" customWidth="1"/>
    <col min="5460" max="5460" width="16.5" style="30" customWidth="1"/>
    <col min="5461" max="5461" width="12" style="30" customWidth="1"/>
    <col min="5462" max="5462" width="12.875" style="30" customWidth="1"/>
    <col min="5463" max="5463" width="15.625" style="30" customWidth="1"/>
    <col min="5464" max="5464" width="9" style="30" customWidth="1"/>
    <col min="5465" max="5465" width="11.5" style="30" customWidth="1"/>
    <col min="5466" max="5466" width="9" style="30" customWidth="1"/>
    <col min="5467" max="5472" width="10.875" style="30" customWidth="1"/>
    <col min="5473" max="5473" width="16.625" style="30" customWidth="1"/>
    <col min="5474" max="5482" width="9" style="30" customWidth="1"/>
    <col min="5483" max="5483" width="15.375" style="30" customWidth="1"/>
    <col min="5484" max="5484" width="15.875" style="30" customWidth="1"/>
    <col min="5485" max="5503" width="9" style="30" customWidth="1"/>
    <col min="5504" max="5535" width="8.75" style="30"/>
    <col min="5536" max="5549" width="9" style="30" customWidth="1"/>
    <col min="5550" max="5631" width="8.75" style="30"/>
    <col min="5632" max="5632" width="9" style="30" customWidth="1"/>
    <col min="5633" max="5633" width="8.75" style="30"/>
    <col min="5634" max="5634" width="12.375" style="30" customWidth="1"/>
    <col min="5635" max="5635" width="10.875" style="30" customWidth="1"/>
    <col min="5636" max="5636" width="8.75" style="30"/>
    <col min="5637" max="5637" width="12.75" style="30" customWidth="1"/>
    <col min="5638" max="5638" width="10.5" style="30" customWidth="1"/>
    <col min="5639" max="5639" width="11.25" style="30" customWidth="1"/>
    <col min="5640" max="5640" width="10.625" style="30" customWidth="1"/>
    <col min="5641" max="5641" width="12.75" style="30" customWidth="1"/>
    <col min="5642" max="5642" width="9" style="30" customWidth="1"/>
    <col min="5643" max="5643" width="10.875" style="30" customWidth="1"/>
    <col min="5644" max="5644" width="13.25" style="30" customWidth="1"/>
    <col min="5645" max="5646" width="9.25" style="30" customWidth="1"/>
    <col min="5647" max="5648" width="9.125" style="30" customWidth="1"/>
    <col min="5649" max="5649" width="11.75" style="30" customWidth="1"/>
    <col min="5650" max="5650" width="10.5" style="30" customWidth="1"/>
    <col min="5651" max="5651" width="9.125" style="30" customWidth="1"/>
    <col min="5652" max="5654" width="10.5" style="30" customWidth="1"/>
    <col min="5655" max="5655" width="9.125" style="30" customWidth="1"/>
    <col min="5656" max="5656" width="12.75" style="30" customWidth="1"/>
    <col min="5657" max="5658" width="10.5" style="30" customWidth="1"/>
    <col min="5659" max="5659" width="9.5" style="30" customWidth="1"/>
    <col min="5660" max="5660" width="9.125" style="30" customWidth="1"/>
    <col min="5661" max="5661" width="10.5" style="30" customWidth="1"/>
    <col min="5662" max="5662" width="12.75" style="30" customWidth="1"/>
    <col min="5663" max="5664" width="9.125" style="30" customWidth="1"/>
    <col min="5665" max="5665" width="10.5" style="30" customWidth="1"/>
    <col min="5666" max="5669" width="9.125" style="30" customWidth="1"/>
    <col min="5670" max="5670" width="9.5" style="30" customWidth="1"/>
    <col min="5671" max="5671" width="10.5" style="30" customWidth="1"/>
    <col min="5672" max="5672" width="9.125" style="30" customWidth="1"/>
    <col min="5673" max="5673" width="10.5" style="30" customWidth="1"/>
    <col min="5674" max="5675" width="9.125" style="30" customWidth="1"/>
    <col min="5676" max="5676" width="9.5" style="30" customWidth="1"/>
    <col min="5677" max="5677" width="9.125" style="30" customWidth="1"/>
    <col min="5678" max="5678" width="16.5" style="30" customWidth="1"/>
    <col min="5679" max="5679" width="18.125" style="30" customWidth="1"/>
    <col min="5680" max="5680" width="12.75" style="30" customWidth="1"/>
    <col min="5681" max="5683" width="9.125" style="30" customWidth="1"/>
    <col min="5684" max="5694" width="16" style="30" customWidth="1"/>
    <col min="5695" max="5695" width="10" style="30" customWidth="1"/>
    <col min="5696" max="5696" width="12.5" style="30" customWidth="1"/>
    <col min="5697" max="5698" width="10.5" style="30" bestFit="1" customWidth="1"/>
    <col min="5699" max="5700" width="9.125" style="30" bestFit="1" customWidth="1"/>
    <col min="5701" max="5701" width="10.5" style="30" bestFit="1" customWidth="1"/>
    <col min="5702" max="5702" width="13.5" style="30" customWidth="1"/>
    <col min="5703" max="5705" width="9.125" style="30" bestFit="1" customWidth="1"/>
    <col min="5706" max="5706" width="12.875" style="30" customWidth="1"/>
    <col min="5707" max="5708" width="9.125" style="30" bestFit="1" customWidth="1"/>
    <col min="5709" max="5709" width="11.5" style="30" customWidth="1"/>
    <col min="5710" max="5710" width="11.875" style="30" customWidth="1"/>
    <col min="5711" max="5711" width="10.5" style="30" customWidth="1"/>
    <col min="5712" max="5712" width="10.5" style="30" bestFit="1" customWidth="1"/>
    <col min="5713" max="5713" width="12.875" style="30" customWidth="1"/>
    <col min="5714" max="5714" width="12" style="30" customWidth="1"/>
    <col min="5715" max="5715" width="13.625" style="30" customWidth="1"/>
    <col min="5716" max="5716" width="16.5" style="30" customWidth="1"/>
    <col min="5717" max="5717" width="12" style="30" customWidth="1"/>
    <col min="5718" max="5718" width="12.875" style="30" customWidth="1"/>
    <col min="5719" max="5719" width="15.625" style="30" customWidth="1"/>
    <col min="5720" max="5720" width="9" style="30" customWidth="1"/>
    <col min="5721" max="5721" width="11.5" style="30" customWidth="1"/>
    <col min="5722" max="5722" width="9" style="30" customWidth="1"/>
    <col min="5723" max="5728" width="10.875" style="30" customWidth="1"/>
    <col min="5729" max="5729" width="16.625" style="30" customWidth="1"/>
    <col min="5730" max="5738" width="9" style="30" customWidth="1"/>
    <col min="5739" max="5739" width="15.375" style="30" customWidth="1"/>
    <col min="5740" max="5740" width="15.875" style="30" customWidth="1"/>
    <col min="5741" max="5759" width="9" style="30" customWidth="1"/>
    <col min="5760" max="5791" width="8.75" style="30"/>
    <col min="5792" max="5805" width="9" style="30" customWidth="1"/>
    <col min="5806" max="5887" width="8.75" style="30"/>
    <col min="5888" max="5888" width="9" style="30" customWidth="1"/>
    <col min="5889" max="5889" width="8.75" style="30"/>
    <col min="5890" max="5890" width="12.375" style="30" customWidth="1"/>
    <col min="5891" max="5891" width="10.875" style="30" customWidth="1"/>
    <col min="5892" max="5892" width="8.75" style="30"/>
    <col min="5893" max="5893" width="12.75" style="30" customWidth="1"/>
    <col min="5894" max="5894" width="10.5" style="30" customWidth="1"/>
    <col min="5895" max="5895" width="11.25" style="30" customWidth="1"/>
    <col min="5896" max="5896" width="10.625" style="30" customWidth="1"/>
    <col min="5897" max="5897" width="12.75" style="30" customWidth="1"/>
    <col min="5898" max="5898" width="9" style="30" customWidth="1"/>
    <col min="5899" max="5899" width="10.875" style="30" customWidth="1"/>
    <col min="5900" max="5900" width="13.25" style="30" customWidth="1"/>
    <col min="5901" max="5902" width="9.25" style="30" customWidth="1"/>
    <col min="5903" max="5904" width="9.125" style="30" customWidth="1"/>
    <col min="5905" max="5905" width="11.75" style="30" customWidth="1"/>
    <col min="5906" max="5906" width="10.5" style="30" customWidth="1"/>
    <col min="5907" max="5907" width="9.125" style="30" customWidth="1"/>
    <col min="5908" max="5910" width="10.5" style="30" customWidth="1"/>
    <col min="5911" max="5911" width="9.125" style="30" customWidth="1"/>
    <col min="5912" max="5912" width="12.75" style="30" customWidth="1"/>
    <col min="5913" max="5914" width="10.5" style="30" customWidth="1"/>
    <col min="5915" max="5915" width="9.5" style="30" customWidth="1"/>
    <col min="5916" max="5916" width="9.125" style="30" customWidth="1"/>
    <col min="5917" max="5917" width="10.5" style="30" customWidth="1"/>
    <col min="5918" max="5918" width="12.75" style="30" customWidth="1"/>
    <col min="5919" max="5920" width="9.125" style="30" customWidth="1"/>
    <col min="5921" max="5921" width="10.5" style="30" customWidth="1"/>
    <col min="5922" max="5925" width="9.125" style="30" customWidth="1"/>
    <col min="5926" max="5926" width="9.5" style="30" customWidth="1"/>
    <col min="5927" max="5927" width="10.5" style="30" customWidth="1"/>
    <col min="5928" max="5928" width="9.125" style="30" customWidth="1"/>
    <col min="5929" max="5929" width="10.5" style="30" customWidth="1"/>
    <col min="5930" max="5931" width="9.125" style="30" customWidth="1"/>
    <col min="5932" max="5932" width="9.5" style="30" customWidth="1"/>
    <col min="5933" max="5933" width="9.125" style="30" customWidth="1"/>
    <col min="5934" max="5934" width="16.5" style="30" customWidth="1"/>
    <col min="5935" max="5935" width="18.125" style="30" customWidth="1"/>
    <col min="5936" max="5936" width="12.75" style="30" customWidth="1"/>
    <col min="5937" max="5939" width="9.125" style="30" customWidth="1"/>
    <col min="5940" max="5950" width="16" style="30" customWidth="1"/>
    <col min="5951" max="5951" width="10" style="30" customWidth="1"/>
    <col min="5952" max="5952" width="12.5" style="30" customWidth="1"/>
    <col min="5953" max="5954" width="10.5" style="30" bestFit="1" customWidth="1"/>
    <col min="5955" max="5956" width="9.125" style="30" bestFit="1" customWidth="1"/>
    <col min="5957" max="5957" width="10.5" style="30" bestFit="1" customWidth="1"/>
    <col min="5958" max="5958" width="13.5" style="30" customWidth="1"/>
    <col min="5959" max="5961" width="9.125" style="30" bestFit="1" customWidth="1"/>
    <col min="5962" max="5962" width="12.875" style="30" customWidth="1"/>
    <col min="5963" max="5964" width="9.125" style="30" bestFit="1" customWidth="1"/>
    <col min="5965" max="5965" width="11.5" style="30" customWidth="1"/>
    <col min="5966" max="5966" width="11.875" style="30" customWidth="1"/>
    <col min="5967" max="5967" width="10.5" style="30" customWidth="1"/>
    <col min="5968" max="5968" width="10.5" style="30" bestFit="1" customWidth="1"/>
    <col min="5969" max="5969" width="12.875" style="30" customWidth="1"/>
    <col min="5970" max="5970" width="12" style="30" customWidth="1"/>
    <col min="5971" max="5971" width="13.625" style="30" customWidth="1"/>
    <col min="5972" max="5972" width="16.5" style="30" customWidth="1"/>
    <col min="5973" max="5973" width="12" style="30" customWidth="1"/>
    <col min="5974" max="5974" width="12.875" style="30" customWidth="1"/>
    <col min="5975" max="5975" width="15.625" style="30" customWidth="1"/>
    <col min="5976" max="5976" width="9" style="30" customWidth="1"/>
    <col min="5977" max="5977" width="11.5" style="30" customWidth="1"/>
    <col min="5978" max="5978" width="9" style="30" customWidth="1"/>
    <col min="5979" max="5984" width="10.875" style="30" customWidth="1"/>
    <col min="5985" max="5985" width="16.625" style="30" customWidth="1"/>
    <col min="5986" max="5994" width="9" style="30" customWidth="1"/>
    <col min="5995" max="5995" width="15.375" style="30" customWidth="1"/>
    <col min="5996" max="5996" width="15.875" style="30" customWidth="1"/>
    <col min="5997" max="6015" width="9" style="30" customWidth="1"/>
    <col min="6016" max="6047" width="8.75" style="30"/>
    <col min="6048" max="6061" width="9" style="30" customWidth="1"/>
    <col min="6062" max="6143" width="8.75" style="30"/>
    <col min="6144" max="6144" width="9" style="30" customWidth="1"/>
    <col min="6145" max="6145" width="8.75" style="30"/>
    <col min="6146" max="6146" width="12.375" style="30" customWidth="1"/>
    <col min="6147" max="6147" width="10.875" style="30" customWidth="1"/>
    <col min="6148" max="6148" width="8.75" style="30"/>
    <col min="6149" max="6149" width="12.75" style="30" customWidth="1"/>
    <col min="6150" max="6150" width="10.5" style="30" customWidth="1"/>
    <col min="6151" max="6151" width="11.25" style="30" customWidth="1"/>
    <col min="6152" max="6152" width="10.625" style="30" customWidth="1"/>
    <col min="6153" max="6153" width="12.75" style="30" customWidth="1"/>
    <col min="6154" max="6154" width="9" style="30" customWidth="1"/>
    <col min="6155" max="6155" width="10.875" style="30" customWidth="1"/>
    <col min="6156" max="6156" width="13.25" style="30" customWidth="1"/>
    <col min="6157" max="6158" width="9.25" style="30" customWidth="1"/>
    <col min="6159" max="6160" width="9.125" style="30" customWidth="1"/>
    <col min="6161" max="6161" width="11.75" style="30" customWidth="1"/>
    <col min="6162" max="6162" width="10.5" style="30" customWidth="1"/>
    <col min="6163" max="6163" width="9.125" style="30" customWidth="1"/>
    <col min="6164" max="6166" width="10.5" style="30" customWidth="1"/>
    <col min="6167" max="6167" width="9.125" style="30" customWidth="1"/>
    <col min="6168" max="6168" width="12.75" style="30" customWidth="1"/>
    <col min="6169" max="6170" width="10.5" style="30" customWidth="1"/>
    <col min="6171" max="6171" width="9.5" style="30" customWidth="1"/>
    <col min="6172" max="6172" width="9.125" style="30" customWidth="1"/>
    <col min="6173" max="6173" width="10.5" style="30" customWidth="1"/>
    <col min="6174" max="6174" width="12.75" style="30" customWidth="1"/>
    <col min="6175" max="6176" width="9.125" style="30" customWidth="1"/>
    <col min="6177" max="6177" width="10.5" style="30" customWidth="1"/>
    <col min="6178" max="6181" width="9.125" style="30" customWidth="1"/>
    <col min="6182" max="6182" width="9.5" style="30" customWidth="1"/>
    <col min="6183" max="6183" width="10.5" style="30" customWidth="1"/>
    <col min="6184" max="6184" width="9.125" style="30" customWidth="1"/>
    <col min="6185" max="6185" width="10.5" style="30" customWidth="1"/>
    <col min="6186" max="6187" width="9.125" style="30" customWidth="1"/>
    <col min="6188" max="6188" width="9.5" style="30" customWidth="1"/>
    <col min="6189" max="6189" width="9.125" style="30" customWidth="1"/>
    <col min="6190" max="6190" width="16.5" style="30" customWidth="1"/>
    <col min="6191" max="6191" width="18.125" style="30" customWidth="1"/>
    <col min="6192" max="6192" width="12.75" style="30" customWidth="1"/>
    <col min="6193" max="6195" width="9.125" style="30" customWidth="1"/>
    <col min="6196" max="6206" width="16" style="30" customWidth="1"/>
    <col min="6207" max="6207" width="10" style="30" customWidth="1"/>
    <col min="6208" max="6208" width="12.5" style="30" customWidth="1"/>
    <col min="6209" max="6210" width="10.5" style="30" bestFit="1" customWidth="1"/>
    <col min="6211" max="6212" width="9.125" style="30" bestFit="1" customWidth="1"/>
    <col min="6213" max="6213" width="10.5" style="30" bestFit="1" customWidth="1"/>
    <col min="6214" max="6214" width="13.5" style="30" customWidth="1"/>
    <col min="6215" max="6217" width="9.125" style="30" bestFit="1" customWidth="1"/>
    <col min="6218" max="6218" width="12.875" style="30" customWidth="1"/>
    <col min="6219" max="6220" width="9.125" style="30" bestFit="1" customWidth="1"/>
    <col min="6221" max="6221" width="11.5" style="30" customWidth="1"/>
    <col min="6222" max="6222" width="11.875" style="30" customWidth="1"/>
    <col min="6223" max="6223" width="10.5" style="30" customWidth="1"/>
    <col min="6224" max="6224" width="10.5" style="30" bestFit="1" customWidth="1"/>
    <col min="6225" max="6225" width="12.875" style="30" customWidth="1"/>
    <col min="6226" max="6226" width="12" style="30" customWidth="1"/>
    <col min="6227" max="6227" width="13.625" style="30" customWidth="1"/>
    <col min="6228" max="6228" width="16.5" style="30" customWidth="1"/>
    <col min="6229" max="6229" width="12" style="30" customWidth="1"/>
    <col min="6230" max="6230" width="12.875" style="30" customWidth="1"/>
    <col min="6231" max="6231" width="15.625" style="30" customWidth="1"/>
    <col min="6232" max="6232" width="9" style="30" customWidth="1"/>
    <col min="6233" max="6233" width="11.5" style="30" customWidth="1"/>
    <col min="6234" max="6234" width="9" style="30" customWidth="1"/>
    <col min="6235" max="6240" width="10.875" style="30" customWidth="1"/>
    <col min="6241" max="6241" width="16.625" style="30" customWidth="1"/>
    <col min="6242" max="6250" width="9" style="30" customWidth="1"/>
    <col min="6251" max="6251" width="15.375" style="30" customWidth="1"/>
    <col min="6252" max="6252" width="15.875" style="30" customWidth="1"/>
    <col min="6253" max="6271" width="9" style="30" customWidth="1"/>
    <col min="6272" max="6303" width="8.75" style="30"/>
    <col min="6304" max="6317" width="9" style="30" customWidth="1"/>
    <col min="6318" max="6399" width="8.75" style="30"/>
    <col min="6400" max="6400" width="9" style="30" customWidth="1"/>
    <col min="6401" max="6401" width="8.75" style="30"/>
    <col min="6402" max="6402" width="12.375" style="30" customWidth="1"/>
    <col min="6403" max="6403" width="10.875" style="30" customWidth="1"/>
    <col min="6404" max="6404" width="8.75" style="30"/>
    <col min="6405" max="6405" width="12.75" style="30" customWidth="1"/>
    <col min="6406" max="6406" width="10.5" style="30" customWidth="1"/>
    <col min="6407" max="6407" width="11.25" style="30" customWidth="1"/>
    <col min="6408" max="6408" width="10.625" style="30" customWidth="1"/>
    <col min="6409" max="6409" width="12.75" style="30" customWidth="1"/>
    <col min="6410" max="6410" width="9" style="30" customWidth="1"/>
    <col min="6411" max="6411" width="10.875" style="30" customWidth="1"/>
    <col min="6412" max="6412" width="13.25" style="30" customWidth="1"/>
    <col min="6413" max="6414" width="9.25" style="30" customWidth="1"/>
    <col min="6415" max="6416" width="9.125" style="30" customWidth="1"/>
    <col min="6417" max="6417" width="11.75" style="30" customWidth="1"/>
    <col min="6418" max="6418" width="10.5" style="30" customWidth="1"/>
    <col min="6419" max="6419" width="9.125" style="30" customWidth="1"/>
    <col min="6420" max="6422" width="10.5" style="30" customWidth="1"/>
    <col min="6423" max="6423" width="9.125" style="30" customWidth="1"/>
    <col min="6424" max="6424" width="12.75" style="30" customWidth="1"/>
    <col min="6425" max="6426" width="10.5" style="30" customWidth="1"/>
    <col min="6427" max="6427" width="9.5" style="30" customWidth="1"/>
    <col min="6428" max="6428" width="9.125" style="30" customWidth="1"/>
    <col min="6429" max="6429" width="10.5" style="30" customWidth="1"/>
    <col min="6430" max="6430" width="12.75" style="30" customWidth="1"/>
    <col min="6431" max="6432" width="9.125" style="30" customWidth="1"/>
    <col min="6433" max="6433" width="10.5" style="30" customWidth="1"/>
    <col min="6434" max="6437" width="9.125" style="30" customWidth="1"/>
    <col min="6438" max="6438" width="9.5" style="30" customWidth="1"/>
    <col min="6439" max="6439" width="10.5" style="30" customWidth="1"/>
    <col min="6440" max="6440" width="9.125" style="30" customWidth="1"/>
    <col min="6441" max="6441" width="10.5" style="30" customWidth="1"/>
    <col min="6442" max="6443" width="9.125" style="30" customWidth="1"/>
    <col min="6444" max="6444" width="9.5" style="30" customWidth="1"/>
    <col min="6445" max="6445" width="9.125" style="30" customWidth="1"/>
    <col min="6446" max="6446" width="16.5" style="30" customWidth="1"/>
    <col min="6447" max="6447" width="18.125" style="30" customWidth="1"/>
    <col min="6448" max="6448" width="12.75" style="30" customWidth="1"/>
    <col min="6449" max="6451" width="9.125" style="30" customWidth="1"/>
    <col min="6452" max="6462" width="16" style="30" customWidth="1"/>
    <col min="6463" max="6463" width="10" style="30" customWidth="1"/>
    <col min="6464" max="6464" width="12.5" style="30" customWidth="1"/>
    <col min="6465" max="6466" width="10.5" style="30" bestFit="1" customWidth="1"/>
    <col min="6467" max="6468" width="9.125" style="30" bestFit="1" customWidth="1"/>
    <col min="6469" max="6469" width="10.5" style="30" bestFit="1" customWidth="1"/>
    <col min="6470" max="6470" width="13.5" style="30" customWidth="1"/>
    <col min="6471" max="6473" width="9.125" style="30" bestFit="1" customWidth="1"/>
    <col min="6474" max="6474" width="12.875" style="30" customWidth="1"/>
    <col min="6475" max="6476" width="9.125" style="30" bestFit="1" customWidth="1"/>
    <col min="6477" max="6477" width="11.5" style="30" customWidth="1"/>
    <col min="6478" max="6478" width="11.875" style="30" customWidth="1"/>
    <col min="6479" max="6479" width="10.5" style="30" customWidth="1"/>
    <col min="6480" max="6480" width="10.5" style="30" bestFit="1" customWidth="1"/>
    <col min="6481" max="6481" width="12.875" style="30" customWidth="1"/>
    <col min="6482" max="6482" width="12" style="30" customWidth="1"/>
    <col min="6483" max="6483" width="13.625" style="30" customWidth="1"/>
    <col min="6484" max="6484" width="16.5" style="30" customWidth="1"/>
    <col min="6485" max="6485" width="12" style="30" customWidth="1"/>
    <col min="6486" max="6486" width="12.875" style="30" customWidth="1"/>
    <col min="6487" max="6487" width="15.625" style="30" customWidth="1"/>
    <col min="6488" max="6488" width="9" style="30" customWidth="1"/>
    <col min="6489" max="6489" width="11.5" style="30" customWidth="1"/>
    <col min="6490" max="6490" width="9" style="30" customWidth="1"/>
    <col min="6491" max="6496" width="10.875" style="30" customWidth="1"/>
    <col min="6497" max="6497" width="16.625" style="30" customWidth="1"/>
    <col min="6498" max="6506" width="9" style="30" customWidth="1"/>
    <col min="6507" max="6507" width="15.375" style="30" customWidth="1"/>
    <col min="6508" max="6508" width="15.875" style="30" customWidth="1"/>
    <col min="6509" max="6527" width="9" style="30" customWidth="1"/>
    <col min="6528" max="6559" width="8.75" style="30"/>
    <col min="6560" max="6573" width="9" style="30" customWidth="1"/>
    <col min="6574" max="6655" width="8.75" style="30"/>
    <col min="6656" max="6656" width="9" style="30" customWidth="1"/>
    <col min="6657" max="6657" width="8.75" style="30"/>
    <col min="6658" max="6658" width="12.375" style="30" customWidth="1"/>
    <col min="6659" max="6659" width="10.875" style="30" customWidth="1"/>
    <col min="6660" max="6660" width="8.75" style="30"/>
    <col min="6661" max="6661" width="12.75" style="30" customWidth="1"/>
    <col min="6662" max="6662" width="10.5" style="30" customWidth="1"/>
    <col min="6663" max="6663" width="11.25" style="30" customWidth="1"/>
    <col min="6664" max="6664" width="10.625" style="30" customWidth="1"/>
    <col min="6665" max="6665" width="12.75" style="30" customWidth="1"/>
    <col min="6666" max="6666" width="9" style="30" customWidth="1"/>
    <col min="6667" max="6667" width="10.875" style="30" customWidth="1"/>
    <col min="6668" max="6668" width="13.25" style="30" customWidth="1"/>
    <col min="6669" max="6670" width="9.25" style="30" customWidth="1"/>
    <col min="6671" max="6672" width="9.125" style="30" customWidth="1"/>
    <col min="6673" max="6673" width="11.75" style="30" customWidth="1"/>
    <col min="6674" max="6674" width="10.5" style="30" customWidth="1"/>
    <col min="6675" max="6675" width="9.125" style="30" customWidth="1"/>
    <col min="6676" max="6678" width="10.5" style="30" customWidth="1"/>
    <col min="6679" max="6679" width="9.125" style="30" customWidth="1"/>
    <col min="6680" max="6680" width="12.75" style="30" customWidth="1"/>
    <col min="6681" max="6682" width="10.5" style="30" customWidth="1"/>
    <col min="6683" max="6683" width="9.5" style="30" customWidth="1"/>
    <col min="6684" max="6684" width="9.125" style="30" customWidth="1"/>
    <col min="6685" max="6685" width="10.5" style="30" customWidth="1"/>
    <col min="6686" max="6686" width="12.75" style="30" customWidth="1"/>
    <col min="6687" max="6688" width="9.125" style="30" customWidth="1"/>
    <col min="6689" max="6689" width="10.5" style="30" customWidth="1"/>
    <col min="6690" max="6693" width="9.125" style="30" customWidth="1"/>
    <col min="6694" max="6694" width="9.5" style="30" customWidth="1"/>
    <col min="6695" max="6695" width="10.5" style="30" customWidth="1"/>
    <col min="6696" max="6696" width="9.125" style="30" customWidth="1"/>
    <col min="6697" max="6697" width="10.5" style="30" customWidth="1"/>
    <col min="6698" max="6699" width="9.125" style="30" customWidth="1"/>
    <col min="6700" max="6700" width="9.5" style="30" customWidth="1"/>
    <col min="6701" max="6701" width="9.125" style="30" customWidth="1"/>
    <col min="6702" max="6702" width="16.5" style="30" customWidth="1"/>
    <col min="6703" max="6703" width="18.125" style="30" customWidth="1"/>
    <col min="6704" max="6704" width="12.75" style="30" customWidth="1"/>
    <col min="6705" max="6707" width="9.125" style="30" customWidth="1"/>
    <col min="6708" max="6718" width="16" style="30" customWidth="1"/>
    <col min="6719" max="6719" width="10" style="30" customWidth="1"/>
    <col min="6720" max="6720" width="12.5" style="30" customWidth="1"/>
    <col min="6721" max="6722" width="10.5" style="30" bestFit="1" customWidth="1"/>
    <col min="6723" max="6724" width="9.125" style="30" bestFit="1" customWidth="1"/>
    <col min="6725" max="6725" width="10.5" style="30" bestFit="1" customWidth="1"/>
    <col min="6726" max="6726" width="13.5" style="30" customWidth="1"/>
    <col min="6727" max="6729" width="9.125" style="30" bestFit="1" customWidth="1"/>
    <col min="6730" max="6730" width="12.875" style="30" customWidth="1"/>
    <col min="6731" max="6732" width="9.125" style="30" bestFit="1" customWidth="1"/>
    <col min="6733" max="6733" width="11.5" style="30" customWidth="1"/>
    <col min="6734" max="6734" width="11.875" style="30" customWidth="1"/>
    <col min="6735" max="6735" width="10.5" style="30" customWidth="1"/>
    <col min="6736" max="6736" width="10.5" style="30" bestFit="1" customWidth="1"/>
    <col min="6737" max="6737" width="12.875" style="30" customWidth="1"/>
    <col min="6738" max="6738" width="12" style="30" customWidth="1"/>
    <col min="6739" max="6739" width="13.625" style="30" customWidth="1"/>
    <col min="6740" max="6740" width="16.5" style="30" customWidth="1"/>
    <col min="6741" max="6741" width="12" style="30" customWidth="1"/>
    <col min="6742" max="6742" width="12.875" style="30" customWidth="1"/>
    <col min="6743" max="6743" width="15.625" style="30" customWidth="1"/>
    <col min="6744" max="6744" width="9" style="30" customWidth="1"/>
    <col min="6745" max="6745" width="11.5" style="30" customWidth="1"/>
    <col min="6746" max="6746" width="9" style="30" customWidth="1"/>
    <col min="6747" max="6752" width="10.875" style="30" customWidth="1"/>
    <col min="6753" max="6753" width="16.625" style="30" customWidth="1"/>
    <col min="6754" max="6762" width="9" style="30" customWidth="1"/>
    <col min="6763" max="6763" width="15.375" style="30" customWidth="1"/>
    <col min="6764" max="6764" width="15.875" style="30" customWidth="1"/>
    <col min="6765" max="6783" width="9" style="30" customWidth="1"/>
    <col min="6784" max="6815" width="8.75" style="30"/>
    <col min="6816" max="6829" width="9" style="30" customWidth="1"/>
    <col min="6830" max="6911" width="8.75" style="30"/>
    <col min="6912" max="6912" width="9" style="30" customWidth="1"/>
    <col min="6913" max="6913" width="8.75" style="30"/>
    <col min="6914" max="6914" width="12.375" style="30" customWidth="1"/>
    <col min="6915" max="6915" width="10.875" style="30" customWidth="1"/>
    <col min="6916" max="6916" width="8.75" style="30"/>
    <col min="6917" max="6917" width="12.75" style="30" customWidth="1"/>
    <col min="6918" max="6918" width="10.5" style="30" customWidth="1"/>
    <col min="6919" max="6919" width="11.25" style="30" customWidth="1"/>
    <col min="6920" max="6920" width="10.625" style="30" customWidth="1"/>
    <col min="6921" max="6921" width="12.75" style="30" customWidth="1"/>
    <col min="6922" max="6922" width="9" style="30" customWidth="1"/>
    <col min="6923" max="6923" width="10.875" style="30" customWidth="1"/>
    <col min="6924" max="6924" width="13.25" style="30" customWidth="1"/>
    <col min="6925" max="6926" width="9.25" style="30" customWidth="1"/>
    <col min="6927" max="6928" width="9.125" style="30" customWidth="1"/>
    <col min="6929" max="6929" width="11.75" style="30" customWidth="1"/>
    <col min="6930" max="6930" width="10.5" style="30" customWidth="1"/>
    <col min="6931" max="6931" width="9.125" style="30" customWidth="1"/>
    <col min="6932" max="6934" width="10.5" style="30" customWidth="1"/>
    <col min="6935" max="6935" width="9.125" style="30" customWidth="1"/>
    <col min="6936" max="6936" width="12.75" style="30" customWidth="1"/>
    <col min="6937" max="6938" width="10.5" style="30" customWidth="1"/>
    <col min="6939" max="6939" width="9.5" style="30" customWidth="1"/>
    <col min="6940" max="6940" width="9.125" style="30" customWidth="1"/>
    <col min="6941" max="6941" width="10.5" style="30" customWidth="1"/>
    <col min="6942" max="6942" width="12.75" style="30" customWidth="1"/>
    <col min="6943" max="6944" width="9.125" style="30" customWidth="1"/>
    <col min="6945" max="6945" width="10.5" style="30" customWidth="1"/>
    <col min="6946" max="6949" width="9.125" style="30" customWidth="1"/>
    <col min="6950" max="6950" width="9.5" style="30" customWidth="1"/>
    <col min="6951" max="6951" width="10.5" style="30" customWidth="1"/>
    <col min="6952" max="6952" width="9.125" style="30" customWidth="1"/>
    <col min="6953" max="6953" width="10.5" style="30" customWidth="1"/>
    <col min="6954" max="6955" width="9.125" style="30" customWidth="1"/>
    <col min="6956" max="6956" width="9.5" style="30" customWidth="1"/>
    <col min="6957" max="6957" width="9.125" style="30" customWidth="1"/>
    <col min="6958" max="6958" width="16.5" style="30" customWidth="1"/>
    <col min="6959" max="6959" width="18.125" style="30" customWidth="1"/>
    <col min="6960" max="6960" width="12.75" style="30" customWidth="1"/>
    <col min="6961" max="6963" width="9.125" style="30" customWidth="1"/>
    <col min="6964" max="6974" width="16" style="30" customWidth="1"/>
    <col min="6975" max="6975" width="10" style="30" customWidth="1"/>
    <col min="6976" max="6976" width="12.5" style="30" customWidth="1"/>
    <col min="6977" max="6978" width="10.5" style="30" bestFit="1" customWidth="1"/>
    <col min="6979" max="6980" width="9.125" style="30" bestFit="1" customWidth="1"/>
    <col min="6981" max="6981" width="10.5" style="30" bestFit="1" customWidth="1"/>
    <col min="6982" max="6982" width="13.5" style="30" customWidth="1"/>
    <col min="6983" max="6985" width="9.125" style="30" bestFit="1" customWidth="1"/>
    <col min="6986" max="6986" width="12.875" style="30" customWidth="1"/>
    <col min="6987" max="6988" width="9.125" style="30" bestFit="1" customWidth="1"/>
    <col min="6989" max="6989" width="11.5" style="30" customWidth="1"/>
    <col min="6990" max="6990" width="11.875" style="30" customWidth="1"/>
    <col min="6991" max="6991" width="10.5" style="30" customWidth="1"/>
    <col min="6992" max="6992" width="10.5" style="30" bestFit="1" customWidth="1"/>
    <col min="6993" max="6993" width="12.875" style="30" customWidth="1"/>
    <col min="6994" max="6994" width="12" style="30" customWidth="1"/>
    <col min="6995" max="6995" width="13.625" style="30" customWidth="1"/>
    <col min="6996" max="6996" width="16.5" style="30" customWidth="1"/>
    <col min="6997" max="6997" width="12" style="30" customWidth="1"/>
    <col min="6998" max="6998" width="12.875" style="30" customWidth="1"/>
    <col min="6999" max="6999" width="15.625" style="30" customWidth="1"/>
    <col min="7000" max="7000" width="9" style="30" customWidth="1"/>
    <col min="7001" max="7001" width="11.5" style="30" customWidth="1"/>
    <col min="7002" max="7002" width="9" style="30" customWidth="1"/>
    <col min="7003" max="7008" width="10.875" style="30" customWidth="1"/>
    <col min="7009" max="7009" width="16.625" style="30" customWidth="1"/>
    <col min="7010" max="7018" width="9" style="30" customWidth="1"/>
    <col min="7019" max="7019" width="15.375" style="30" customWidth="1"/>
    <col min="7020" max="7020" width="15.875" style="30" customWidth="1"/>
    <col min="7021" max="7039" width="9" style="30" customWidth="1"/>
    <col min="7040" max="7071" width="8.75" style="30"/>
    <col min="7072" max="7085" width="9" style="30" customWidth="1"/>
    <col min="7086" max="7167" width="8.75" style="30"/>
    <col min="7168" max="7168" width="9" style="30" customWidth="1"/>
    <col min="7169" max="7169" width="8.75" style="30"/>
    <col min="7170" max="7170" width="12.375" style="30" customWidth="1"/>
    <col min="7171" max="7171" width="10.875" style="30" customWidth="1"/>
    <col min="7172" max="7172" width="8.75" style="30"/>
    <col min="7173" max="7173" width="12.75" style="30" customWidth="1"/>
    <col min="7174" max="7174" width="10.5" style="30" customWidth="1"/>
    <col min="7175" max="7175" width="11.25" style="30" customWidth="1"/>
    <col min="7176" max="7176" width="10.625" style="30" customWidth="1"/>
    <col min="7177" max="7177" width="12.75" style="30" customWidth="1"/>
    <col min="7178" max="7178" width="9" style="30" customWidth="1"/>
    <col min="7179" max="7179" width="10.875" style="30" customWidth="1"/>
    <col min="7180" max="7180" width="13.25" style="30" customWidth="1"/>
    <col min="7181" max="7182" width="9.25" style="30" customWidth="1"/>
    <col min="7183" max="7184" width="9.125" style="30" customWidth="1"/>
    <col min="7185" max="7185" width="11.75" style="30" customWidth="1"/>
    <col min="7186" max="7186" width="10.5" style="30" customWidth="1"/>
    <col min="7187" max="7187" width="9.125" style="30" customWidth="1"/>
    <col min="7188" max="7190" width="10.5" style="30" customWidth="1"/>
    <col min="7191" max="7191" width="9.125" style="30" customWidth="1"/>
    <col min="7192" max="7192" width="12.75" style="30" customWidth="1"/>
    <col min="7193" max="7194" width="10.5" style="30" customWidth="1"/>
    <col min="7195" max="7195" width="9.5" style="30" customWidth="1"/>
    <col min="7196" max="7196" width="9.125" style="30" customWidth="1"/>
    <col min="7197" max="7197" width="10.5" style="30" customWidth="1"/>
    <col min="7198" max="7198" width="12.75" style="30" customWidth="1"/>
    <col min="7199" max="7200" width="9.125" style="30" customWidth="1"/>
    <col min="7201" max="7201" width="10.5" style="30" customWidth="1"/>
    <col min="7202" max="7205" width="9.125" style="30" customWidth="1"/>
    <col min="7206" max="7206" width="9.5" style="30" customWidth="1"/>
    <col min="7207" max="7207" width="10.5" style="30" customWidth="1"/>
    <col min="7208" max="7208" width="9.125" style="30" customWidth="1"/>
    <col min="7209" max="7209" width="10.5" style="30" customWidth="1"/>
    <col min="7210" max="7211" width="9.125" style="30" customWidth="1"/>
    <col min="7212" max="7212" width="9.5" style="30" customWidth="1"/>
    <col min="7213" max="7213" width="9.125" style="30" customWidth="1"/>
    <col min="7214" max="7214" width="16.5" style="30" customWidth="1"/>
    <col min="7215" max="7215" width="18.125" style="30" customWidth="1"/>
    <col min="7216" max="7216" width="12.75" style="30" customWidth="1"/>
    <col min="7217" max="7219" width="9.125" style="30" customWidth="1"/>
    <col min="7220" max="7230" width="16" style="30" customWidth="1"/>
    <col min="7231" max="7231" width="10" style="30" customWidth="1"/>
    <col min="7232" max="7232" width="12.5" style="30" customWidth="1"/>
    <col min="7233" max="7234" width="10.5" style="30" bestFit="1" customWidth="1"/>
    <col min="7235" max="7236" width="9.125" style="30" bestFit="1" customWidth="1"/>
    <col min="7237" max="7237" width="10.5" style="30" bestFit="1" customWidth="1"/>
    <col min="7238" max="7238" width="13.5" style="30" customWidth="1"/>
    <col min="7239" max="7241" width="9.125" style="30" bestFit="1" customWidth="1"/>
    <col min="7242" max="7242" width="12.875" style="30" customWidth="1"/>
    <col min="7243" max="7244" width="9.125" style="30" bestFit="1" customWidth="1"/>
    <col min="7245" max="7245" width="11.5" style="30" customWidth="1"/>
    <col min="7246" max="7246" width="11.875" style="30" customWidth="1"/>
    <col min="7247" max="7247" width="10.5" style="30" customWidth="1"/>
    <col min="7248" max="7248" width="10.5" style="30" bestFit="1" customWidth="1"/>
    <col min="7249" max="7249" width="12.875" style="30" customWidth="1"/>
    <col min="7250" max="7250" width="12" style="30" customWidth="1"/>
    <col min="7251" max="7251" width="13.625" style="30" customWidth="1"/>
    <col min="7252" max="7252" width="16.5" style="30" customWidth="1"/>
    <col min="7253" max="7253" width="12" style="30" customWidth="1"/>
    <col min="7254" max="7254" width="12.875" style="30" customWidth="1"/>
    <col min="7255" max="7255" width="15.625" style="30" customWidth="1"/>
    <col min="7256" max="7256" width="9" style="30" customWidth="1"/>
    <col min="7257" max="7257" width="11.5" style="30" customWidth="1"/>
    <col min="7258" max="7258" width="9" style="30" customWidth="1"/>
    <col min="7259" max="7264" width="10.875" style="30" customWidth="1"/>
    <col min="7265" max="7265" width="16.625" style="30" customWidth="1"/>
    <col min="7266" max="7274" width="9" style="30" customWidth="1"/>
    <col min="7275" max="7275" width="15.375" style="30" customWidth="1"/>
    <col min="7276" max="7276" width="15.875" style="30" customWidth="1"/>
    <col min="7277" max="7295" width="9" style="30" customWidth="1"/>
    <col min="7296" max="7327" width="8.75" style="30"/>
    <col min="7328" max="7341" width="9" style="30" customWidth="1"/>
    <col min="7342" max="7423" width="8.75" style="30"/>
    <col min="7424" max="7424" width="9" style="30" customWidth="1"/>
    <col min="7425" max="7425" width="8.75" style="30"/>
    <col min="7426" max="7426" width="12.375" style="30" customWidth="1"/>
    <col min="7427" max="7427" width="10.875" style="30" customWidth="1"/>
    <col min="7428" max="7428" width="8.75" style="30"/>
    <col min="7429" max="7429" width="12.75" style="30" customWidth="1"/>
    <col min="7430" max="7430" width="10.5" style="30" customWidth="1"/>
    <col min="7431" max="7431" width="11.25" style="30" customWidth="1"/>
    <col min="7432" max="7432" width="10.625" style="30" customWidth="1"/>
    <col min="7433" max="7433" width="12.75" style="30" customWidth="1"/>
    <col min="7434" max="7434" width="9" style="30" customWidth="1"/>
    <col min="7435" max="7435" width="10.875" style="30" customWidth="1"/>
    <col min="7436" max="7436" width="13.25" style="30" customWidth="1"/>
    <col min="7437" max="7438" width="9.25" style="30" customWidth="1"/>
    <col min="7439" max="7440" width="9.125" style="30" customWidth="1"/>
    <col min="7441" max="7441" width="11.75" style="30" customWidth="1"/>
    <col min="7442" max="7442" width="10.5" style="30" customWidth="1"/>
    <col min="7443" max="7443" width="9.125" style="30" customWidth="1"/>
    <col min="7444" max="7446" width="10.5" style="30" customWidth="1"/>
    <col min="7447" max="7447" width="9.125" style="30" customWidth="1"/>
    <col min="7448" max="7448" width="12.75" style="30" customWidth="1"/>
    <col min="7449" max="7450" width="10.5" style="30" customWidth="1"/>
    <col min="7451" max="7451" width="9.5" style="30" customWidth="1"/>
    <col min="7452" max="7452" width="9.125" style="30" customWidth="1"/>
    <col min="7453" max="7453" width="10.5" style="30" customWidth="1"/>
    <col min="7454" max="7454" width="12.75" style="30" customWidth="1"/>
    <col min="7455" max="7456" width="9.125" style="30" customWidth="1"/>
    <col min="7457" max="7457" width="10.5" style="30" customWidth="1"/>
    <col min="7458" max="7461" width="9.125" style="30" customWidth="1"/>
    <col min="7462" max="7462" width="9.5" style="30" customWidth="1"/>
    <col min="7463" max="7463" width="10.5" style="30" customWidth="1"/>
    <col min="7464" max="7464" width="9.125" style="30" customWidth="1"/>
    <col min="7465" max="7465" width="10.5" style="30" customWidth="1"/>
    <col min="7466" max="7467" width="9.125" style="30" customWidth="1"/>
    <col min="7468" max="7468" width="9.5" style="30" customWidth="1"/>
    <col min="7469" max="7469" width="9.125" style="30" customWidth="1"/>
    <col min="7470" max="7470" width="16.5" style="30" customWidth="1"/>
    <col min="7471" max="7471" width="18.125" style="30" customWidth="1"/>
    <col min="7472" max="7472" width="12.75" style="30" customWidth="1"/>
    <col min="7473" max="7475" width="9.125" style="30" customWidth="1"/>
    <col min="7476" max="7486" width="16" style="30" customWidth="1"/>
    <col min="7487" max="7487" width="10" style="30" customWidth="1"/>
    <col min="7488" max="7488" width="12.5" style="30" customWidth="1"/>
    <col min="7489" max="7490" width="10.5" style="30" bestFit="1" customWidth="1"/>
    <col min="7491" max="7492" width="9.125" style="30" bestFit="1" customWidth="1"/>
    <col min="7493" max="7493" width="10.5" style="30" bestFit="1" customWidth="1"/>
    <col min="7494" max="7494" width="13.5" style="30" customWidth="1"/>
    <col min="7495" max="7497" width="9.125" style="30" bestFit="1" customWidth="1"/>
    <col min="7498" max="7498" width="12.875" style="30" customWidth="1"/>
    <col min="7499" max="7500" width="9.125" style="30" bestFit="1" customWidth="1"/>
    <col min="7501" max="7501" width="11.5" style="30" customWidth="1"/>
    <col min="7502" max="7502" width="11.875" style="30" customWidth="1"/>
    <col min="7503" max="7503" width="10.5" style="30" customWidth="1"/>
    <col min="7504" max="7504" width="10.5" style="30" bestFit="1" customWidth="1"/>
    <col min="7505" max="7505" width="12.875" style="30" customWidth="1"/>
    <col min="7506" max="7506" width="12" style="30" customWidth="1"/>
    <col min="7507" max="7507" width="13.625" style="30" customWidth="1"/>
    <col min="7508" max="7508" width="16.5" style="30" customWidth="1"/>
    <col min="7509" max="7509" width="12" style="30" customWidth="1"/>
    <col min="7510" max="7510" width="12.875" style="30" customWidth="1"/>
    <col min="7511" max="7511" width="15.625" style="30" customWidth="1"/>
    <col min="7512" max="7512" width="9" style="30" customWidth="1"/>
    <col min="7513" max="7513" width="11.5" style="30" customWidth="1"/>
    <col min="7514" max="7514" width="9" style="30" customWidth="1"/>
    <col min="7515" max="7520" width="10.875" style="30" customWidth="1"/>
    <col min="7521" max="7521" width="16.625" style="30" customWidth="1"/>
    <col min="7522" max="7530" width="9" style="30" customWidth="1"/>
    <col min="7531" max="7531" width="15.375" style="30" customWidth="1"/>
    <col min="7532" max="7532" width="15.875" style="30" customWidth="1"/>
    <col min="7533" max="7551" width="9" style="30" customWidth="1"/>
    <col min="7552" max="7583" width="8.75" style="30"/>
    <col min="7584" max="7597" width="9" style="30" customWidth="1"/>
    <col min="7598" max="7679" width="8.75" style="30"/>
    <col min="7680" max="7680" width="9" style="30" customWidth="1"/>
    <col min="7681" max="7681" width="8.75" style="30"/>
    <col min="7682" max="7682" width="12.375" style="30" customWidth="1"/>
    <col min="7683" max="7683" width="10.875" style="30" customWidth="1"/>
    <col min="7684" max="7684" width="8.75" style="30"/>
    <col min="7685" max="7685" width="12.75" style="30" customWidth="1"/>
    <col min="7686" max="7686" width="10.5" style="30" customWidth="1"/>
    <col min="7687" max="7687" width="11.25" style="30" customWidth="1"/>
    <col min="7688" max="7688" width="10.625" style="30" customWidth="1"/>
    <col min="7689" max="7689" width="12.75" style="30" customWidth="1"/>
    <col min="7690" max="7690" width="9" style="30" customWidth="1"/>
    <col min="7691" max="7691" width="10.875" style="30" customWidth="1"/>
    <col min="7692" max="7692" width="13.25" style="30" customWidth="1"/>
    <col min="7693" max="7694" width="9.25" style="30" customWidth="1"/>
    <col min="7695" max="7696" width="9.125" style="30" customWidth="1"/>
    <col min="7697" max="7697" width="11.75" style="30" customWidth="1"/>
    <col min="7698" max="7698" width="10.5" style="30" customWidth="1"/>
    <col min="7699" max="7699" width="9.125" style="30" customWidth="1"/>
    <col min="7700" max="7702" width="10.5" style="30" customWidth="1"/>
    <col min="7703" max="7703" width="9.125" style="30" customWidth="1"/>
    <col min="7704" max="7704" width="12.75" style="30" customWidth="1"/>
    <col min="7705" max="7706" width="10.5" style="30" customWidth="1"/>
    <col min="7707" max="7707" width="9.5" style="30" customWidth="1"/>
    <col min="7708" max="7708" width="9.125" style="30" customWidth="1"/>
    <col min="7709" max="7709" width="10.5" style="30" customWidth="1"/>
    <col min="7710" max="7710" width="12.75" style="30" customWidth="1"/>
    <col min="7711" max="7712" width="9.125" style="30" customWidth="1"/>
    <col min="7713" max="7713" width="10.5" style="30" customWidth="1"/>
    <col min="7714" max="7717" width="9.125" style="30" customWidth="1"/>
    <col min="7718" max="7718" width="9.5" style="30" customWidth="1"/>
    <col min="7719" max="7719" width="10.5" style="30" customWidth="1"/>
    <col min="7720" max="7720" width="9.125" style="30" customWidth="1"/>
    <col min="7721" max="7721" width="10.5" style="30" customWidth="1"/>
    <col min="7722" max="7723" width="9.125" style="30" customWidth="1"/>
    <col min="7724" max="7724" width="9.5" style="30" customWidth="1"/>
    <col min="7725" max="7725" width="9.125" style="30" customWidth="1"/>
    <col min="7726" max="7726" width="16.5" style="30" customWidth="1"/>
    <col min="7727" max="7727" width="18.125" style="30" customWidth="1"/>
    <col min="7728" max="7728" width="12.75" style="30" customWidth="1"/>
    <col min="7729" max="7731" width="9.125" style="30" customWidth="1"/>
    <col min="7732" max="7742" width="16" style="30" customWidth="1"/>
    <col min="7743" max="7743" width="10" style="30" customWidth="1"/>
    <col min="7744" max="7744" width="12.5" style="30" customWidth="1"/>
    <col min="7745" max="7746" width="10.5" style="30" bestFit="1" customWidth="1"/>
    <col min="7747" max="7748" width="9.125" style="30" bestFit="1" customWidth="1"/>
    <col min="7749" max="7749" width="10.5" style="30" bestFit="1" customWidth="1"/>
    <col min="7750" max="7750" width="13.5" style="30" customWidth="1"/>
    <col min="7751" max="7753" width="9.125" style="30" bestFit="1" customWidth="1"/>
    <col min="7754" max="7754" width="12.875" style="30" customWidth="1"/>
    <col min="7755" max="7756" width="9.125" style="30" bestFit="1" customWidth="1"/>
    <col min="7757" max="7757" width="11.5" style="30" customWidth="1"/>
    <col min="7758" max="7758" width="11.875" style="30" customWidth="1"/>
    <col min="7759" max="7759" width="10.5" style="30" customWidth="1"/>
    <col min="7760" max="7760" width="10.5" style="30" bestFit="1" customWidth="1"/>
    <col min="7761" max="7761" width="12.875" style="30" customWidth="1"/>
    <col min="7762" max="7762" width="12" style="30" customWidth="1"/>
    <col min="7763" max="7763" width="13.625" style="30" customWidth="1"/>
    <col min="7764" max="7764" width="16.5" style="30" customWidth="1"/>
    <col min="7765" max="7765" width="12" style="30" customWidth="1"/>
    <col min="7766" max="7766" width="12.875" style="30" customWidth="1"/>
    <col min="7767" max="7767" width="15.625" style="30" customWidth="1"/>
    <col min="7768" max="7768" width="9" style="30" customWidth="1"/>
    <col min="7769" max="7769" width="11.5" style="30" customWidth="1"/>
    <col min="7770" max="7770" width="9" style="30" customWidth="1"/>
    <col min="7771" max="7776" width="10.875" style="30" customWidth="1"/>
    <col min="7777" max="7777" width="16.625" style="30" customWidth="1"/>
    <col min="7778" max="7786" width="9" style="30" customWidth="1"/>
    <col min="7787" max="7787" width="15.375" style="30" customWidth="1"/>
    <col min="7788" max="7788" width="15.875" style="30" customWidth="1"/>
    <col min="7789" max="7807" width="9" style="30" customWidth="1"/>
    <col min="7808" max="7839" width="8.75" style="30"/>
    <col min="7840" max="7853" width="9" style="30" customWidth="1"/>
    <col min="7854" max="7935" width="8.75" style="30"/>
    <col min="7936" max="7936" width="9" style="30" customWidth="1"/>
    <col min="7937" max="7937" width="8.75" style="30"/>
    <col min="7938" max="7938" width="12.375" style="30" customWidth="1"/>
    <col min="7939" max="7939" width="10.875" style="30" customWidth="1"/>
    <col min="7940" max="7940" width="8.75" style="30"/>
    <col min="7941" max="7941" width="12.75" style="30" customWidth="1"/>
    <col min="7942" max="7942" width="10.5" style="30" customWidth="1"/>
    <col min="7943" max="7943" width="11.25" style="30" customWidth="1"/>
    <col min="7944" max="7944" width="10.625" style="30" customWidth="1"/>
    <col min="7945" max="7945" width="12.75" style="30" customWidth="1"/>
    <col min="7946" max="7946" width="9" style="30" customWidth="1"/>
    <col min="7947" max="7947" width="10.875" style="30" customWidth="1"/>
    <col min="7948" max="7948" width="13.25" style="30" customWidth="1"/>
    <col min="7949" max="7950" width="9.25" style="30" customWidth="1"/>
    <col min="7951" max="7952" width="9.125" style="30" customWidth="1"/>
    <col min="7953" max="7953" width="11.75" style="30" customWidth="1"/>
    <col min="7954" max="7954" width="10.5" style="30" customWidth="1"/>
    <col min="7955" max="7955" width="9.125" style="30" customWidth="1"/>
    <col min="7956" max="7958" width="10.5" style="30" customWidth="1"/>
    <col min="7959" max="7959" width="9.125" style="30" customWidth="1"/>
    <col min="7960" max="7960" width="12.75" style="30" customWidth="1"/>
    <col min="7961" max="7962" width="10.5" style="30" customWidth="1"/>
    <col min="7963" max="7963" width="9.5" style="30" customWidth="1"/>
    <col min="7964" max="7964" width="9.125" style="30" customWidth="1"/>
    <col min="7965" max="7965" width="10.5" style="30" customWidth="1"/>
    <col min="7966" max="7966" width="12.75" style="30" customWidth="1"/>
    <col min="7967" max="7968" width="9.125" style="30" customWidth="1"/>
    <col min="7969" max="7969" width="10.5" style="30" customWidth="1"/>
    <col min="7970" max="7973" width="9.125" style="30" customWidth="1"/>
    <col min="7974" max="7974" width="9.5" style="30" customWidth="1"/>
    <col min="7975" max="7975" width="10.5" style="30" customWidth="1"/>
    <col min="7976" max="7976" width="9.125" style="30" customWidth="1"/>
    <col min="7977" max="7977" width="10.5" style="30" customWidth="1"/>
    <col min="7978" max="7979" width="9.125" style="30" customWidth="1"/>
    <col min="7980" max="7980" width="9.5" style="30" customWidth="1"/>
    <col min="7981" max="7981" width="9.125" style="30" customWidth="1"/>
    <col min="7982" max="7982" width="16.5" style="30" customWidth="1"/>
    <col min="7983" max="7983" width="18.125" style="30" customWidth="1"/>
    <col min="7984" max="7984" width="12.75" style="30" customWidth="1"/>
    <col min="7985" max="7987" width="9.125" style="30" customWidth="1"/>
    <col min="7988" max="7998" width="16" style="30" customWidth="1"/>
    <col min="7999" max="7999" width="10" style="30" customWidth="1"/>
    <col min="8000" max="8000" width="12.5" style="30" customWidth="1"/>
    <col min="8001" max="8002" width="10.5" style="30" bestFit="1" customWidth="1"/>
    <col min="8003" max="8004" width="9.125" style="30" bestFit="1" customWidth="1"/>
    <col min="8005" max="8005" width="10.5" style="30" bestFit="1" customWidth="1"/>
    <col min="8006" max="8006" width="13.5" style="30" customWidth="1"/>
    <col min="8007" max="8009" width="9.125" style="30" bestFit="1" customWidth="1"/>
    <col min="8010" max="8010" width="12.875" style="30" customWidth="1"/>
    <col min="8011" max="8012" width="9.125" style="30" bestFit="1" customWidth="1"/>
    <col min="8013" max="8013" width="11.5" style="30" customWidth="1"/>
    <col min="8014" max="8014" width="11.875" style="30" customWidth="1"/>
    <col min="8015" max="8015" width="10.5" style="30" customWidth="1"/>
    <col min="8016" max="8016" width="10.5" style="30" bestFit="1" customWidth="1"/>
    <col min="8017" max="8017" width="12.875" style="30" customWidth="1"/>
    <col min="8018" max="8018" width="12" style="30" customWidth="1"/>
    <col min="8019" max="8019" width="13.625" style="30" customWidth="1"/>
    <col min="8020" max="8020" width="16.5" style="30" customWidth="1"/>
    <col min="8021" max="8021" width="12" style="30" customWidth="1"/>
    <col min="8022" max="8022" width="12.875" style="30" customWidth="1"/>
    <col min="8023" max="8023" width="15.625" style="30" customWidth="1"/>
    <col min="8024" max="8024" width="9" style="30" customWidth="1"/>
    <col min="8025" max="8025" width="11.5" style="30" customWidth="1"/>
    <col min="8026" max="8026" width="9" style="30" customWidth="1"/>
    <col min="8027" max="8032" width="10.875" style="30" customWidth="1"/>
    <col min="8033" max="8033" width="16.625" style="30" customWidth="1"/>
    <col min="8034" max="8042" width="9" style="30" customWidth="1"/>
    <col min="8043" max="8043" width="15.375" style="30" customWidth="1"/>
    <col min="8044" max="8044" width="15.875" style="30" customWidth="1"/>
    <col min="8045" max="8063" width="9" style="30" customWidth="1"/>
    <col min="8064" max="8095" width="8.75" style="30"/>
    <col min="8096" max="8109" width="9" style="30" customWidth="1"/>
    <col min="8110" max="8191" width="8.75" style="30"/>
    <col min="8192" max="8192" width="9" style="30" customWidth="1"/>
    <col min="8193" max="8193" width="8.75" style="30"/>
    <col min="8194" max="8194" width="12.375" style="30" customWidth="1"/>
    <col min="8195" max="8195" width="10.875" style="30" customWidth="1"/>
    <col min="8196" max="8196" width="8.75" style="30"/>
    <col min="8197" max="8197" width="12.75" style="30" customWidth="1"/>
    <col min="8198" max="8198" width="10.5" style="30" customWidth="1"/>
    <col min="8199" max="8199" width="11.25" style="30" customWidth="1"/>
    <col min="8200" max="8200" width="10.625" style="30" customWidth="1"/>
    <col min="8201" max="8201" width="12.75" style="30" customWidth="1"/>
    <col min="8202" max="8202" width="9" style="30" customWidth="1"/>
    <col min="8203" max="8203" width="10.875" style="30" customWidth="1"/>
    <col min="8204" max="8204" width="13.25" style="30" customWidth="1"/>
    <col min="8205" max="8206" width="9.25" style="30" customWidth="1"/>
    <col min="8207" max="8208" width="9.125" style="30" customWidth="1"/>
    <col min="8209" max="8209" width="11.75" style="30" customWidth="1"/>
    <col min="8210" max="8210" width="10.5" style="30" customWidth="1"/>
    <col min="8211" max="8211" width="9.125" style="30" customWidth="1"/>
    <col min="8212" max="8214" width="10.5" style="30" customWidth="1"/>
    <col min="8215" max="8215" width="9.125" style="30" customWidth="1"/>
    <col min="8216" max="8216" width="12.75" style="30" customWidth="1"/>
    <col min="8217" max="8218" width="10.5" style="30" customWidth="1"/>
    <col min="8219" max="8219" width="9.5" style="30" customWidth="1"/>
    <col min="8220" max="8220" width="9.125" style="30" customWidth="1"/>
    <col min="8221" max="8221" width="10.5" style="30" customWidth="1"/>
    <col min="8222" max="8222" width="12.75" style="30" customWidth="1"/>
    <col min="8223" max="8224" width="9.125" style="30" customWidth="1"/>
    <col min="8225" max="8225" width="10.5" style="30" customWidth="1"/>
    <col min="8226" max="8229" width="9.125" style="30" customWidth="1"/>
    <col min="8230" max="8230" width="9.5" style="30" customWidth="1"/>
    <col min="8231" max="8231" width="10.5" style="30" customWidth="1"/>
    <col min="8232" max="8232" width="9.125" style="30" customWidth="1"/>
    <col min="8233" max="8233" width="10.5" style="30" customWidth="1"/>
    <col min="8234" max="8235" width="9.125" style="30" customWidth="1"/>
    <col min="8236" max="8236" width="9.5" style="30" customWidth="1"/>
    <col min="8237" max="8237" width="9.125" style="30" customWidth="1"/>
    <col min="8238" max="8238" width="16.5" style="30" customWidth="1"/>
    <col min="8239" max="8239" width="18.125" style="30" customWidth="1"/>
    <col min="8240" max="8240" width="12.75" style="30" customWidth="1"/>
    <col min="8241" max="8243" width="9.125" style="30" customWidth="1"/>
    <col min="8244" max="8254" width="16" style="30" customWidth="1"/>
    <col min="8255" max="8255" width="10" style="30" customWidth="1"/>
    <col min="8256" max="8256" width="12.5" style="30" customWidth="1"/>
    <col min="8257" max="8258" width="10.5" style="30" bestFit="1" customWidth="1"/>
    <col min="8259" max="8260" width="9.125" style="30" bestFit="1" customWidth="1"/>
    <col min="8261" max="8261" width="10.5" style="30" bestFit="1" customWidth="1"/>
    <col min="8262" max="8262" width="13.5" style="30" customWidth="1"/>
    <col min="8263" max="8265" width="9.125" style="30" bestFit="1" customWidth="1"/>
    <col min="8266" max="8266" width="12.875" style="30" customWidth="1"/>
    <col min="8267" max="8268" width="9.125" style="30" bestFit="1" customWidth="1"/>
    <col min="8269" max="8269" width="11.5" style="30" customWidth="1"/>
    <col min="8270" max="8270" width="11.875" style="30" customWidth="1"/>
    <col min="8271" max="8271" width="10.5" style="30" customWidth="1"/>
    <col min="8272" max="8272" width="10.5" style="30" bestFit="1" customWidth="1"/>
    <col min="8273" max="8273" width="12.875" style="30" customWidth="1"/>
    <col min="8274" max="8274" width="12" style="30" customWidth="1"/>
    <col min="8275" max="8275" width="13.625" style="30" customWidth="1"/>
    <col min="8276" max="8276" width="16.5" style="30" customWidth="1"/>
    <col min="8277" max="8277" width="12" style="30" customWidth="1"/>
    <col min="8278" max="8278" width="12.875" style="30" customWidth="1"/>
    <col min="8279" max="8279" width="15.625" style="30" customWidth="1"/>
    <col min="8280" max="8280" width="9" style="30" customWidth="1"/>
    <col min="8281" max="8281" width="11.5" style="30" customWidth="1"/>
    <col min="8282" max="8282" width="9" style="30" customWidth="1"/>
    <col min="8283" max="8288" width="10.875" style="30" customWidth="1"/>
    <col min="8289" max="8289" width="16.625" style="30" customWidth="1"/>
    <col min="8290" max="8298" width="9" style="30" customWidth="1"/>
    <col min="8299" max="8299" width="15.375" style="30" customWidth="1"/>
    <col min="8300" max="8300" width="15.875" style="30" customWidth="1"/>
    <col min="8301" max="8319" width="9" style="30" customWidth="1"/>
    <col min="8320" max="8351" width="8.75" style="30"/>
    <col min="8352" max="8365" width="9" style="30" customWidth="1"/>
    <col min="8366" max="8447" width="8.75" style="30"/>
    <col min="8448" max="8448" width="9" style="30" customWidth="1"/>
    <col min="8449" max="8449" width="8.75" style="30"/>
    <col min="8450" max="8450" width="12.375" style="30" customWidth="1"/>
    <col min="8451" max="8451" width="10.875" style="30" customWidth="1"/>
    <col min="8452" max="8452" width="8.75" style="30"/>
    <col min="8453" max="8453" width="12.75" style="30" customWidth="1"/>
    <col min="8454" max="8454" width="10.5" style="30" customWidth="1"/>
    <col min="8455" max="8455" width="11.25" style="30" customWidth="1"/>
    <col min="8456" max="8456" width="10.625" style="30" customWidth="1"/>
    <col min="8457" max="8457" width="12.75" style="30" customWidth="1"/>
    <col min="8458" max="8458" width="9" style="30" customWidth="1"/>
    <col min="8459" max="8459" width="10.875" style="30" customWidth="1"/>
    <col min="8460" max="8460" width="13.25" style="30" customWidth="1"/>
    <col min="8461" max="8462" width="9.25" style="30" customWidth="1"/>
    <col min="8463" max="8464" width="9.125" style="30" customWidth="1"/>
    <col min="8465" max="8465" width="11.75" style="30" customWidth="1"/>
    <col min="8466" max="8466" width="10.5" style="30" customWidth="1"/>
    <col min="8467" max="8467" width="9.125" style="30" customWidth="1"/>
    <col min="8468" max="8470" width="10.5" style="30" customWidth="1"/>
    <col min="8471" max="8471" width="9.125" style="30" customWidth="1"/>
    <col min="8472" max="8472" width="12.75" style="30" customWidth="1"/>
    <col min="8473" max="8474" width="10.5" style="30" customWidth="1"/>
    <col min="8475" max="8475" width="9.5" style="30" customWidth="1"/>
    <col min="8476" max="8476" width="9.125" style="30" customWidth="1"/>
    <col min="8477" max="8477" width="10.5" style="30" customWidth="1"/>
    <col min="8478" max="8478" width="12.75" style="30" customWidth="1"/>
    <col min="8479" max="8480" width="9.125" style="30" customWidth="1"/>
    <col min="8481" max="8481" width="10.5" style="30" customWidth="1"/>
    <col min="8482" max="8485" width="9.125" style="30" customWidth="1"/>
    <col min="8486" max="8486" width="9.5" style="30" customWidth="1"/>
    <col min="8487" max="8487" width="10.5" style="30" customWidth="1"/>
    <col min="8488" max="8488" width="9.125" style="30" customWidth="1"/>
    <col min="8489" max="8489" width="10.5" style="30" customWidth="1"/>
    <col min="8490" max="8491" width="9.125" style="30" customWidth="1"/>
    <col min="8492" max="8492" width="9.5" style="30" customWidth="1"/>
    <col min="8493" max="8493" width="9.125" style="30" customWidth="1"/>
    <col min="8494" max="8494" width="16.5" style="30" customWidth="1"/>
    <col min="8495" max="8495" width="18.125" style="30" customWidth="1"/>
    <col min="8496" max="8496" width="12.75" style="30" customWidth="1"/>
    <col min="8497" max="8499" width="9.125" style="30" customWidth="1"/>
    <col min="8500" max="8510" width="16" style="30" customWidth="1"/>
    <col min="8511" max="8511" width="10" style="30" customWidth="1"/>
    <col min="8512" max="8512" width="12.5" style="30" customWidth="1"/>
    <col min="8513" max="8514" width="10.5" style="30" bestFit="1" customWidth="1"/>
    <col min="8515" max="8516" width="9.125" style="30" bestFit="1" customWidth="1"/>
    <col min="8517" max="8517" width="10.5" style="30" bestFit="1" customWidth="1"/>
    <col min="8518" max="8518" width="13.5" style="30" customWidth="1"/>
    <col min="8519" max="8521" width="9.125" style="30" bestFit="1" customWidth="1"/>
    <col min="8522" max="8522" width="12.875" style="30" customWidth="1"/>
    <col min="8523" max="8524" width="9.125" style="30" bestFit="1" customWidth="1"/>
    <col min="8525" max="8525" width="11.5" style="30" customWidth="1"/>
    <col min="8526" max="8526" width="11.875" style="30" customWidth="1"/>
    <col min="8527" max="8527" width="10.5" style="30" customWidth="1"/>
    <col min="8528" max="8528" width="10.5" style="30" bestFit="1" customWidth="1"/>
    <col min="8529" max="8529" width="12.875" style="30" customWidth="1"/>
    <col min="8530" max="8530" width="12" style="30" customWidth="1"/>
    <col min="8531" max="8531" width="13.625" style="30" customWidth="1"/>
    <col min="8532" max="8532" width="16.5" style="30" customWidth="1"/>
    <col min="8533" max="8533" width="12" style="30" customWidth="1"/>
    <col min="8534" max="8534" width="12.875" style="30" customWidth="1"/>
    <col min="8535" max="8535" width="15.625" style="30" customWidth="1"/>
    <col min="8536" max="8536" width="9" style="30" customWidth="1"/>
    <col min="8537" max="8537" width="11.5" style="30" customWidth="1"/>
    <col min="8538" max="8538" width="9" style="30" customWidth="1"/>
    <col min="8539" max="8544" width="10.875" style="30" customWidth="1"/>
    <col min="8545" max="8545" width="16.625" style="30" customWidth="1"/>
    <col min="8546" max="8554" width="9" style="30" customWidth="1"/>
    <col min="8555" max="8555" width="15.375" style="30" customWidth="1"/>
    <col min="8556" max="8556" width="15.875" style="30" customWidth="1"/>
    <col min="8557" max="8575" width="9" style="30" customWidth="1"/>
    <col min="8576" max="8607" width="8.75" style="30"/>
    <col min="8608" max="8621" width="9" style="30" customWidth="1"/>
    <col min="8622" max="8703" width="8.75" style="30"/>
    <col min="8704" max="8704" width="9" style="30" customWidth="1"/>
    <col min="8705" max="8705" width="8.75" style="30"/>
    <col min="8706" max="8706" width="12.375" style="30" customWidth="1"/>
    <col min="8707" max="8707" width="10.875" style="30" customWidth="1"/>
    <col min="8708" max="8708" width="8.75" style="30"/>
    <col min="8709" max="8709" width="12.75" style="30" customWidth="1"/>
    <col min="8710" max="8710" width="10.5" style="30" customWidth="1"/>
    <col min="8711" max="8711" width="11.25" style="30" customWidth="1"/>
    <col min="8712" max="8712" width="10.625" style="30" customWidth="1"/>
    <col min="8713" max="8713" width="12.75" style="30" customWidth="1"/>
    <col min="8714" max="8714" width="9" style="30" customWidth="1"/>
    <col min="8715" max="8715" width="10.875" style="30" customWidth="1"/>
    <col min="8716" max="8716" width="13.25" style="30" customWidth="1"/>
    <col min="8717" max="8718" width="9.25" style="30" customWidth="1"/>
    <col min="8719" max="8720" width="9.125" style="30" customWidth="1"/>
    <col min="8721" max="8721" width="11.75" style="30" customWidth="1"/>
    <col min="8722" max="8722" width="10.5" style="30" customWidth="1"/>
    <col min="8723" max="8723" width="9.125" style="30" customWidth="1"/>
    <col min="8724" max="8726" width="10.5" style="30" customWidth="1"/>
    <col min="8727" max="8727" width="9.125" style="30" customWidth="1"/>
    <col min="8728" max="8728" width="12.75" style="30" customWidth="1"/>
    <col min="8729" max="8730" width="10.5" style="30" customWidth="1"/>
    <col min="8731" max="8731" width="9.5" style="30" customWidth="1"/>
    <col min="8732" max="8732" width="9.125" style="30" customWidth="1"/>
    <col min="8733" max="8733" width="10.5" style="30" customWidth="1"/>
    <col min="8734" max="8734" width="12.75" style="30" customWidth="1"/>
    <col min="8735" max="8736" width="9.125" style="30" customWidth="1"/>
    <col min="8737" max="8737" width="10.5" style="30" customWidth="1"/>
    <col min="8738" max="8741" width="9.125" style="30" customWidth="1"/>
    <col min="8742" max="8742" width="9.5" style="30" customWidth="1"/>
    <col min="8743" max="8743" width="10.5" style="30" customWidth="1"/>
    <col min="8744" max="8744" width="9.125" style="30" customWidth="1"/>
    <col min="8745" max="8745" width="10.5" style="30" customWidth="1"/>
    <col min="8746" max="8747" width="9.125" style="30" customWidth="1"/>
    <col min="8748" max="8748" width="9.5" style="30" customWidth="1"/>
    <col min="8749" max="8749" width="9.125" style="30" customWidth="1"/>
    <col min="8750" max="8750" width="16.5" style="30" customWidth="1"/>
    <col min="8751" max="8751" width="18.125" style="30" customWidth="1"/>
    <col min="8752" max="8752" width="12.75" style="30" customWidth="1"/>
    <col min="8753" max="8755" width="9.125" style="30" customWidth="1"/>
    <col min="8756" max="8766" width="16" style="30" customWidth="1"/>
    <col min="8767" max="8767" width="10" style="30" customWidth="1"/>
    <col min="8768" max="8768" width="12.5" style="30" customWidth="1"/>
    <col min="8769" max="8770" width="10.5" style="30" bestFit="1" customWidth="1"/>
    <col min="8771" max="8772" width="9.125" style="30" bestFit="1" customWidth="1"/>
    <col min="8773" max="8773" width="10.5" style="30" bestFit="1" customWidth="1"/>
    <col min="8774" max="8774" width="13.5" style="30" customWidth="1"/>
    <col min="8775" max="8777" width="9.125" style="30" bestFit="1" customWidth="1"/>
    <col min="8778" max="8778" width="12.875" style="30" customWidth="1"/>
    <col min="8779" max="8780" width="9.125" style="30" bestFit="1" customWidth="1"/>
    <col min="8781" max="8781" width="11.5" style="30" customWidth="1"/>
    <col min="8782" max="8782" width="11.875" style="30" customWidth="1"/>
    <col min="8783" max="8783" width="10.5" style="30" customWidth="1"/>
    <col min="8784" max="8784" width="10.5" style="30" bestFit="1" customWidth="1"/>
    <col min="8785" max="8785" width="12.875" style="30" customWidth="1"/>
    <col min="8786" max="8786" width="12" style="30" customWidth="1"/>
    <col min="8787" max="8787" width="13.625" style="30" customWidth="1"/>
    <col min="8788" max="8788" width="16.5" style="30" customWidth="1"/>
    <col min="8789" max="8789" width="12" style="30" customWidth="1"/>
    <col min="8790" max="8790" width="12.875" style="30" customWidth="1"/>
    <col min="8791" max="8791" width="15.625" style="30" customWidth="1"/>
    <col min="8792" max="8792" width="9" style="30" customWidth="1"/>
    <col min="8793" max="8793" width="11.5" style="30" customWidth="1"/>
    <col min="8794" max="8794" width="9" style="30" customWidth="1"/>
    <col min="8795" max="8800" width="10.875" style="30" customWidth="1"/>
    <col min="8801" max="8801" width="16.625" style="30" customWidth="1"/>
    <col min="8802" max="8810" width="9" style="30" customWidth="1"/>
    <col min="8811" max="8811" width="15.375" style="30" customWidth="1"/>
    <col min="8812" max="8812" width="15.875" style="30" customWidth="1"/>
    <col min="8813" max="8831" width="9" style="30" customWidth="1"/>
    <col min="8832" max="8863" width="8.75" style="30"/>
    <col min="8864" max="8877" width="9" style="30" customWidth="1"/>
    <col min="8878" max="8959" width="8.75" style="30"/>
    <col min="8960" max="8960" width="9" style="30" customWidth="1"/>
    <col min="8961" max="8961" width="8.75" style="30"/>
    <col min="8962" max="8962" width="12.375" style="30" customWidth="1"/>
    <col min="8963" max="8963" width="10.875" style="30" customWidth="1"/>
    <col min="8964" max="8964" width="8.75" style="30"/>
    <col min="8965" max="8965" width="12.75" style="30" customWidth="1"/>
    <col min="8966" max="8966" width="10.5" style="30" customWidth="1"/>
    <col min="8967" max="8967" width="11.25" style="30" customWidth="1"/>
    <col min="8968" max="8968" width="10.625" style="30" customWidth="1"/>
    <col min="8969" max="8969" width="12.75" style="30" customWidth="1"/>
    <col min="8970" max="8970" width="9" style="30" customWidth="1"/>
    <col min="8971" max="8971" width="10.875" style="30" customWidth="1"/>
    <col min="8972" max="8972" width="13.25" style="30" customWidth="1"/>
    <col min="8973" max="8974" width="9.25" style="30" customWidth="1"/>
    <col min="8975" max="8976" width="9.125" style="30" customWidth="1"/>
    <col min="8977" max="8977" width="11.75" style="30" customWidth="1"/>
    <col min="8978" max="8978" width="10.5" style="30" customWidth="1"/>
    <col min="8979" max="8979" width="9.125" style="30" customWidth="1"/>
    <col min="8980" max="8982" width="10.5" style="30" customWidth="1"/>
    <col min="8983" max="8983" width="9.125" style="30" customWidth="1"/>
    <col min="8984" max="8984" width="12.75" style="30" customWidth="1"/>
    <col min="8985" max="8986" width="10.5" style="30" customWidth="1"/>
    <col min="8987" max="8987" width="9.5" style="30" customWidth="1"/>
    <col min="8988" max="8988" width="9.125" style="30" customWidth="1"/>
    <col min="8989" max="8989" width="10.5" style="30" customWidth="1"/>
    <col min="8990" max="8990" width="12.75" style="30" customWidth="1"/>
    <col min="8991" max="8992" width="9.125" style="30" customWidth="1"/>
    <col min="8993" max="8993" width="10.5" style="30" customWidth="1"/>
    <col min="8994" max="8997" width="9.125" style="30" customWidth="1"/>
    <col min="8998" max="8998" width="9.5" style="30" customWidth="1"/>
    <col min="8999" max="8999" width="10.5" style="30" customWidth="1"/>
    <col min="9000" max="9000" width="9.125" style="30" customWidth="1"/>
    <col min="9001" max="9001" width="10.5" style="30" customWidth="1"/>
    <col min="9002" max="9003" width="9.125" style="30" customWidth="1"/>
    <col min="9004" max="9004" width="9.5" style="30" customWidth="1"/>
    <col min="9005" max="9005" width="9.125" style="30" customWidth="1"/>
    <col min="9006" max="9006" width="16.5" style="30" customWidth="1"/>
    <col min="9007" max="9007" width="18.125" style="30" customWidth="1"/>
    <col min="9008" max="9008" width="12.75" style="30" customWidth="1"/>
    <col min="9009" max="9011" width="9.125" style="30" customWidth="1"/>
    <col min="9012" max="9022" width="16" style="30" customWidth="1"/>
    <col min="9023" max="9023" width="10" style="30" customWidth="1"/>
    <col min="9024" max="9024" width="12.5" style="30" customWidth="1"/>
    <col min="9025" max="9026" width="10.5" style="30" bestFit="1" customWidth="1"/>
    <col min="9027" max="9028" width="9.125" style="30" bestFit="1" customWidth="1"/>
    <col min="9029" max="9029" width="10.5" style="30" bestFit="1" customWidth="1"/>
    <col min="9030" max="9030" width="13.5" style="30" customWidth="1"/>
    <col min="9031" max="9033" width="9.125" style="30" bestFit="1" customWidth="1"/>
    <col min="9034" max="9034" width="12.875" style="30" customWidth="1"/>
    <col min="9035" max="9036" width="9.125" style="30" bestFit="1" customWidth="1"/>
    <col min="9037" max="9037" width="11.5" style="30" customWidth="1"/>
    <col min="9038" max="9038" width="11.875" style="30" customWidth="1"/>
    <col min="9039" max="9039" width="10.5" style="30" customWidth="1"/>
    <col min="9040" max="9040" width="10.5" style="30" bestFit="1" customWidth="1"/>
    <col min="9041" max="9041" width="12.875" style="30" customWidth="1"/>
    <col min="9042" max="9042" width="12" style="30" customWidth="1"/>
    <col min="9043" max="9043" width="13.625" style="30" customWidth="1"/>
    <col min="9044" max="9044" width="16.5" style="30" customWidth="1"/>
    <col min="9045" max="9045" width="12" style="30" customWidth="1"/>
    <col min="9046" max="9046" width="12.875" style="30" customWidth="1"/>
    <col min="9047" max="9047" width="15.625" style="30" customWidth="1"/>
    <col min="9048" max="9048" width="9" style="30" customWidth="1"/>
    <col min="9049" max="9049" width="11.5" style="30" customWidth="1"/>
    <col min="9050" max="9050" width="9" style="30" customWidth="1"/>
    <col min="9051" max="9056" width="10.875" style="30" customWidth="1"/>
    <col min="9057" max="9057" width="16.625" style="30" customWidth="1"/>
    <col min="9058" max="9066" width="9" style="30" customWidth="1"/>
    <col min="9067" max="9067" width="15.375" style="30" customWidth="1"/>
    <col min="9068" max="9068" width="15.875" style="30" customWidth="1"/>
    <col min="9069" max="9087" width="9" style="30" customWidth="1"/>
    <col min="9088" max="9119" width="8.75" style="30"/>
    <col min="9120" max="9133" width="9" style="30" customWidth="1"/>
    <col min="9134" max="9215" width="8.75" style="30"/>
    <col min="9216" max="9216" width="9" style="30" customWidth="1"/>
    <col min="9217" max="9217" width="8.75" style="30"/>
    <col min="9218" max="9218" width="12.375" style="30" customWidth="1"/>
    <col min="9219" max="9219" width="10.875" style="30" customWidth="1"/>
    <col min="9220" max="9220" width="8.75" style="30"/>
    <col min="9221" max="9221" width="12.75" style="30" customWidth="1"/>
    <col min="9222" max="9222" width="10.5" style="30" customWidth="1"/>
    <col min="9223" max="9223" width="11.25" style="30" customWidth="1"/>
    <col min="9224" max="9224" width="10.625" style="30" customWidth="1"/>
    <col min="9225" max="9225" width="12.75" style="30" customWidth="1"/>
    <col min="9226" max="9226" width="9" style="30" customWidth="1"/>
    <col min="9227" max="9227" width="10.875" style="30" customWidth="1"/>
    <col min="9228" max="9228" width="13.25" style="30" customWidth="1"/>
    <col min="9229" max="9230" width="9.25" style="30" customWidth="1"/>
    <col min="9231" max="9232" width="9.125" style="30" customWidth="1"/>
    <col min="9233" max="9233" width="11.75" style="30" customWidth="1"/>
    <col min="9234" max="9234" width="10.5" style="30" customWidth="1"/>
    <col min="9235" max="9235" width="9.125" style="30" customWidth="1"/>
    <col min="9236" max="9238" width="10.5" style="30" customWidth="1"/>
    <col min="9239" max="9239" width="9.125" style="30" customWidth="1"/>
    <col min="9240" max="9240" width="12.75" style="30" customWidth="1"/>
    <col min="9241" max="9242" width="10.5" style="30" customWidth="1"/>
    <col min="9243" max="9243" width="9.5" style="30" customWidth="1"/>
    <col min="9244" max="9244" width="9.125" style="30" customWidth="1"/>
    <col min="9245" max="9245" width="10.5" style="30" customWidth="1"/>
    <col min="9246" max="9246" width="12.75" style="30" customWidth="1"/>
    <col min="9247" max="9248" width="9.125" style="30" customWidth="1"/>
    <col min="9249" max="9249" width="10.5" style="30" customWidth="1"/>
    <col min="9250" max="9253" width="9.125" style="30" customWidth="1"/>
    <col min="9254" max="9254" width="9.5" style="30" customWidth="1"/>
    <col min="9255" max="9255" width="10.5" style="30" customWidth="1"/>
    <col min="9256" max="9256" width="9.125" style="30" customWidth="1"/>
    <col min="9257" max="9257" width="10.5" style="30" customWidth="1"/>
    <col min="9258" max="9259" width="9.125" style="30" customWidth="1"/>
    <col min="9260" max="9260" width="9.5" style="30" customWidth="1"/>
    <col min="9261" max="9261" width="9.125" style="30" customWidth="1"/>
    <col min="9262" max="9262" width="16.5" style="30" customWidth="1"/>
    <col min="9263" max="9263" width="18.125" style="30" customWidth="1"/>
    <col min="9264" max="9264" width="12.75" style="30" customWidth="1"/>
    <col min="9265" max="9267" width="9.125" style="30" customWidth="1"/>
    <col min="9268" max="9278" width="16" style="30" customWidth="1"/>
    <col min="9279" max="9279" width="10" style="30" customWidth="1"/>
    <col min="9280" max="9280" width="12.5" style="30" customWidth="1"/>
    <col min="9281" max="9282" width="10.5" style="30" bestFit="1" customWidth="1"/>
    <col min="9283" max="9284" width="9.125" style="30" bestFit="1" customWidth="1"/>
    <col min="9285" max="9285" width="10.5" style="30" bestFit="1" customWidth="1"/>
    <col min="9286" max="9286" width="13.5" style="30" customWidth="1"/>
    <col min="9287" max="9289" width="9.125" style="30" bestFit="1" customWidth="1"/>
    <col min="9290" max="9290" width="12.875" style="30" customWidth="1"/>
    <col min="9291" max="9292" width="9.125" style="30" bestFit="1" customWidth="1"/>
    <col min="9293" max="9293" width="11.5" style="30" customWidth="1"/>
    <col min="9294" max="9294" width="11.875" style="30" customWidth="1"/>
    <col min="9295" max="9295" width="10.5" style="30" customWidth="1"/>
    <col min="9296" max="9296" width="10.5" style="30" bestFit="1" customWidth="1"/>
    <col min="9297" max="9297" width="12.875" style="30" customWidth="1"/>
    <col min="9298" max="9298" width="12" style="30" customWidth="1"/>
    <col min="9299" max="9299" width="13.625" style="30" customWidth="1"/>
    <col min="9300" max="9300" width="16.5" style="30" customWidth="1"/>
    <col min="9301" max="9301" width="12" style="30" customWidth="1"/>
    <col min="9302" max="9302" width="12.875" style="30" customWidth="1"/>
    <col min="9303" max="9303" width="15.625" style="30" customWidth="1"/>
    <col min="9304" max="9304" width="9" style="30" customWidth="1"/>
    <col min="9305" max="9305" width="11.5" style="30" customWidth="1"/>
    <col min="9306" max="9306" width="9" style="30" customWidth="1"/>
    <col min="9307" max="9312" width="10.875" style="30" customWidth="1"/>
    <col min="9313" max="9313" width="16.625" style="30" customWidth="1"/>
    <col min="9314" max="9322" width="9" style="30" customWidth="1"/>
    <col min="9323" max="9323" width="15.375" style="30" customWidth="1"/>
    <col min="9324" max="9324" width="15.875" style="30" customWidth="1"/>
    <col min="9325" max="9343" width="9" style="30" customWidth="1"/>
    <col min="9344" max="9375" width="8.75" style="30"/>
    <col min="9376" max="9389" width="9" style="30" customWidth="1"/>
    <col min="9390" max="9471" width="8.75" style="30"/>
    <col min="9472" max="9472" width="9" style="30" customWidth="1"/>
    <col min="9473" max="9473" width="8.75" style="30"/>
    <col min="9474" max="9474" width="12.375" style="30" customWidth="1"/>
    <col min="9475" max="9475" width="10.875" style="30" customWidth="1"/>
    <col min="9476" max="9476" width="8.75" style="30"/>
    <col min="9477" max="9477" width="12.75" style="30" customWidth="1"/>
    <col min="9478" max="9478" width="10.5" style="30" customWidth="1"/>
    <col min="9479" max="9479" width="11.25" style="30" customWidth="1"/>
    <col min="9480" max="9480" width="10.625" style="30" customWidth="1"/>
    <col min="9481" max="9481" width="12.75" style="30" customWidth="1"/>
    <col min="9482" max="9482" width="9" style="30" customWidth="1"/>
    <col min="9483" max="9483" width="10.875" style="30" customWidth="1"/>
    <col min="9484" max="9484" width="13.25" style="30" customWidth="1"/>
    <col min="9485" max="9486" width="9.25" style="30" customWidth="1"/>
    <col min="9487" max="9488" width="9.125" style="30" customWidth="1"/>
    <col min="9489" max="9489" width="11.75" style="30" customWidth="1"/>
    <col min="9490" max="9490" width="10.5" style="30" customWidth="1"/>
    <col min="9491" max="9491" width="9.125" style="30" customWidth="1"/>
    <col min="9492" max="9494" width="10.5" style="30" customWidth="1"/>
    <col min="9495" max="9495" width="9.125" style="30" customWidth="1"/>
    <col min="9496" max="9496" width="12.75" style="30" customWidth="1"/>
    <col min="9497" max="9498" width="10.5" style="30" customWidth="1"/>
    <col min="9499" max="9499" width="9.5" style="30" customWidth="1"/>
    <col min="9500" max="9500" width="9.125" style="30" customWidth="1"/>
    <col min="9501" max="9501" width="10.5" style="30" customWidth="1"/>
    <col min="9502" max="9502" width="12.75" style="30" customWidth="1"/>
    <col min="9503" max="9504" width="9.125" style="30" customWidth="1"/>
    <col min="9505" max="9505" width="10.5" style="30" customWidth="1"/>
    <col min="9506" max="9509" width="9.125" style="30" customWidth="1"/>
    <col min="9510" max="9510" width="9.5" style="30" customWidth="1"/>
    <col min="9511" max="9511" width="10.5" style="30" customWidth="1"/>
    <col min="9512" max="9512" width="9.125" style="30" customWidth="1"/>
    <col min="9513" max="9513" width="10.5" style="30" customWidth="1"/>
    <col min="9514" max="9515" width="9.125" style="30" customWidth="1"/>
    <col min="9516" max="9516" width="9.5" style="30" customWidth="1"/>
    <col min="9517" max="9517" width="9.125" style="30" customWidth="1"/>
    <col min="9518" max="9518" width="16.5" style="30" customWidth="1"/>
    <col min="9519" max="9519" width="18.125" style="30" customWidth="1"/>
    <col min="9520" max="9520" width="12.75" style="30" customWidth="1"/>
    <col min="9521" max="9523" width="9.125" style="30" customWidth="1"/>
    <col min="9524" max="9534" width="16" style="30" customWidth="1"/>
    <col min="9535" max="9535" width="10" style="30" customWidth="1"/>
    <col min="9536" max="9536" width="12.5" style="30" customWidth="1"/>
    <col min="9537" max="9538" width="10.5" style="30" bestFit="1" customWidth="1"/>
    <col min="9539" max="9540" width="9.125" style="30" bestFit="1" customWidth="1"/>
    <col min="9541" max="9541" width="10.5" style="30" bestFit="1" customWidth="1"/>
    <col min="9542" max="9542" width="13.5" style="30" customWidth="1"/>
    <col min="9543" max="9545" width="9.125" style="30" bestFit="1" customWidth="1"/>
    <col min="9546" max="9546" width="12.875" style="30" customWidth="1"/>
    <col min="9547" max="9548" width="9.125" style="30" bestFit="1" customWidth="1"/>
    <col min="9549" max="9549" width="11.5" style="30" customWidth="1"/>
    <col min="9550" max="9550" width="11.875" style="30" customWidth="1"/>
    <col min="9551" max="9551" width="10.5" style="30" customWidth="1"/>
    <col min="9552" max="9552" width="10.5" style="30" bestFit="1" customWidth="1"/>
    <col min="9553" max="9553" width="12.875" style="30" customWidth="1"/>
    <col min="9554" max="9554" width="12" style="30" customWidth="1"/>
    <col min="9555" max="9555" width="13.625" style="30" customWidth="1"/>
    <col min="9556" max="9556" width="16.5" style="30" customWidth="1"/>
    <col min="9557" max="9557" width="12" style="30" customWidth="1"/>
    <col min="9558" max="9558" width="12.875" style="30" customWidth="1"/>
    <col min="9559" max="9559" width="15.625" style="30" customWidth="1"/>
    <col min="9560" max="9560" width="9" style="30" customWidth="1"/>
    <col min="9561" max="9561" width="11.5" style="30" customWidth="1"/>
    <col min="9562" max="9562" width="9" style="30" customWidth="1"/>
    <col min="9563" max="9568" width="10.875" style="30" customWidth="1"/>
    <col min="9569" max="9569" width="16.625" style="30" customWidth="1"/>
    <col min="9570" max="9578" width="9" style="30" customWidth="1"/>
    <col min="9579" max="9579" width="15.375" style="30" customWidth="1"/>
    <col min="9580" max="9580" width="15.875" style="30" customWidth="1"/>
    <col min="9581" max="9599" width="9" style="30" customWidth="1"/>
    <col min="9600" max="9631" width="8.75" style="30"/>
    <col min="9632" max="9645" width="9" style="30" customWidth="1"/>
    <col min="9646" max="9727" width="8.75" style="30"/>
    <col min="9728" max="9728" width="9" style="30" customWidth="1"/>
    <col min="9729" max="9729" width="8.75" style="30"/>
    <col min="9730" max="9730" width="12.375" style="30" customWidth="1"/>
    <col min="9731" max="9731" width="10.875" style="30" customWidth="1"/>
    <col min="9732" max="9732" width="8.75" style="30"/>
    <col min="9733" max="9733" width="12.75" style="30" customWidth="1"/>
    <col min="9734" max="9734" width="10.5" style="30" customWidth="1"/>
    <col min="9735" max="9735" width="11.25" style="30" customWidth="1"/>
    <col min="9736" max="9736" width="10.625" style="30" customWidth="1"/>
    <col min="9737" max="9737" width="12.75" style="30" customWidth="1"/>
    <col min="9738" max="9738" width="9" style="30" customWidth="1"/>
    <col min="9739" max="9739" width="10.875" style="30" customWidth="1"/>
    <col min="9740" max="9740" width="13.25" style="30" customWidth="1"/>
    <col min="9741" max="9742" width="9.25" style="30" customWidth="1"/>
    <col min="9743" max="9744" width="9.125" style="30" customWidth="1"/>
    <col min="9745" max="9745" width="11.75" style="30" customWidth="1"/>
    <col min="9746" max="9746" width="10.5" style="30" customWidth="1"/>
    <col min="9747" max="9747" width="9.125" style="30" customWidth="1"/>
    <col min="9748" max="9750" width="10.5" style="30" customWidth="1"/>
    <col min="9751" max="9751" width="9.125" style="30" customWidth="1"/>
    <col min="9752" max="9752" width="12.75" style="30" customWidth="1"/>
    <col min="9753" max="9754" width="10.5" style="30" customWidth="1"/>
    <col min="9755" max="9755" width="9.5" style="30" customWidth="1"/>
    <col min="9756" max="9756" width="9.125" style="30" customWidth="1"/>
    <col min="9757" max="9757" width="10.5" style="30" customWidth="1"/>
    <col min="9758" max="9758" width="12.75" style="30" customWidth="1"/>
    <col min="9759" max="9760" width="9.125" style="30" customWidth="1"/>
    <col min="9761" max="9761" width="10.5" style="30" customWidth="1"/>
    <col min="9762" max="9765" width="9.125" style="30" customWidth="1"/>
    <col min="9766" max="9766" width="9.5" style="30" customWidth="1"/>
    <col min="9767" max="9767" width="10.5" style="30" customWidth="1"/>
    <col min="9768" max="9768" width="9.125" style="30" customWidth="1"/>
    <col min="9769" max="9769" width="10.5" style="30" customWidth="1"/>
    <col min="9770" max="9771" width="9.125" style="30" customWidth="1"/>
    <col min="9772" max="9772" width="9.5" style="30" customWidth="1"/>
    <col min="9773" max="9773" width="9.125" style="30" customWidth="1"/>
    <col min="9774" max="9774" width="16.5" style="30" customWidth="1"/>
    <col min="9775" max="9775" width="18.125" style="30" customWidth="1"/>
    <col min="9776" max="9776" width="12.75" style="30" customWidth="1"/>
    <col min="9777" max="9779" width="9.125" style="30" customWidth="1"/>
    <col min="9780" max="9790" width="16" style="30" customWidth="1"/>
    <col min="9791" max="9791" width="10" style="30" customWidth="1"/>
    <col min="9792" max="9792" width="12.5" style="30" customWidth="1"/>
    <col min="9793" max="9794" width="10.5" style="30" bestFit="1" customWidth="1"/>
    <col min="9795" max="9796" width="9.125" style="30" bestFit="1" customWidth="1"/>
    <col min="9797" max="9797" width="10.5" style="30" bestFit="1" customWidth="1"/>
    <col min="9798" max="9798" width="13.5" style="30" customWidth="1"/>
    <col min="9799" max="9801" width="9.125" style="30" bestFit="1" customWidth="1"/>
    <col min="9802" max="9802" width="12.875" style="30" customWidth="1"/>
    <col min="9803" max="9804" width="9.125" style="30" bestFit="1" customWidth="1"/>
    <col min="9805" max="9805" width="11.5" style="30" customWidth="1"/>
    <col min="9806" max="9806" width="11.875" style="30" customWidth="1"/>
    <col min="9807" max="9807" width="10.5" style="30" customWidth="1"/>
    <col min="9808" max="9808" width="10.5" style="30" bestFit="1" customWidth="1"/>
    <col min="9809" max="9809" width="12.875" style="30" customWidth="1"/>
    <col min="9810" max="9810" width="12" style="30" customWidth="1"/>
    <col min="9811" max="9811" width="13.625" style="30" customWidth="1"/>
    <col min="9812" max="9812" width="16.5" style="30" customWidth="1"/>
    <col min="9813" max="9813" width="12" style="30" customWidth="1"/>
    <col min="9814" max="9814" width="12.875" style="30" customWidth="1"/>
    <col min="9815" max="9815" width="15.625" style="30" customWidth="1"/>
    <col min="9816" max="9816" width="9" style="30" customWidth="1"/>
    <col min="9817" max="9817" width="11.5" style="30" customWidth="1"/>
    <col min="9818" max="9818" width="9" style="30" customWidth="1"/>
    <col min="9819" max="9824" width="10.875" style="30" customWidth="1"/>
    <col min="9825" max="9825" width="16.625" style="30" customWidth="1"/>
    <col min="9826" max="9834" width="9" style="30" customWidth="1"/>
    <col min="9835" max="9835" width="15.375" style="30" customWidth="1"/>
    <col min="9836" max="9836" width="15.875" style="30" customWidth="1"/>
    <col min="9837" max="9855" width="9" style="30" customWidth="1"/>
    <col min="9856" max="9887" width="8.75" style="30"/>
    <col min="9888" max="9901" width="9" style="30" customWidth="1"/>
    <col min="9902" max="9983" width="8.75" style="30"/>
    <col min="9984" max="9984" width="9" style="30" customWidth="1"/>
    <col min="9985" max="9985" width="8.75" style="30"/>
    <col min="9986" max="9986" width="12.375" style="30" customWidth="1"/>
    <col min="9987" max="9987" width="10.875" style="30" customWidth="1"/>
    <col min="9988" max="9988" width="8.75" style="30"/>
    <col min="9989" max="9989" width="12.75" style="30" customWidth="1"/>
    <col min="9990" max="9990" width="10.5" style="30" customWidth="1"/>
    <col min="9991" max="9991" width="11.25" style="30" customWidth="1"/>
    <col min="9992" max="9992" width="10.625" style="30" customWidth="1"/>
    <col min="9993" max="9993" width="12.75" style="30" customWidth="1"/>
    <col min="9994" max="9994" width="9" style="30" customWidth="1"/>
    <col min="9995" max="9995" width="10.875" style="30" customWidth="1"/>
    <col min="9996" max="9996" width="13.25" style="30" customWidth="1"/>
    <col min="9997" max="9998" width="9.25" style="30" customWidth="1"/>
    <col min="9999" max="10000" width="9.125" style="30" customWidth="1"/>
    <col min="10001" max="10001" width="11.75" style="30" customWidth="1"/>
    <col min="10002" max="10002" width="10.5" style="30" customWidth="1"/>
    <col min="10003" max="10003" width="9.125" style="30" customWidth="1"/>
    <col min="10004" max="10006" width="10.5" style="30" customWidth="1"/>
    <col min="10007" max="10007" width="9.125" style="30" customWidth="1"/>
    <col min="10008" max="10008" width="12.75" style="30" customWidth="1"/>
    <col min="10009" max="10010" width="10.5" style="30" customWidth="1"/>
    <col min="10011" max="10011" width="9.5" style="30" customWidth="1"/>
    <col min="10012" max="10012" width="9.125" style="30" customWidth="1"/>
    <col min="10013" max="10013" width="10.5" style="30" customWidth="1"/>
    <col min="10014" max="10014" width="12.75" style="30" customWidth="1"/>
    <col min="10015" max="10016" width="9.125" style="30" customWidth="1"/>
    <col min="10017" max="10017" width="10.5" style="30" customWidth="1"/>
    <col min="10018" max="10021" width="9.125" style="30" customWidth="1"/>
    <col min="10022" max="10022" width="9.5" style="30" customWidth="1"/>
    <col min="10023" max="10023" width="10.5" style="30" customWidth="1"/>
    <col min="10024" max="10024" width="9.125" style="30" customWidth="1"/>
    <col min="10025" max="10025" width="10.5" style="30" customWidth="1"/>
    <col min="10026" max="10027" width="9.125" style="30" customWidth="1"/>
    <col min="10028" max="10028" width="9.5" style="30" customWidth="1"/>
    <col min="10029" max="10029" width="9.125" style="30" customWidth="1"/>
    <col min="10030" max="10030" width="16.5" style="30" customWidth="1"/>
    <col min="10031" max="10031" width="18.125" style="30" customWidth="1"/>
    <col min="10032" max="10032" width="12.75" style="30" customWidth="1"/>
    <col min="10033" max="10035" width="9.125" style="30" customWidth="1"/>
    <col min="10036" max="10046" width="16" style="30" customWidth="1"/>
    <col min="10047" max="10047" width="10" style="30" customWidth="1"/>
    <col min="10048" max="10048" width="12.5" style="30" customWidth="1"/>
    <col min="10049" max="10050" width="10.5" style="30" bestFit="1" customWidth="1"/>
    <col min="10051" max="10052" width="9.125" style="30" bestFit="1" customWidth="1"/>
    <col min="10053" max="10053" width="10.5" style="30" bestFit="1" customWidth="1"/>
    <col min="10054" max="10054" width="13.5" style="30" customWidth="1"/>
    <col min="10055" max="10057" width="9.125" style="30" bestFit="1" customWidth="1"/>
    <col min="10058" max="10058" width="12.875" style="30" customWidth="1"/>
    <col min="10059" max="10060" width="9.125" style="30" bestFit="1" customWidth="1"/>
    <col min="10061" max="10061" width="11.5" style="30" customWidth="1"/>
    <col min="10062" max="10062" width="11.875" style="30" customWidth="1"/>
    <col min="10063" max="10063" width="10.5" style="30" customWidth="1"/>
    <col min="10064" max="10064" width="10.5" style="30" bestFit="1" customWidth="1"/>
    <col min="10065" max="10065" width="12.875" style="30" customWidth="1"/>
    <col min="10066" max="10066" width="12" style="30" customWidth="1"/>
    <col min="10067" max="10067" width="13.625" style="30" customWidth="1"/>
    <col min="10068" max="10068" width="16.5" style="30" customWidth="1"/>
    <col min="10069" max="10069" width="12" style="30" customWidth="1"/>
    <col min="10070" max="10070" width="12.875" style="30" customWidth="1"/>
    <col min="10071" max="10071" width="15.625" style="30" customWidth="1"/>
    <col min="10072" max="10072" width="9" style="30" customWidth="1"/>
    <col min="10073" max="10073" width="11.5" style="30" customWidth="1"/>
    <col min="10074" max="10074" width="9" style="30" customWidth="1"/>
    <col min="10075" max="10080" width="10.875" style="30" customWidth="1"/>
    <col min="10081" max="10081" width="16.625" style="30" customWidth="1"/>
    <col min="10082" max="10090" width="9" style="30" customWidth="1"/>
    <col min="10091" max="10091" width="15.375" style="30" customWidth="1"/>
    <col min="10092" max="10092" width="15.875" style="30" customWidth="1"/>
    <col min="10093" max="10111" width="9" style="30" customWidth="1"/>
    <col min="10112" max="10143" width="8.75" style="30"/>
    <col min="10144" max="10157" width="9" style="30" customWidth="1"/>
    <col min="10158" max="10239" width="8.75" style="30"/>
    <col min="10240" max="10240" width="9" style="30" customWidth="1"/>
    <col min="10241" max="10241" width="8.75" style="30"/>
    <col min="10242" max="10242" width="12.375" style="30" customWidth="1"/>
    <col min="10243" max="10243" width="10.875" style="30" customWidth="1"/>
    <col min="10244" max="10244" width="8.75" style="30"/>
    <col min="10245" max="10245" width="12.75" style="30" customWidth="1"/>
    <col min="10246" max="10246" width="10.5" style="30" customWidth="1"/>
    <col min="10247" max="10247" width="11.25" style="30" customWidth="1"/>
    <col min="10248" max="10248" width="10.625" style="30" customWidth="1"/>
    <col min="10249" max="10249" width="12.75" style="30" customWidth="1"/>
    <col min="10250" max="10250" width="9" style="30" customWidth="1"/>
    <col min="10251" max="10251" width="10.875" style="30" customWidth="1"/>
    <col min="10252" max="10252" width="13.25" style="30" customWidth="1"/>
    <col min="10253" max="10254" width="9.25" style="30" customWidth="1"/>
    <col min="10255" max="10256" width="9.125" style="30" customWidth="1"/>
    <col min="10257" max="10257" width="11.75" style="30" customWidth="1"/>
    <col min="10258" max="10258" width="10.5" style="30" customWidth="1"/>
    <col min="10259" max="10259" width="9.125" style="30" customWidth="1"/>
    <col min="10260" max="10262" width="10.5" style="30" customWidth="1"/>
    <col min="10263" max="10263" width="9.125" style="30" customWidth="1"/>
    <col min="10264" max="10264" width="12.75" style="30" customWidth="1"/>
    <col min="10265" max="10266" width="10.5" style="30" customWidth="1"/>
    <col min="10267" max="10267" width="9.5" style="30" customWidth="1"/>
    <col min="10268" max="10268" width="9.125" style="30" customWidth="1"/>
    <col min="10269" max="10269" width="10.5" style="30" customWidth="1"/>
    <col min="10270" max="10270" width="12.75" style="30" customWidth="1"/>
    <col min="10271" max="10272" width="9.125" style="30" customWidth="1"/>
    <col min="10273" max="10273" width="10.5" style="30" customWidth="1"/>
    <col min="10274" max="10277" width="9.125" style="30" customWidth="1"/>
    <col min="10278" max="10278" width="9.5" style="30" customWidth="1"/>
    <col min="10279" max="10279" width="10.5" style="30" customWidth="1"/>
    <col min="10280" max="10280" width="9.125" style="30" customWidth="1"/>
    <col min="10281" max="10281" width="10.5" style="30" customWidth="1"/>
    <col min="10282" max="10283" width="9.125" style="30" customWidth="1"/>
    <col min="10284" max="10284" width="9.5" style="30" customWidth="1"/>
    <col min="10285" max="10285" width="9.125" style="30" customWidth="1"/>
    <col min="10286" max="10286" width="16.5" style="30" customWidth="1"/>
    <col min="10287" max="10287" width="18.125" style="30" customWidth="1"/>
    <col min="10288" max="10288" width="12.75" style="30" customWidth="1"/>
    <col min="10289" max="10291" width="9.125" style="30" customWidth="1"/>
    <col min="10292" max="10302" width="16" style="30" customWidth="1"/>
    <col min="10303" max="10303" width="10" style="30" customWidth="1"/>
    <col min="10304" max="10304" width="12.5" style="30" customWidth="1"/>
    <col min="10305" max="10306" width="10.5" style="30" bestFit="1" customWidth="1"/>
    <col min="10307" max="10308" width="9.125" style="30" bestFit="1" customWidth="1"/>
    <col min="10309" max="10309" width="10.5" style="30" bestFit="1" customWidth="1"/>
    <col min="10310" max="10310" width="13.5" style="30" customWidth="1"/>
    <col min="10311" max="10313" width="9.125" style="30" bestFit="1" customWidth="1"/>
    <col min="10314" max="10314" width="12.875" style="30" customWidth="1"/>
    <col min="10315" max="10316" width="9.125" style="30" bestFit="1" customWidth="1"/>
    <col min="10317" max="10317" width="11.5" style="30" customWidth="1"/>
    <col min="10318" max="10318" width="11.875" style="30" customWidth="1"/>
    <col min="10319" max="10319" width="10.5" style="30" customWidth="1"/>
    <col min="10320" max="10320" width="10.5" style="30" bestFit="1" customWidth="1"/>
    <col min="10321" max="10321" width="12.875" style="30" customWidth="1"/>
    <col min="10322" max="10322" width="12" style="30" customWidth="1"/>
    <col min="10323" max="10323" width="13.625" style="30" customWidth="1"/>
    <col min="10324" max="10324" width="16.5" style="30" customWidth="1"/>
    <col min="10325" max="10325" width="12" style="30" customWidth="1"/>
    <col min="10326" max="10326" width="12.875" style="30" customWidth="1"/>
    <col min="10327" max="10327" width="15.625" style="30" customWidth="1"/>
    <col min="10328" max="10328" width="9" style="30" customWidth="1"/>
    <col min="10329" max="10329" width="11.5" style="30" customWidth="1"/>
    <col min="10330" max="10330" width="9" style="30" customWidth="1"/>
    <col min="10331" max="10336" width="10.875" style="30" customWidth="1"/>
    <col min="10337" max="10337" width="16.625" style="30" customWidth="1"/>
    <col min="10338" max="10346" width="9" style="30" customWidth="1"/>
    <col min="10347" max="10347" width="15.375" style="30" customWidth="1"/>
    <col min="10348" max="10348" width="15.875" style="30" customWidth="1"/>
    <col min="10349" max="10367" width="9" style="30" customWidth="1"/>
    <col min="10368" max="10399" width="8.75" style="30"/>
    <col min="10400" max="10413" width="9" style="30" customWidth="1"/>
    <col min="10414" max="10495" width="8.75" style="30"/>
    <col min="10496" max="10496" width="9" style="30" customWidth="1"/>
    <col min="10497" max="10497" width="8.75" style="30"/>
    <col min="10498" max="10498" width="12.375" style="30" customWidth="1"/>
    <col min="10499" max="10499" width="10.875" style="30" customWidth="1"/>
    <col min="10500" max="10500" width="8.75" style="30"/>
    <col min="10501" max="10501" width="12.75" style="30" customWidth="1"/>
    <col min="10502" max="10502" width="10.5" style="30" customWidth="1"/>
    <col min="10503" max="10503" width="11.25" style="30" customWidth="1"/>
    <col min="10504" max="10504" width="10.625" style="30" customWidth="1"/>
    <col min="10505" max="10505" width="12.75" style="30" customWidth="1"/>
    <col min="10506" max="10506" width="9" style="30" customWidth="1"/>
    <col min="10507" max="10507" width="10.875" style="30" customWidth="1"/>
    <col min="10508" max="10508" width="13.25" style="30" customWidth="1"/>
    <col min="10509" max="10510" width="9.25" style="30" customWidth="1"/>
    <col min="10511" max="10512" width="9.125" style="30" customWidth="1"/>
    <col min="10513" max="10513" width="11.75" style="30" customWidth="1"/>
    <col min="10514" max="10514" width="10.5" style="30" customWidth="1"/>
    <col min="10515" max="10515" width="9.125" style="30" customWidth="1"/>
    <col min="10516" max="10518" width="10.5" style="30" customWidth="1"/>
    <col min="10519" max="10519" width="9.125" style="30" customWidth="1"/>
    <col min="10520" max="10520" width="12.75" style="30" customWidth="1"/>
    <col min="10521" max="10522" width="10.5" style="30" customWidth="1"/>
    <col min="10523" max="10523" width="9.5" style="30" customWidth="1"/>
    <col min="10524" max="10524" width="9.125" style="30" customWidth="1"/>
    <col min="10525" max="10525" width="10.5" style="30" customWidth="1"/>
    <col min="10526" max="10526" width="12.75" style="30" customWidth="1"/>
    <col min="10527" max="10528" width="9.125" style="30" customWidth="1"/>
    <col min="10529" max="10529" width="10.5" style="30" customWidth="1"/>
    <col min="10530" max="10533" width="9.125" style="30" customWidth="1"/>
    <col min="10534" max="10534" width="9.5" style="30" customWidth="1"/>
    <col min="10535" max="10535" width="10.5" style="30" customWidth="1"/>
    <col min="10536" max="10536" width="9.125" style="30" customWidth="1"/>
    <col min="10537" max="10537" width="10.5" style="30" customWidth="1"/>
    <col min="10538" max="10539" width="9.125" style="30" customWidth="1"/>
    <col min="10540" max="10540" width="9.5" style="30" customWidth="1"/>
    <col min="10541" max="10541" width="9.125" style="30" customWidth="1"/>
    <col min="10542" max="10542" width="16.5" style="30" customWidth="1"/>
    <col min="10543" max="10543" width="18.125" style="30" customWidth="1"/>
    <col min="10544" max="10544" width="12.75" style="30" customWidth="1"/>
    <col min="10545" max="10547" width="9.125" style="30" customWidth="1"/>
    <col min="10548" max="10558" width="16" style="30" customWidth="1"/>
    <col min="10559" max="10559" width="10" style="30" customWidth="1"/>
    <col min="10560" max="10560" width="12.5" style="30" customWidth="1"/>
    <col min="10561" max="10562" width="10.5" style="30" bestFit="1" customWidth="1"/>
    <col min="10563" max="10564" width="9.125" style="30" bestFit="1" customWidth="1"/>
    <col min="10565" max="10565" width="10.5" style="30" bestFit="1" customWidth="1"/>
    <col min="10566" max="10566" width="13.5" style="30" customWidth="1"/>
    <col min="10567" max="10569" width="9.125" style="30" bestFit="1" customWidth="1"/>
    <col min="10570" max="10570" width="12.875" style="30" customWidth="1"/>
    <col min="10571" max="10572" width="9.125" style="30" bestFit="1" customWidth="1"/>
    <col min="10573" max="10573" width="11.5" style="30" customWidth="1"/>
    <col min="10574" max="10574" width="11.875" style="30" customWidth="1"/>
    <col min="10575" max="10575" width="10.5" style="30" customWidth="1"/>
    <col min="10576" max="10576" width="10.5" style="30" bestFit="1" customWidth="1"/>
    <col min="10577" max="10577" width="12.875" style="30" customWidth="1"/>
    <col min="10578" max="10578" width="12" style="30" customWidth="1"/>
    <col min="10579" max="10579" width="13.625" style="30" customWidth="1"/>
    <col min="10580" max="10580" width="16.5" style="30" customWidth="1"/>
    <col min="10581" max="10581" width="12" style="30" customWidth="1"/>
    <col min="10582" max="10582" width="12.875" style="30" customWidth="1"/>
    <col min="10583" max="10583" width="15.625" style="30" customWidth="1"/>
    <col min="10584" max="10584" width="9" style="30" customWidth="1"/>
    <col min="10585" max="10585" width="11.5" style="30" customWidth="1"/>
    <col min="10586" max="10586" width="9" style="30" customWidth="1"/>
    <col min="10587" max="10592" width="10.875" style="30" customWidth="1"/>
    <col min="10593" max="10593" width="16.625" style="30" customWidth="1"/>
    <col min="10594" max="10602" width="9" style="30" customWidth="1"/>
    <col min="10603" max="10603" width="15.375" style="30" customWidth="1"/>
    <col min="10604" max="10604" width="15.875" style="30" customWidth="1"/>
    <col min="10605" max="10623" width="9" style="30" customWidth="1"/>
    <col min="10624" max="10655" width="8.75" style="30"/>
    <col min="10656" max="10669" width="9" style="30" customWidth="1"/>
    <col min="10670" max="10751" width="8.75" style="30"/>
    <col min="10752" max="10752" width="9" style="30" customWidth="1"/>
    <col min="10753" max="10753" width="8.75" style="30"/>
    <col min="10754" max="10754" width="12.375" style="30" customWidth="1"/>
    <col min="10755" max="10755" width="10.875" style="30" customWidth="1"/>
    <col min="10756" max="10756" width="8.75" style="30"/>
    <col min="10757" max="10757" width="12.75" style="30" customWidth="1"/>
    <col min="10758" max="10758" width="10.5" style="30" customWidth="1"/>
    <col min="10759" max="10759" width="11.25" style="30" customWidth="1"/>
    <col min="10760" max="10760" width="10.625" style="30" customWidth="1"/>
    <col min="10761" max="10761" width="12.75" style="30" customWidth="1"/>
    <col min="10762" max="10762" width="9" style="30" customWidth="1"/>
    <col min="10763" max="10763" width="10.875" style="30" customWidth="1"/>
    <col min="10764" max="10764" width="13.25" style="30" customWidth="1"/>
    <col min="10765" max="10766" width="9.25" style="30" customWidth="1"/>
    <col min="10767" max="10768" width="9.125" style="30" customWidth="1"/>
    <col min="10769" max="10769" width="11.75" style="30" customWidth="1"/>
    <col min="10770" max="10770" width="10.5" style="30" customWidth="1"/>
    <col min="10771" max="10771" width="9.125" style="30" customWidth="1"/>
    <col min="10772" max="10774" width="10.5" style="30" customWidth="1"/>
    <col min="10775" max="10775" width="9.125" style="30" customWidth="1"/>
    <col min="10776" max="10776" width="12.75" style="30" customWidth="1"/>
    <col min="10777" max="10778" width="10.5" style="30" customWidth="1"/>
    <col min="10779" max="10779" width="9.5" style="30" customWidth="1"/>
    <col min="10780" max="10780" width="9.125" style="30" customWidth="1"/>
    <col min="10781" max="10781" width="10.5" style="30" customWidth="1"/>
    <col min="10782" max="10782" width="12.75" style="30" customWidth="1"/>
    <col min="10783" max="10784" width="9.125" style="30" customWidth="1"/>
    <col min="10785" max="10785" width="10.5" style="30" customWidth="1"/>
    <col min="10786" max="10789" width="9.125" style="30" customWidth="1"/>
    <col min="10790" max="10790" width="9.5" style="30" customWidth="1"/>
    <col min="10791" max="10791" width="10.5" style="30" customWidth="1"/>
    <col min="10792" max="10792" width="9.125" style="30" customWidth="1"/>
    <col min="10793" max="10793" width="10.5" style="30" customWidth="1"/>
    <col min="10794" max="10795" width="9.125" style="30" customWidth="1"/>
    <col min="10796" max="10796" width="9.5" style="30" customWidth="1"/>
    <col min="10797" max="10797" width="9.125" style="30" customWidth="1"/>
    <col min="10798" max="10798" width="16.5" style="30" customWidth="1"/>
    <col min="10799" max="10799" width="18.125" style="30" customWidth="1"/>
    <col min="10800" max="10800" width="12.75" style="30" customWidth="1"/>
    <col min="10801" max="10803" width="9.125" style="30" customWidth="1"/>
    <col min="10804" max="10814" width="16" style="30" customWidth="1"/>
    <col min="10815" max="10815" width="10" style="30" customWidth="1"/>
    <col min="10816" max="10816" width="12.5" style="30" customWidth="1"/>
    <col min="10817" max="10818" width="10.5" style="30" bestFit="1" customWidth="1"/>
    <col min="10819" max="10820" width="9.125" style="30" bestFit="1" customWidth="1"/>
    <col min="10821" max="10821" width="10.5" style="30" bestFit="1" customWidth="1"/>
    <col min="10822" max="10822" width="13.5" style="30" customWidth="1"/>
    <col min="10823" max="10825" width="9.125" style="30" bestFit="1" customWidth="1"/>
    <col min="10826" max="10826" width="12.875" style="30" customWidth="1"/>
    <col min="10827" max="10828" width="9.125" style="30" bestFit="1" customWidth="1"/>
    <col min="10829" max="10829" width="11.5" style="30" customWidth="1"/>
    <col min="10830" max="10830" width="11.875" style="30" customWidth="1"/>
    <col min="10831" max="10831" width="10.5" style="30" customWidth="1"/>
    <col min="10832" max="10832" width="10.5" style="30" bestFit="1" customWidth="1"/>
    <col min="10833" max="10833" width="12.875" style="30" customWidth="1"/>
    <col min="10834" max="10834" width="12" style="30" customWidth="1"/>
    <col min="10835" max="10835" width="13.625" style="30" customWidth="1"/>
    <col min="10836" max="10836" width="16.5" style="30" customWidth="1"/>
    <col min="10837" max="10837" width="12" style="30" customWidth="1"/>
    <col min="10838" max="10838" width="12.875" style="30" customWidth="1"/>
    <col min="10839" max="10839" width="15.625" style="30" customWidth="1"/>
    <col min="10840" max="10840" width="9" style="30" customWidth="1"/>
    <col min="10841" max="10841" width="11.5" style="30" customWidth="1"/>
    <col min="10842" max="10842" width="9" style="30" customWidth="1"/>
    <col min="10843" max="10848" width="10.875" style="30" customWidth="1"/>
    <col min="10849" max="10849" width="16.625" style="30" customWidth="1"/>
    <col min="10850" max="10858" width="9" style="30" customWidth="1"/>
    <col min="10859" max="10859" width="15.375" style="30" customWidth="1"/>
    <col min="10860" max="10860" width="15.875" style="30" customWidth="1"/>
    <col min="10861" max="10879" width="9" style="30" customWidth="1"/>
    <col min="10880" max="10911" width="8.75" style="30"/>
    <col min="10912" max="10925" width="9" style="30" customWidth="1"/>
    <col min="10926" max="11007" width="8.75" style="30"/>
    <col min="11008" max="11008" width="9" style="30" customWidth="1"/>
    <col min="11009" max="11009" width="8.75" style="30"/>
    <col min="11010" max="11010" width="12.375" style="30" customWidth="1"/>
    <col min="11011" max="11011" width="10.875" style="30" customWidth="1"/>
    <col min="11012" max="11012" width="8.75" style="30"/>
    <col min="11013" max="11013" width="12.75" style="30" customWidth="1"/>
    <col min="11014" max="11014" width="10.5" style="30" customWidth="1"/>
    <col min="11015" max="11015" width="11.25" style="30" customWidth="1"/>
    <col min="11016" max="11016" width="10.625" style="30" customWidth="1"/>
    <col min="11017" max="11017" width="12.75" style="30" customWidth="1"/>
    <col min="11018" max="11018" width="9" style="30" customWidth="1"/>
    <col min="11019" max="11019" width="10.875" style="30" customWidth="1"/>
    <col min="11020" max="11020" width="13.25" style="30" customWidth="1"/>
    <col min="11021" max="11022" width="9.25" style="30" customWidth="1"/>
    <col min="11023" max="11024" width="9.125" style="30" customWidth="1"/>
    <col min="11025" max="11025" width="11.75" style="30" customWidth="1"/>
    <col min="11026" max="11026" width="10.5" style="30" customWidth="1"/>
    <col min="11027" max="11027" width="9.125" style="30" customWidth="1"/>
    <col min="11028" max="11030" width="10.5" style="30" customWidth="1"/>
    <col min="11031" max="11031" width="9.125" style="30" customWidth="1"/>
    <col min="11032" max="11032" width="12.75" style="30" customWidth="1"/>
    <col min="11033" max="11034" width="10.5" style="30" customWidth="1"/>
    <col min="11035" max="11035" width="9.5" style="30" customWidth="1"/>
    <col min="11036" max="11036" width="9.125" style="30" customWidth="1"/>
    <col min="11037" max="11037" width="10.5" style="30" customWidth="1"/>
    <col min="11038" max="11038" width="12.75" style="30" customWidth="1"/>
    <col min="11039" max="11040" width="9.125" style="30" customWidth="1"/>
    <col min="11041" max="11041" width="10.5" style="30" customWidth="1"/>
    <col min="11042" max="11045" width="9.125" style="30" customWidth="1"/>
    <col min="11046" max="11046" width="9.5" style="30" customWidth="1"/>
    <col min="11047" max="11047" width="10.5" style="30" customWidth="1"/>
    <col min="11048" max="11048" width="9.125" style="30" customWidth="1"/>
    <col min="11049" max="11049" width="10.5" style="30" customWidth="1"/>
    <col min="11050" max="11051" width="9.125" style="30" customWidth="1"/>
    <col min="11052" max="11052" width="9.5" style="30" customWidth="1"/>
    <col min="11053" max="11053" width="9.125" style="30" customWidth="1"/>
    <col min="11054" max="11054" width="16.5" style="30" customWidth="1"/>
    <col min="11055" max="11055" width="18.125" style="30" customWidth="1"/>
    <col min="11056" max="11056" width="12.75" style="30" customWidth="1"/>
    <col min="11057" max="11059" width="9.125" style="30" customWidth="1"/>
    <col min="11060" max="11070" width="16" style="30" customWidth="1"/>
    <col min="11071" max="11071" width="10" style="30" customWidth="1"/>
    <col min="11072" max="11072" width="12.5" style="30" customWidth="1"/>
    <col min="11073" max="11074" width="10.5" style="30" bestFit="1" customWidth="1"/>
    <col min="11075" max="11076" width="9.125" style="30" bestFit="1" customWidth="1"/>
    <col min="11077" max="11077" width="10.5" style="30" bestFit="1" customWidth="1"/>
    <col min="11078" max="11078" width="13.5" style="30" customWidth="1"/>
    <col min="11079" max="11081" width="9.125" style="30" bestFit="1" customWidth="1"/>
    <col min="11082" max="11082" width="12.875" style="30" customWidth="1"/>
    <col min="11083" max="11084" width="9.125" style="30" bestFit="1" customWidth="1"/>
    <col min="11085" max="11085" width="11.5" style="30" customWidth="1"/>
    <col min="11086" max="11086" width="11.875" style="30" customWidth="1"/>
    <col min="11087" max="11087" width="10.5" style="30" customWidth="1"/>
    <col min="11088" max="11088" width="10.5" style="30" bestFit="1" customWidth="1"/>
    <col min="11089" max="11089" width="12.875" style="30" customWidth="1"/>
    <col min="11090" max="11090" width="12" style="30" customWidth="1"/>
    <col min="11091" max="11091" width="13.625" style="30" customWidth="1"/>
    <col min="11092" max="11092" width="16.5" style="30" customWidth="1"/>
    <col min="11093" max="11093" width="12" style="30" customWidth="1"/>
    <col min="11094" max="11094" width="12.875" style="30" customWidth="1"/>
    <col min="11095" max="11095" width="15.625" style="30" customWidth="1"/>
    <col min="11096" max="11096" width="9" style="30" customWidth="1"/>
    <col min="11097" max="11097" width="11.5" style="30" customWidth="1"/>
    <col min="11098" max="11098" width="9" style="30" customWidth="1"/>
    <col min="11099" max="11104" width="10.875" style="30" customWidth="1"/>
    <col min="11105" max="11105" width="16.625" style="30" customWidth="1"/>
    <col min="11106" max="11114" width="9" style="30" customWidth="1"/>
    <col min="11115" max="11115" width="15.375" style="30" customWidth="1"/>
    <col min="11116" max="11116" width="15.875" style="30" customWidth="1"/>
    <col min="11117" max="11135" width="9" style="30" customWidth="1"/>
    <col min="11136" max="11167" width="8.75" style="30"/>
    <col min="11168" max="11181" width="9" style="30" customWidth="1"/>
    <col min="11182" max="11263" width="8.75" style="30"/>
    <col min="11264" max="11264" width="9" style="30" customWidth="1"/>
    <col min="11265" max="11265" width="8.75" style="30"/>
    <col min="11266" max="11266" width="12.375" style="30" customWidth="1"/>
    <col min="11267" max="11267" width="10.875" style="30" customWidth="1"/>
    <col min="11268" max="11268" width="8.75" style="30"/>
    <col min="11269" max="11269" width="12.75" style="30" customWidth="1"/>
    <col min="11270" max="11270" width="10.5" style="30" customWidth="1"/>
    <col min="11271" max="11271" width="11.25" style="30" customWidth="1"/>
    <col min="11272" max="11272" width="10.625" style="30" customWidth="1"/>
    <col min="11273" max="11273" width="12.75" style="30" customWidth="1"/>
    <col min="11274" max="11274" width="9" style="30" customWidth="1"/>
    <col min="11275" max="11275" width="10.875" style="30" customWidth="1"/>
    <col min="11276" max="11276" width="13.25" style="30" customWidth="1"/>
    <col min="11277" max="11278" width="9.25" style="30" customWidth="1"/>
    <col min="11279" max="11280" width="9.125" style="30" customWidth="1"/>
    <col min="11281" max="11281" width="11.75" style="30" customWidth="1"/>
    <col min="11282" max="11282" width="10.5" style="30" customWidth="1"/>
    <col min="11283" max="11283" width="9.125" style="30" customWidth="1"/>
    <col min="11284" max="11286" width="10.5" style="30" customWidth="1"/>
    <col min="11287" max="11287" width="9.125" style="30" customWidth="1"/>
    <col min="11288" max="11288" width="12.75" style="30" customWidth="1"/>
    <col min="11289" max="11290" width="10.5" style="30" customWidth="1"/>
    <col min="11291" max="11291" width="9.5" style="30" customWidth="1"/>
    <col min="11292" max="11292" width="9.125" style="30" customWidth="1"/>
    <col min="11293" max="11293" width="10.5" style="30" customWidth="1"/>
    <col min="11294" max="11294" width="12.75" style="30" customWidth="1"/>
    <col min="11295" max="11296" width="9.125" style="30" customWidth="1"/>
    <col min="11297" max="11297" width="10.5" style="30" customWidth="1"/>
    <col min="11298" max="11301" width="9.125" style="30" customWidth="1"/>
    <col min="11302" max="11302" width="9.5" style="30" customWidth="1"/>
    <col min="11303" max="11303" width="10.5" style="30" customWidth="1"/>
    <col min="11304" max="11304" width="9.125" style="30" customWidth="1"/>
    <col min="11305" max="11305" width="10.5" style="30" customWidth="1"/>
    <col min="11306" max="11307" width="9.125" style="30" customWidth="1"/>
    <col min="11308" max="11308" width="9.5" style="30" customWidth="1"/>
    <col min="11309" max="11309" width="9.125" style="30" customWidth="1"/>
    <col min="11310" max="11310" width="16.5" style="30" customWidth="1"/>
    <col min="11311" max="11311" width="18.125" style="30" customWidth="1"/>
    <col min="11312" max="11312" width="12.75" style="30" customWidth="1"/>
    <col min="11313" max="11315" width="9.125" style="30" customWidth="1"/>
    <col min="11316" max="11326" width="16" style="30" customWidth="1"/>
    <col min="11327" max="11327" width="10" style="30" customWidth="1"/>
    <col min="11328" max="11328" width="12.5" style="30" customWidth="1"/>
    <col min="11329" max="11330" width="10.5" style="30" bestFit="1" customWidth="1"/>
    <col min="11331" max="11332" width="9.125" style="30" bestFit="1" customWidth="1"/>
    <col min="11333" max="11333" width="10.5" style="30" bestFit="1" customWidth="1"/>
    <col min="11334" max="11334" width="13.5" style="30" customWidth="1"/>
    <col min="11335" max="11337" width="9.125" style="30" bestFit="1" customWidth="1"/>
    <col min="11338" max="11338" width="12.875" style="30" customWidth="1"/>
    <col min="11339" max="11340" width="9.125" style="30" bestFit="1" customWidth="1"/>
    <col min="11341" max="11341" width="11.5" style="30" customWidth="1"/>
    <col min="11342" max="11342" width="11.875" style="30" customWidth="1"/>
    <col min="11343" max="11343" width="10.5" style="30" customWidth="1"/>
    <col min="11344" max="11344" width="10.5" style="30" bestFit="1" customWidth="1"/>
    <col min="11345" max="11345" width="12.875" style="30" customWidth="1"/>
    <col min="11346" max="11346" width="12" style="30" customWidth="1"/>
    <col min="11347" max="11347" width="13.625" style="30" customWidth="1"/>
    <col min="11348" max="11348" width="16.5" style="30" customWidth="1"/>
    <col min="11349" max="11349" width="12" style="30" customWidth="1"/>
    <col min="11350" max="11350" width="12.875" style="30" customWidth="1"/>
    <col min="11351" max="11351" width="15.625" style="30" customWidth="1"/>
    <col min="11352" max="11352" width="9" style="30" customWidth="1"/>
    <col min="11353" max="11353" width="11.5" style="30" customWidth="1"/>
    <col min="11354" max="11354" width="9" style="30" customWidth="1"/>
    <col min="11355" max="11360" width="10.875" style="30" customWidth="1"/>
    <col min="11361" max="11361" width="16.625" style="30" customWidth="1"/>
    <col min="11362" max="11370" width="9" style="30" customWidth="1"/>
    <col min="11371" max="11371" width="15.375" style="30" customWidth="1"/>
    <col min="11372" max="11372" width="15.875" style="30" customWidth="1"/>
    <col min="11373" max="11391" width="9" style="30" customWidth="1"/>
    <col min="11392" max="11423" width="8.75" style="30"/>
    <col min="11424" max="11437" width="9" style="30" customWidth="1"/>
    <col min="11438" max="11519" width="8.75" style="30"/>
    <col min="11520" max="11520" width="9" style="30" customWidth="1"/>
    <col min="11521" max="11521" width="8.75" style="30"/>
    <col min="11522" max="11522" width="12.375" style="30" customWidth="1"/>
    <col min="11523" max="11523" width="10.875" style="30" customWidth="1"/>
    <col min="11524" max="11524" width="8.75" style="30"/>
    <col min="11525" max="11525" width="12.75" style="30" customWidth="1"/>
    <col min="11526" max="11526" width="10.5" style="30" customWidth="1"/>
    <col min="11527" max="11527" width="11.25" style="30" customWidth="1"/>
    <col min="11528" max="11528" width="10.625" style="30" customWidth="1"/>
    <col min="11529" max="11529" width="12.75" style="30" customWidth="1"/>
    <col min="11530" max="11530" width="9" style="30" customWidth="1"/>
    <col min="11531" max="11531" width="10.875" style="30" customWidth="1"/>
    <col min="11532" max="11532" width="13.25" style="30" customWidth="1"/>
    <col min="11533" max="11534" width="9.25" style="30" customWidth="1"/>
    <col min="11535" max="11536" width="9.125" style="30" customWidth="1"/>
    <col min="11537" max="11537" width="11.75" style="30" customWidth="1"/>
    <col min="11538" max="11538" width="10.5" style="30" customWidth="1"/>
    <col min="11539" max="11539" width="9.125" style="30" customWidth="1"/>
    <col min="11540" max="11542" width="10.5" style="30" customWidth="1"/>
    <col min="11543" max="11543" width="9.125" style="30" customWidth="1"/>
    <col min="11544" max="11544" width="12.75" style="30" customWidth="1"/>
    <col min="11545" max="11546" width="10.5" style="30" customWidth="1"/>
    <col min="11547" max="11547" width="9.5" style="30" customWidth="1"/>
    <col min="11548" max="11548" width="9.125" style="30" customWidth="1"/>
    <col min="11549" max="11549" width="10.5" style="30" customWidth="1"/>
    <col min="11550" max="11550" width="12.75" style="30" customWidth="1"/>
    <col min="11551" max="11552" width="9.125" style="30" customWidth="1"/>
    <col min="11553" max="11553" width="10.5" style="30" customWidth="1"/>
    <col min="11554" max="11557" width="9.125" style="30" customWidth="1"/>
    <col min="11558" max="11558" width="9.5" style="30" customWidth="1"/>
    <col min="11559" max="11559" width="10.5" style="30" customWidth="1"/>
    <col min="11560" max="11560" width="9.125" style="30" customWidth="1"/>
    <col min="11561" max="11561" width="10.5" style="30" customWidth="1"/>
    <col min="11562" max="11563" width="9.125" style="30" customWidth="1"/>
    <col min="11564" max="11564" width="9.5" style="30" customWidth="1"/>
    <col min="11565" max="11565" width="9.125" style="30" customWidth="1"/>
    <col min="11566" max="11566" width="16.5" style="30" customWidth="1"/>
    <col min="11567" max="11567" width="18.125" style="30" customWidth="1"/>
    <col min="11568" max="11568" width="12.75" style="30" customWidth="1"/>
    <col min="11569" max="11571" width="9.125" style="30" customWidth="1"/>
    <col min="11572" max="11582" width="16" style="30" customWidth="1"/>
    <col min="11583" max="11583" width="10" style="30" customWidth="1"/>
    <col min="11584" max="11584" width="12.5" style="30" customWidth="1"/>
    <col min="11585" max="11586" width="10.5" style="30" bestFit="1" customWidth="1"/>
    <col min="11587" max="11588" width="9.125" style="30" bestFit="1" customWidth="1"/>
    <col min="11589" max="11589" width="10.5" style="30" bestFit="1" customWidth="1"/>
    <col min="11590" max="11590" width="13.5" style="30" customWidth="1"/>
    <col min="11591" max="11593" width="9.125" style="30" bestFit="1" customWidth="1"/>
    <col min="11594" max="11594" width="12.875" style="30" customWidth="1"/>
    <col min="11595" max="11596" width="9.125" style="30" bestFit="1" customWidth="1"/>
    <col min="11597" max="11597" width="11.5" style="30" customWidth="1"/>
    <col min="11598" max="11598" width="11.875" style="30" customWidth="1"/>
    <col min="11599" max="11599" width="10.5" style="30" customWidth="1"/>
    <col min="11600" max="11600" width="10.5" style="30" bestFit="1" customWidth="1"/>
    <col min="11601" max="11601" width="12.875" style="30" customWidth="1"/>
    <col min="11602" max="11602" width="12" style="30" customWidth="1"/>
    <col min="11603" max="11603" width="13.625" style="30" customWidth="1"/>
    <col min="11604" max="11604" width="16.5" style="30" customWidth="1"/>
    <col min="11605" max="11605" width="12" style="30" customWidth="1"/>
    <col min="11606" max="11606" width="12.875" style="30" customWidth="1"/>
    <col min="11607" max="11607" width="15.625" style="30" customWidth="1"/>
    <col min="11608" max="11608" width="9" style="30" customWidth="1"/>
    <col min="11609" max="11609" width="11.5" style="30" customWidth="1"/>
    <col min="11610" max="11610" width="9" style="30" customWidth="1"/>
    <col min="11611" max="11616" width="10.875" style="30" customWidth="1"/>
    <col min="11617" max="11617" width="16.625" style="30" customWidth="1"/>
    <col min="11618" max="11626" width="9" style="30" customWidth="1"/>
    <col min="11627" max="11627" width="15.375" style="30" customWidth="1"/>
    <col min="11628" max="11628" width="15.875" style="30" customWidth="1"/>
    <col min="11629" max="11647" width="9" style="30" customWidth="1"/>
    <col min="11648" max="11679" width="8.75" style="30"/>
    <col min="11680" max="11693" width="9" style="30" customWidth="1"/>
    <col min="11694" max="11775" width="8.75" style="30"/>
    <col min="11776" max="11776" width="9" style="30" customWidth="1"/>
    <col min="11777" max="11777" width="8.75" style="30"/>
    <col min="11778" max="11778" width="12.375" style="30" customWidth="1"/>
    <col min="11779" max="11779" width="10.875" style="30" customWidth="1"/>
    <col min="11780" max="11780" width="8.75" style="30"/>
    <col min="11781" max="11781" width="12.75" style="30" customWidth="1"/>
    <col min="11782" max="11782" width="10.5" style="30" customWidth="1"/>
    <col min="11783" max="11783" width="11.25" style="30" customWidth="1"/>
    <col min="11784" max="11784" width="10.625" style="30" customWidth="1"/>
    <col min="11785" max="11785" width="12.75" style="30" customWidth="1"/>
    <col min="11786" max="11786" width="9" style="30" customWidth="1"/>
    <col min="11787" max="11787" width="10.875" style="30" customWidth="1"/>
    <col min="11788" max="11788" width="13.25" style="30" customWidth="1"/>
    <col min="11789" max="11790" width="9.25" style="30" customWidth="1"/>
    <col min="11791" max="11792" width="9.125" style="30" customWidth="1"/>
    <col min="11793" max="11793" width="11.75" style="30" customWidth="1"/>
    <col min="11794" max="11794" width="10.5" style="30" customWidth="1"/>
    <col min="11795" max="11795" width="9.125" style="30" customWidth="1"/>
    <col min="11796" max="11798" width="10.5" style="30" customWidth="1"/>
    <col min="11799" max="11799" width="9.125" style="30" customWidth="1"/>
    <col min="11800" max="11800" width="12.75" style="30" customWidth="1"/>
    <col min="11801" max="11802" width="10.5" style="30" customWidth="1"/>
    <col min="11803" max="11803" width="9.5" style="30" customWidth="1"/>
    <col min="11804" max="11804" width="9.125" style="30" customWidth="1"/>
    <col min="11805" max="11805" width="10.5" style="30" customWidth="1"/>
    <col min="11806" max="11806" width="12.75" style="30" customWidth="1"/>
    <col min="11807" max="11808" width="9.125" style="30" customWidth="1"/>
    <col min="11809" max="11809" width="10.5" style="30" customWidth="1"/>
    <col min="11810" max="11813" width="9.125" style="30" customWidth="1"/>
    <col min="11814" max="11814" width="9.5" style="30" customWidth="1"/>
    <col min="11815" max="11815" width="10.5" style="30" customWidth="1"/>
    <col min="11816" max="11816" width="9.125" style="30" customWidth="1"/>
    <col min="11817" max="11817" width="10.5" style="30" customWidth="1"/>
    <col min="11818" max="11819" width="9.125" style="30" customWidth="1"/>
    <col min="11820" max="11820" width="9.5" style="30" customWidth="1"/>
    <col min="11821" max="11821" width="9.125" style="30" customWidth="1"/>
    <col min="11822" max="11822" width="16.5" style="30" customWidth="1"/>
    <col min="11823" max="11823" width="18.125" style="30" customWidth="1"/>
    <col min="11824" max="11824" width="12.75" style="30" customWidth="1"/>
    <col min="11825" max="11827" width="9.125" style="30" customWidth="1"/>
    <col min="11828" max="11838" width="16" style="30" customWidth="1"/>
    <col min="11839" max="11839" width="10" style="30" customWidth="1"/>
    <col min="11840" max="11840" width="12.5" style="30" customWidth="1"/>
    <col min="11841" max="11842" width="10.5" style="30" bestFit="1" customWidth="1"/>
    <col min="11843" max="11844" width="9.125" style="30" bestFit="1" customWidth="1"/>
    <col min="11845" max="11845" width="10.5" style="30" bestFit="1" customWidth="1"/>
    <col min="11846" max="11846" width="13.5" style="30" customWidth="1"/>
    <col min="11847" max="11849" width="9.125" style="30" bestFit="1" customWidth="1"/>
    <col min="11850" max="11850" width="12.875" style="30" customWidth="1"/>
    <col min="11851" max="11852" width="9.125" style="30" bestFit="1" customWidth="1"/>
    <col min="11853" max="11853" width="11.5" style="30" customWidth="1"/>
    <col min="11854" max="11854" width="11.875" style="30" customWidth="1"/>
    <col min="11855" max="11855" width="10.5" style="30" customWidth="1"/>
    <col min="11856" max="11856" width="10.5" style="30" bestFit="1" customWidth="1"/>
    <col min="11857" max="11857" width="12.875" style="30" customWidth="1"/>
    <col min="11858" max="11858" width="12" style="30" customWidth="1"/>
    <col min="11859" max="11859" width="13.625" style="30" customWidth="1"/>
    <col min="11860" max="11860" width="16.5" style="30" customWidth="1"/>
    <col min="11861" max="11861" width="12" style="30" customWidth="1"/>
    <col min="11862" max="11862" width="12.875" style="30" customWidth="1"/>
    <col min="11863" max="11863" width="15.625" style="30" customWidth="1"/>
    <col min="11864" max="11864" width="9" style="30" customWidth="1"/>
    <col min="11865" max="11865" width="11.5" style="30" customWidth="1"/>
    <col min="11866" max="11866" width="9" style="30" customWidth="1"/>
    <col min="11867" max="11872" width="10.875" style="30" customWidth="1"/>
    <col min="11873" max="11873" width="16.625" style="30" customWidth="1"/>
    <col min="11874" max="11882" width="9" style="30" customWidth="1"/>
    <col min="11883" max="11883" width="15.375" style="30" customWidth="1"/>
    <col min="11884" max="11884" width="15.875" style="30" customWidth="1"/>
    <col min="11885" max="11903" width="9" style="30" customWidth="1"/>
    <col min="11904" max="11935" width="8.75" style="30"/>
    <col min="11936" max="11949" width="9" style="30" customWidth="1"/>
    <col min="11950" max="12031" width="8.75" style="30"/>
    <col min="12032" max="12032" width="9" style="30" customWidth="1"/>
    <col min="12033" max="12033" width="8.75" style="30"/>
    <col min="12034" max="12034" width="12.375" style="30" customWidth="1"/>
    <col min="12035" max="12035" width="10.875" style="30" customWidth="1"/>
    <col min="12036" max="12036" width="8.75" style="30"/>
    <col min="12037" max="12037" width="12.75" style="30" customWidth="1"/>
    <col min="12038" max="12038" width="10.5" style="30" customWidth="1"/>
    <col min="12039" max="12039" width="11.25" style="30" customWidth="1"/>
    <col min="12040" max="12040" width="10.625" style="30" customWidth="1"/>
    <col min="12041" max="12041" width="12.75" style="30" customWidth="1"/>
    <col min="12042" max="12042" width="9" style="30" customWidth="1"/>
    <col min="12043" max="12043" width="10.875" style="30" customWidth="1"/>
    <col min="12044" max="12044" width="13.25" style="30" customWidth="1"/>
    <col min="12045" max="12046" width="9.25" style="30" customWidth="1"/>
    <col min="12047" max="12048" width="9.125" style="30" customWidth="1"/>
    <col min="12049" max="12049" width="11.75" style="30" customWidth="1"/>
    <col min="12050" max="12050" width="10.5" style="30" customWidth="1"/>
    <col min="12051" max="12051" width="9.125" style="30" customWidth="1"/>
    <col min="12052" max="12054" width="10.5" style="30" customWidth="1"/>
    <col min="12055" max="12055" width="9.125" style="30" customWidth="1"/>
    <col min="12056" max="12056" width="12.75" style="30" customWidth="1"/>
    <col min="12057" max="12058" width="10.5" style="30" customWidth="1"/>
    <col min="12059" max="12059" width="9.5" style="30" customWidth="1"/>
    <col min="12060" max="12060" width="9.125" style="30" customWidth="1"/>
    <col min="12061" max="12061" width="10.5" style="30" customWidth="1"/>
    <col min="12062" max="12062" width="12.75" style="30" customWidth="1"/>
    <col min="12063" max="12064" width="9.125" style="30" customWidth="1"/>
    <col min="12065" max="12065" width="10.5" style="30" customWidth="1"/>
    <col min="12066" max="12069" width="9.125" style="30" customWidth="1"/>
    <col min="12070" max="12070" width="9.5" style="30" customWidth="1"/>
    <col min="12071" max="12071" width="10.5" style="30" customWidth="1"/>
    <col min="12072" max="12072" width="9.125" style="30" customWidth="1"/>
    <col min="12073" max="12073" width="10.5" style="30" customWidth="1"/>
    <col min="12074" max="12075" width="9.125" style="30" customWidth="1"/>
    <col min="12076" max="12076" width="9.5" style="30" customWidth="1"/>
    <col min="12077" max="12077" width="9.125" style="30" customWidth="1"/>
    <col min="12078" max="12078" width="16.5" style="30" customWidth="1"/>
    <col min="12079" max="12079" width="18.125" style="30" customWidth="1"/>
    <col min="12080" max="12080" width="12.75" style="30" customWidth="1"/>
    <col min="12081" max="12083" width="9.125" style="30" customWidth="1"/>
    <col min="12084" max="12094" width="16" style="30" customWidth="1"/>
    <col min="12095" max="12095" width="10" style="30" customWidth="1"/>
    <col min="12096" max="12096" width="12.5" style="30" customWidth="1"/>
    <col min="12097" max="12098" width="10.5" style="30" bestFit="1" customWidth="1"/>
    <col min="12099" max="12100" width="9.125" style="30" bestFit="1" customWidth="1"/>
    <col min="12101" max="12101" width="10.5" style="30" bestFit="1" customWidth="1"/>
    <col min="12102" max="12102" width="13.5" style="30" customWidth="1"/>
    <col min="12103" max="12105" width="9.125" style="30" bestFit="1" customWidth="1"/>
    <col min="12106" max="12106" width="12.875" style="30" customWidth="1"/>
    <col min="12107" max="12108" width="9.125" style="30" bestFit="1" customWidth="1"/>
    <col min="12109" max="12109" width="11.5" style="30" customWidth="1"/>
    <col min="12110" max="12110" width="11.875" style="30" customWidth="1"/>
    <col min="12111" max="12111" width="10.5" style="30" customWidth="1"/>
    <col min="12112" max="12112" width="10.5" style="30" bestFit="1" customWidth="1"/>
    <col min="12113" max="12113" width="12.875" style="30" customWidth="1"/>
    <col min="12114" max="12114" width="12" style="30" customWidth="1"/>
    <col min="12115" max="12115" width="13.625" style="30" customWidth="1"/>
    <col min="12116" max="12116" width="16.5" style="30" customWidth="1"/>
    <col min="12117" max="12117" width="12" style="30" customWidth="1"/>
    <col min="12118" max="12118" width="12.875" style="30" customWidth="1"/>
    <col min="12119" max="12119" width="15.625" style="30" customWidth="1"/>
    <col min="12120" max="12120" width="9" style="30" customWidth="1"/>
    <col min="12121" max="12121" width="11.5" style="30" customWidth="1"/>
    <col min="12122" max="12122" width="9" style="30" customWidth="1"/>
    <col min="12123" max="12128" width="10.875" style="30" customWidth="1"/>
    <col min="12129" max="12129" width="16.625" style="30" customWidth="1"/>
    <col min="12130" max="12138" width="9" style="30" customWidth="1"/>
    <col min="12139" max="12139" width="15.375" style="30" customWidth="1"/>
    <col min="12140" max="12140" width="15.875" style="30" customWidth="1"/>
    <col min="12141" max="12159" width="9" style="30" customWidth="1"/>
    <col min="12160" max="12191" width="8.75" style="30"/>
    <col min="12192" max="12205" width="9" style="30" customWidth="1"/>
    <col min="12206" max="12287" width="8.75" style="30"/>
    <col min="12288" max="12288" width="9" style="30" customWidth="1"/>
    <col min="12289" max="12289" width="8.75" style="30"/>
    <col min="12290" max="12290" width="12.375" style="30" customWidth="1"/>
    <col min="12291" max="12291" width="10.875" style="30" customWidth="1"/>
    <col min="12292" max="12292" width="8.75" style="30"/>
    <col min="12293" max="12293" width="12.75" style="30" customWidth="1"/>
    <col min="12294" max="12294" width="10.5" style="30" customWidth="1"/>
    <col min="12295" max="12295" width="11.25" style="30" customWidth="1"/>
    <col min="12296" max="12296" width="10.625" style="30" customWidth="1"/>
    <col min="12297" max="12297" width="12.75" style="30" customWidth="1"/>
    <col min="12298" max="12298" width="9" style="30" customWidth="1"/>
    <col min="12299" max="12299" width="10.875" style="30" customWidth="1"/>
    <col min="12300" max="12300" width="13.25" style="30" customWidth="1"/>
    <col min="12301" max="12302" width="9.25" style="30" customWidth="1"/>
    <col min="12303" max="12304" width="9.125" style="30" customWidth="1"/>
    <col min="12305" max="12305" width="11.75" style="30" customWidth="1"/>
    <col min="12306" max="12306" width="10.5" style="30" customWidth="1"/>
    <col min="12307" max="12307" width="9.125" style="30" customWidth="1"/>
    <col min="12308" max="12310" width="10.5" style="30" customWidth="1"/>
    <col min="12311" max="12311" width="9.125" style="30" customWidth="1"/>
    <col min="12312" max="12312" width="12.75" style="30" customWidth="1"/>
    <col min="12313" max="12314" width="10.5" style="30" customWidth="1"/>
    <col min="12315" max="12315" width="9.5" style="30" customWidth="1"/>
    <col min="12316" max="12316" width="9.125" style="30" customWidth="1"/>
    <col min="12317" max="12317" width="10.5" style="30" customWidth="1"/>
    <col min="12318" max="12318" width="12.75" style="30" customWidth="1"/>
    <col min="12319" max="12320" width="9.125" style="30" customWidth="1"/>
    <col min="12321" max="12321" width="10.5" style="30" customWidth="1"/>
    <col min="12322" max="12325" width="9.125" style="30" customWidth="1"/>
    <col min="12326" max="12326" width="9.5" style="30" customWidth="1"/>
    <col min="12327" max="12327" width="10.5" style="30" customWidth="1"/>
    <col min="12328" max="12328" width="9.125" style="30" customWidth="1"/>
    <col min="12329" max="12329" width="10.5" style="30" customWidth="1"/>
    <col min="12330" max="12331" width="9.125" style="30" customWidth="1"/>
    <col min="12332" max="12332" width="9.5" style="30" customWidth="1"/>
    <col min="12333" max="12333" width="9.125" style="30" customWidth="1"/>
    <col min="12334" max="12334" width="16.5" style="30" customWidth="1"/>
    <col min="12335" max="12335" width="18.125" style="30" customWidth="1"/>
    <col min="12336" max="12336" width="12.75" style="30" customWidth="1"/>
    <col min="12337" max="12339" width="9.125" style="30" customWidth="1"/>
    <col min="12340" max="12350" width="16" style="30" customWidth="1"/>
    <col min="12351" max="12351" width="10" style="30" customWidth="1"/>
    <col min="12352" max="12352" width="12.5" style="30" customWidth="1"/>
    <col min="12353" max="12354" width="10.5" style="30" bestFit="1" customWidth="1"/>
    <col min="12355" max="12356" width="9.125" style="30" bestFit="1" customWidth="1"/>
    <col min="12357" max="12357" width="10.5" style="30" bestFit="1" customWidth="1"/>
    <col min="12358" max="12358" width="13.5" style="30" customWidth="1"/>
    <col min="12359" max="12361" width="9.125" style="30" bestFit="1" customWidth="1"/>
    <col min="12362" max="12362" width="12.875" style="30" customWidth="1"/>
    <col min="12363" max="12364" width="9.125" style="30" bestFit="1" customWidth="1"/>
    <col min="12365" max="12365" width="11.5" style="30" customWidth="1"/>
    <col min="12366" max="12366" width="11.875" style="30" customWidth="1"/>
    <col min="12367" max="12367" width="10.5" style="30" customWidth="1"/>
    <col min="12368" max="12368" width="10.5" style="30" bestFit="1" customWidth="1"/>
    <col min="12369" max="12369" width="12.875" style="30" customWidth="1"/>
    <col min="12370" max="12370" width="12" style="30" customWidth="1"/>
    <col min="12371" max="12371" width="13.625" style="30" customWidth="1"/>
    <col min="12372" max="12372" width="16.5" style="30" customWidth="1"/>
    <col min="12373" max="12373" width="12" style="30" customWidth="1"/>
    <col min="12374" max="12374" width="12.875" style="30" customWidth="1"/>
    <col min="12375" max="12375" width="15.625" style="30" customWidth="1"/>
    <col min="12376" max="12376" width="9" style="30" customWidth="1"/>
    <col min="12377" max="12377" width="11.5" style="30" customWidth="1"/>
    <col min="12378" max="12378" width="9" style="30" customWidth="1"/>
    <col min="12379" max="12384" width="10.875" style="30" customWidth="1"/>
    <col min="12385" max="12385" width="16.625" style="30" customWidth="1"/>
    <col min="12386" max="12394" width="9" style="30" customWidth="1"/>
    <col min="12395" max="12395" width="15.375" style="30" customWidth="1"/>
    <col min="12396" max="12396" width="15.875" style="30" customWidth="1"/>
    <col min="12397" max="12415" width="9" style="30" customWidth="1"/>
    <col min="12416" max="12447" width="8.75" style="30"/>
    <col min="12448" max="12461" width="9" style="30" customWidth="1"/>
    <col min="12462" max="12543" width="8.75" style="30"/>
    <col min="12544" max="12544" width="9" style="30" customWidth="1"/>
    <col min="12545" max="12545" width="8.75" style="30"/>
    <col min="12546" max="12546" width="12.375" style="30" customWidth="1"/>
    <col min="12547" max="12547" width="10.875" style="30" customWidth="1"/>
    <col min="12548" max="12548" width="8.75" style="30"/>
    <col min="12549" max="12549" width="12.75" style="30" customWidth="1"/>
    <col min="12550" max="12550" width="10.5" style="30" customWidth="1"/>
    <col min="12551" max="12551" width="11.25" style="30" customWidth="1"/>
    <col min="12552" max="12552" width="10.625" style="30" customWidth="1"/>
    <col min="12553" max="12553" width="12.75" style="30" customWidth="1"/>
    <col min="12554" max="12554" width="9" style="30" customWidth="1"/>
    <col min="12555" max="12555" width="10.875" style="30" customWidth="1"/>
    <col min="12556" max="12556" width="13.25" style="30" customWidth="1"/>
    <col min="12557" max="12558" width="9.25" style="30" customWidth="1"/>
    <col min="12559" max="12560" width="9.125" style="30" customWidth="1"/>
    <col min="12561" max="12561" width="11.75" style="30" customWidth="1"/>
    <col min="12562" max="12562" width="10.5" style="30" customWidth="1"/>
    <col min="12563" max="12563" width="9.125" style="30" customWidth="1"/>
    <col min="12564" max="12566" width="10.5" style="30" customWidth="1"/>
    <col min="12567" max="12567" width="9.125" style="30" customWidth="1"/>
    <col min="12568" max="12568" width="12.75" style="30" customWidth="1"/>
    <col min="12569" max="12570" width="10.5" style="30" customWidth="1"/>
    <col min="12571" max="12571" width="9.5" style="30" customWidth="1"/>
    <col min="12572" max="12572" width="9.125" style="30" customWidth="1"/>
    <col min="12573" max="12573" width="10.5" style="30" customWidth="1"/>
    <col min="12574" max="12574" width="12.75" style="30" customWidth="1"/>
    <col min="12575" max="12576" width="9.125" style="30" customWidth="1"/>
    <col min="12577" max="12577" width="10.5" style="30" customWidth="1"/>
    <col min="12578" max="12581" width="9.125" style="30" customWidth="1"/>
    <col min="12582" max="12582" width="9.5" style="30" customWidth="1"/>
    <col min="12583" max="12583" width="10.5" style="30" customWidth="1"/>
    <col min="12584" max="12584" width="9.125" style="30" customWidth="1"/>
    <col min="12585" max="12585" width="10.5" style="30" customWidth="1"/>
    <col min="12586" max="12587" width="9.125" style="30" customWidth="1"/>
    <col min="12588" max="12588" width="9.5" style="30" customWidth="1"/>
    <col min="12589" max="12589" width="9.125" style="30" customWidth="1"/>
    <col min="12590" max="12590" width="16.5" style="30" customWidth="1"/>
    <col min="12591" max="12591" width="18.125" style="30" customWidth="1"/>
    <col min="12592" max="12592" width="12.75" style="30" customWidth="1"/>
    <col min="12593" max="12595" width="9.125" style="30" customWidth="1"/>
    <col min="12596" max="12606" width="16" style="30" customWidth="1"/>
    <col min="12607" max="12607" width="10" style="30" customWidth="1"/>
    <col min="12608" max="12608" width="12.5" style="30" customWidth="1"/>
    <col min="12609" max="12610" width="10.5" style="30" bestFit="1" customWidth="1"/>
    <col min="12611" max="12612" width="9.125" style="30" bestFit="1" customWidth="1"/>
    <col min="12613" max="12613" width="10.5" style="30" bestFit="1" customWidth="1"/>
    <col min="12614" max="12614" width="13.5" style="30" customWidth="1"/>
    <col min="12615" max="12617" width="9.125" style="30" bestFit="1" customWidth="1"/>
    <col min="12618" max="12618" width="12.875" style="30" customWidth="1"/>
    <col min="12619" max="12620" width="9.125" style="30" bestFit="1" customWidth="1"/>
    <col min="12621" max="12621" width="11.5" style="30" customWidth="1"/>
    <col min="12622" max="12622" width="11.875" style="30" customWidth="1"/>
    <col min="12623" max="12623" width="10.5" style="30" customWidth="1"/>
    <col min="12624" max="12624" width="10.5" style="30" bestFit="1" customWidth="1"/>
    <col min="12625" max="12625" width="12.875" style="30" customWidth="1"/>
    <col min="12626" max="12626" width="12" style="30" customWidth="1"/>
    <col min="12627" max="12627" width="13.625" style="30" customWidth="1"/>
    <col min="12628" max="12628" width="16.5" style="30" customWidth="1"/>
    <col min="12629" max="12629" width="12" style="30" customWidth="1"/>
    <col min="12630" max="12630" width="12.875" style="30" customWidth="1"/>
    <col min="12631" max="12631" width="15.625" style="30" customWidth="1"/>
    <col min="12632" max="12632" width="9" style="30" customWidth="1"/>
    <col min="12633" max="12633" width="11.5" style="30" customWidth="1"/>
    <col min="12634" max="12634" width="9" style="30" customWidth="1"/>
    <col min="12635" max="12640" width="10.875" style="30" customWidth="1"/>
    <col min="12641" max="12641" width="16.625" style="30" customWidth="1"/>
    <col min="12642" max="12650" width="9" style="30" customWidth="1"/>
    <col min="12651" max="12651" width="15.375" style="30" customWidth="1"/>
    <col min="12652" max="12652" width="15.875" style="30" customWidth="1"/>
    <col min="12653" max="12671" width="9" style="30" customWidth="1"/>
    <col min="12672" max="12703" width="8.75" style="30"/>
    <col min="12704" max="12717" width="9" style="30" customWidth="1"/>
    <col min="12718" max="12799" width="8.75" style="30"/>
    <col min="12800" max="12800" width="9" style="30" customWidth="1"/>
    <col min="12801" max="12801" width="8.75" style="30"/>
    <col min="12802" max="12802" width="12.375" style="30" customWidth="1"/>
    <col min="12803" max="12803" width="10.875" style="30" customWidth="1"/>
    <col min="12804" max="12804" width="8.75" style="30"/>
    <col min="12805" max="12805" width="12.75" style="30" customWidth="1"/>
    <col min="12806" max="12806" width="10.5" style="30" customWidth="1"/>
    <col min="12807" max="12807" width="11.25" style="30" customWidth="1"/>
    <col min="12808" max="12808" width="10.625" style="30" customWidth="1"/>
    <col min="12809" max="12809" width="12.75" style="30" customWidth="1"/>
    <col min="12810" max="12810" width="9" style="30" customWidth="1"/>
    <col min="12811" max="12811" width="10.875" style="30" customWidth="1"/>
    <col min="12812" max="12812" width="13.25" style="30" customWidth="1"/>
    <col min="12813" max="12814" width="9.25" style="30" customWidth="1"/>
    <col min="12815" max="12816" width="9.125" style="30" customWidth="1"/>
    <col min="12817" max="12817" width="11.75" style="30" customWidth="1"/>
    <col min="12818" max="12818" width="10.5" style="30" customWidth="1"/>
    <col min="12819" max="12819" width="9.125" style="30" customWidth="1"/>
    <col min="12820" max="12822" width="10.5" style="30" customWidth="1"/>
    <col min="12823" max="12823" width="9.125" style="30" customWidth="1"/>
    <col min="12824" max="12824" width="12.75" style="30" customWidth="1"/>
    <col min="12825" max="12826" width="10.5" style="30" customWidth="1"/>
    <col min="12827" max="12827" width="9.5" style="30" customWidth="1"/>
    <col min="12828" max="12828" width="9.125" style="30" customWidth="1"/>
    <col min="12829" max="12829" width="10.5" style="30" customWidth="1"/>
    <col min="12830" max="12830" width="12.75" style="30" customWidth="1"/>
    <col min="12831" max="12832" width="9.125" style="30" customWidth="1"/>
    <col min="12833" max="12833" width="10.5" style="30" customWidth="1"/>
    <col min="12834" max="12837" width="9.125" style="30" customWidth="1"/>
    <col min="12838" max="12838" width="9.5" style="30" customWidth="1"/>
    <col min="12839" max="12839" width="10.5" style="30" customWidth="1"/>
    <col min="12840" max="12840" width="9.125" style="30" customWidth="1"/>
    <col min="12841" max="12841" width="10.5" style="30" customWidth="1"/>
    <col min="12842" max="12843" width="9.125" style="30" customWidth="1"/>
    <col min="12844" max="12844" width="9.5" style="30" customWidth="1"/>
    <col min="12845" max="12845" width="9.125" style="30" customWidth="1"/>
    <col min="12846" max="12846" width="16.5" style="30" customWidth="1"/>
    <col min="12847" max="12847" width="18.125" style="30" customWidth="1"/>
    <col min="12848" max="12848" width="12.75" style="30" customWidth="1"/>
    <col min="12849" max="12851" width="9.125" style="30" customWidth="1"/>
    <col min="12852" max="12862" width="16" style="30" customWidth="1"/>
    <col min="12863" max="12863" width="10" style="30" customWidth="1"/>
    <col min="12864" max="12864" width="12.5" style="30" customWidth="1"/>
    <col min="12865" max="12866" width="10.5" style="30" bestFit="1" customWidth="1"/>
    <col min="12867" max="12868" width="9.125" style="30" bestFit="1" customWidth="1"/>
    <col min="12869" max="12869" width="10.5" style="30" bestFit="1" customWidth="1"/>
    <col min="12870" max="12870" width="13.5" style="30" customWidth="1"/>
    <col min="12871" max="12873" width="9.125" style="30" bestFit="1" customWidth="1"/>
    <col min="12874" max="12874" width="12.875" style="30" customWidth="1"/>
    <col min="12875" max="12876" width="9.125" style="30" bestFit="1" customWidth="1"/>
    <col min="12877" max="12877" width="11.5" style="30" customWidth="1"/>
    <col min="12878" max="12878" width="11.875" style="30" customWidth="1"/>
    <col min="12879" max="12879" width="10.5" style="30" customWidth="1"/>
    <col min="12880" max="12880" width="10.5" style="30" bestFit="1" customWidth="1"/>
    <col min="12881" max="12881" width="12.875" style="30" customWidth="1"/>
    <col min="12882" max="12882" width="12" style="30" customWidth="1"/>
    <col min="12883" max="12883" width="13.625" style="30" customWidth="1"/>
    <col min="12884" max="12884" width="16.5" style="30" customWidth="1"/>
    <col min="12885" max="12885" width="12" style="30" customWidth="1"/>
    <col min="12886" max="12886" width="12.875" style="30" customWidth="1"/>
    <col min="12887" max="12887" width="15.625" style="30" customWidth="1"/>
    <col min="12888" max="12888" width="9" style="30" customWidth="1"/>
    <col min="12889" max="12889" width="11.5" style="30" customWidth="1"/>
    <col min="12890" max="12890" width="9" style="30" customWidth="1"/>
    <col min="12891" max="12896" width="10.875" style="30" customWidth="1"/>
    <col min="12897" max="12897" width="16.625" style="30" customWidth="1"/>
    <col min="12898" max="12906" width="9" style="30" customWidth="1"/>
    <col min="12907" max="12907" width="15.375" style="30" customWidth="1"/>
    <col min="12908" max="12908" width="15.875" style="30" customWidth="1"/>
    <col min="12909" max="12927" width="9" style="30" customWidth="1"/>
    <col min="12928" max="12959" width="8.75" style="30"/>
    <col min="12960" max="12973" width="9" style="30" customWidth="1"/>
    <col min="12974" max="13055" width="8.75" style="30"/>
    <col min="13056" max="13056" width="9" style="30" customWidth="1"/>
    <col min="13057" max="13057" width="8.75" style="30"/>
    <col min="13058" max="13058" width="12.375" style="30" customWidth="1"/>
    <col min="13059" max="13059" width="10.875" style="30" customWidth="1"/>
    <col min="13060" max="13060" width="8.75" style="30"/>
    <col min="13061" max="13061" width="12.75" style="30" customWidth="1"/>
    <col min="13062" max="13062" width="10.5" style="30" customWidth="1"/>
    <col min="13063" max="13063" width="11.25" style="30" customWidth="1"/>
    <col min="13064" max="13064" width="10.625" style="30" customWidth="1"/>
    <col min="13065" max="13065" width="12.75" style="30" customWidth="1"/>
    <col min="13066" max="13066" width="9" style="30" customWidth="1"/>
    <col min="13067" max="13067" width="10.875" style="30" customWidth="1"/>
    <col min="13068" max="13068" width="13.25" style="30" customWidth="1"/>
    <col min="13069" max="13070" width="9.25" style="30" customWidth="1"/>
    <col min="13071" max="13072" width="9.125" style="30" customWidth="1"/>
    <col min="13073" max="13073" width="11.75" style="30" customWidth="1"/>
    <col min="13074" max="13074" width="10.5" style="30" customWidth="1"/>
    <col min="13075" max="13075" width="9.125" style="30" customWidth="1"/>
    <col min="13076" max="13078" width="10.5" style="30" customWidth="1"/>
    <col min="13079" max="13079" width="9.125" style="30" customWidth="1"/>
    <col min="13080" max="13080" width="12.75" style="30" customWidth="1"/>
    <col min="13081" max="13082" width="10.5" style="30" customWidth="1"/>
    <col min="13083" max="13083" width="9.5" style="30" customWidth="1"/>
    <col min="13084" max="13084" width="9.125" style="30" customWidth="1"/>
    <col min="13085" max="13085" width="10.5" style="30" customWidth="1"/>
    <col min="13086" max="13086" width="12.75" style="30" customWidth="1"/>
    <col min="13087" max="13088" width="9.125" style="30" customWidth="1"/>
    <col min="13089" max="13089" width="10.5" style="30" customWidth="1"/>
    <col min="13090" max="13093" width="9.125" style="30" customWidth="1"/>
    <col min="13094" max="13094" width="9.5" style="30" customWidth="1"/>
    <col min="13095" max="13095" width="10.5" style="30" customWidth="1"/>
    <col min="13096" max="13096" width="9.125" style="30" customWidth="1"/>
    <col min="13097" max="13097" width="10.5" style="30" customWidth="1"/>
    <col min="13098" max="13099" width="9.125" style="30" customWidth="1"/>
    <col min="13100" max="13100" width="9.5" style="30" customWidth="1"/>
    <col min="13101" max="13101" width="9.125" style="30" customWidth="1"/>
    <col min="13102" max="13102" width="16.5" style="30" customWidth="1"/>
    <col min="13103" max="13103" width="18.125" style="30" customWidth="1"/>
    <col min="13104" max="13104" width="12.75" style="30" customWidth="1"/>
    <col min="13105" max="13107" width="9.125" style="30" customWidth="1"/>
    <col min="13108" max="13118" width="16" style="30" customWidth="1"/>
    <col min="13119" max="13119" width="10" style="30" customWidth="1"/>
    <col min="13120" max="13120" width="12.5" style="30" customWidth="1"/>
    <col min="13121" max="13122" width="10.5" style="30" bestFit="1" customWidth="1"/>
    <col min="13123" max="13124" width="9.125" style="30" bestFit="1" customWidth="1"/>
    <col min="13125" max="13125" width="10.5" style="30" bestFit="1" customWidth="1"/>
    <col min="13126" max="13126" width="13.5" style="30" customWidth="1"/>
    <col min="13127" max="13129" width="9.125" style="30" bestFit="1" customWidth="1"/>
    <col min="13130" max="13130" width="12.875" style="30" customWidth="1"/>
    <col min="13131" max="13132" width="9.125" style="30" bestFit="1" customWidth="1"/>
    <col min="13133" max="13133" width="11.5" style="30" customWidth="1"/>
    <col min="13134" max="13134" width="11.875" style="30" customWidth="1"/>
    <col min="13135" max="13135" width="10.5" style="30" customWidth="1"/>
    <col min="13136" max="13136" width="10.5" style="30" bestFit="1" customWidth="1"/>
    <col min="13137" max="13137" width="12.875" style="30" customWidth="1"/>
    <col min="13138" max="13138" width="12" style="30" customWidth="1"/>
    <col min="13139" max="13139" width="13.625" style="30" customWidth="1"/>
    <col min="13140" max="13140" width="16.5" style="30" customWidth="1"/>
    <col min="13141" max="13141" width="12" style="30" customWidth="1"/>
    <col min="13142" max="13142" width="12.875" style="30" customWidth="1"/>
    <col min="13143" max="13143" width="15.625" style="30" customWidth="1"/>
    <col min="13144" max="13144" width="9" style="30" customWidth="1"/>
    <col min="13145" max="13145" width="11.5" style="30" customWidth="1"/>
    <col min="13146" max="13146" width="9" style="30" customWidth="1"/>
    <col min="13147" max="13152" width="10.875" style="30" customWidth="1"/>
    <col min="13153" max="13153" width="16.625" style="30" customWidth="1"/>
    <col min="13154" max="13162" width="9" style="30" customWidth="1"/>
    <col min="13163" max="13163" width="15.375" style="30" customWidth="1"/>
    <col min="13164" max="13164" width="15.875" style="30" customWidth="1"/>
    <col min="13165" max="13183" width="9" style="30" customWidth="1"/>
    <col min="13184" max="13215" width="8.75" style="30"/>
    <col min="13216" max="13229" width="9" style="30" customWidth="1"/>
    <col min="13230" max="13311" width="8.75" style="30"/>
    <col min="13312" max="13312" width="9" style="30" customWidth="1"/>
    <col min="13313" max="13313" width="8.75" style="30"/>
    <col min="13314" max="13314" width="12.375" style="30" customWidth="1"/>
    <col min="13315" max="13315" width="10.875" style="30" customWidth="1"/>
    <col min="13316" max="13316" width="8.75" style="30"/>
    <col min="13317" max="13317" width="12.75" style="30" customWidth="1"/>
    <col min="13318" max="13318" width="10.5" style="30" customWidth="1"/>
    <col min="13319" max="13319" width="11.25" style="30" customWidth="1"/>
    <col min="13320" max="13320" width="10.625" style="30" customWidth="1"/>
    <col min="13321" max="13321" width="12.75" style="30" customWidth="1"/>
    <col min="13322" max="13322" width="9" style="30" customWidth="1"/>
    <col min="13323" max="13323" width="10.875" style="30" customWidth="1"/>
    <col min="13324" max="13324" width="13.25" style="30" customWidth="1"/>
    <col min="13325" max="13326" width="9.25" style="30" customWidth="1"/>
    <col min="13327" max="13328" width="9.125" style="30" customWidth="1"/>
    <col min="13329" max="13329" width="11.75" style="30" customWidth="1"/>
    <col min="13330" max="13330" width="10.5" style="30" customWidth="1"/>
    <col min="13331" max="13331" width="9.125" style="30" customWidth="1"/>
    <col min="13332" max="13334" width="10.5" style="30" customWidth="1"/>
    <col min="13335" max="13335" width="9.125" style="30" customWidth="1"/>
    <col min="13336" max="13336" width="12.75" style="30" customWidth="1"/>
    <col min="13337" max="13338" width="10.5" style="30" customWidth="1"/>
    <col min="13339" max="13339" width="9.5" style="30" customWidth="1"/>
    <col min="13340" max="13340" width="9.125" style="30" customWidth="1"/>
    <col min="13341" max="13341" width="10.5" style="30" customWidth="1"/>
    <col min="13342" max="13342" width="12.75" style="30" customWidth="1"/>
    <col min="13343" max="13344" width="9.125" style="30" customWidth="1"/>
    <col min="13345" max="13345" width="10.5" style="30" customWidth="1"/>
    <col min="13346" max="13349" width="9.125" style="30" customWidth="1"/>
    <col min="13350" max="13350" width="9.5" style="30" customWidth="1"/>
    <col min="13351" max="13351" width="10.5" style="30" customWidth="1"/>
    <col min="13352" max="13352" width="9.125" style="30" customWidth="1"/>
    <col min="13353" max="13353" width="10.5" style="30" customWidth="1"/>
    <col min="13354" max="13355" width="9.125" style="30" customWidth="1"/>
    <col min="13356" max="13356" width="9.5" style="30" customWidth="1"/>
    <col min="13357" max="13357" width="9.125" style="30" customWidth="1"/>
    <col min="13358" max="13358" width="16.5" style="30" customWidth="1"/>
    <col min="13359" max="13359" width="18.125" style="30" customWidth="1"/>
    <col min="13360" max="13360" width="12.75" style="30" customWidth="1"/>
    <col min="13361" max="13363" width="9.125" style="30" customWidth="1"/>
    <col min="13364" max="13374" width="16" style="30" customWidth="1"/>
    <col min="13375" max="13375" width="10" style="30" customWidth="1"/>
    <col min="13376" max="13376" width="12.5" style="30" customWidth="1"/>
    <col min="13377" max="13378" width="10.5" style="30" bestFit="1" customWidth="1"/>
    <col min="13379" max="13380" width="9.125" style="30" bestFit="1" customWidth="1"/>
    <col min="13381" max="13381" width="10.5" style="30" bestFit="1" customWidth="1"/>
    <col min="13382" max="13382" width="13.5" style="30" customWidth="1"/>
    <col min="13383" max="13385" width="9.125" style="30" bestFit="1" customWidth="1"/>
    <col min="13386" max="13386" width="12.875" style="30" customWidth="1"/>
    <col min="13387" max="13388" width="9.125" style="30" bestFit="1" customWidth="1"/>
    <col min="13389" max="13389" width="11.5" style="30" customWidth="1"/>
    <col min="13390" max="13390" width="11.875" style="30" customWidth="1"/>
    <col min="13391" max="13391" width="10.5" style="30" customWidth="1"/>
    <col min="13392" max="13392" width="10.5" style="30" bestFit="1" customWidth="1"/>
    <col min="13393" max="13393" width="12.875" style="30" customWidth="1"/>
    <col min="13394" max="13394" width="12" style="30" customWidth="1"/>
    <col min="13395" max="13395" width="13.625" style="30" customWidth="1"/>
    <col min="13396" max="13396" width="16.5" style="30" customWidth="1"/>
    <col min="13397" max="13397" width="12" style="30" customWidth="1"/>
    <col min="13398" max="13398" width="12.875" style="30" customWidth="1"/>
    <col min="13399" max="13399" width="15.625" style="30" customWidth="1"/>
    <col min="13400" max="13400" width="9" style="30" customWidth="1"/>
    <col min="13401" max="13401" width="11.5" style="30" customWidth="1"/>
    <col min="13402" max="13402" width="9" style="30" customWidth="1"/>
    <col min="13403" max="13408" width="10.875" style="30" customWidth="1"/>
    <col min="13409" max="13409" width="16.625" style="30" customWidth="1"/>
    <col min="13410" max="13418" width="9" style="30" customWidth="1"/>
    <col min="13419" max="13419" width="15.375" style="30" customWidth="1"/>
    <col min="13420" max="13420" width="15.875" style="30" customWidth="1"/>
    <col min="13421" max="13439" width="9" style="30" customWidth="1"/>
    <col min="13440" max="13471" width="8.75" style="30"/>
    <col min="13472" max="13485" width="9" style="30" customWidth="1"/>
    <col min="13486" max="13567" width="8.75" style="30"/>
    <col min="13568" max="13568" width="9" style="30" customWidth="1"/>
    <col min="13569" max="13569" width="8.75" style="30"/>
    <col min="13570" max="13570" width="12.375" style="30" customWidth="1"/>
    <col min="13571" max="13571" width="10.875" style="30" customWidth="1"/>
    <col min="13572" max="13572" width="8.75" style="30"/>
    <col min="13573" max="13573" width="12.75" style="30" customWidth="1"/>
    <col min="13574" max="13574" width="10.5" style="30" customWidth="1"/>
    <col min="13575" max="13575" width="11.25" style="30" customWidth="1"/>
    <col min="13576" max="13576" width="10.625" style="30" customWidth="1"/>
    <col min="13577" max="13577" width="12.75" style="30" customWidth="1"/>
    <col min="13578" max="13578" width="9" style="30" customWidth="1"/>
    <col min="13579" max="13579" width="10.875" style="30" customWidth="1"/>
    <col min="13580" max="13580" width="13.25" style="30" customWidth="1"/>
    <col min="13581" max="13582" width="9.25" style="30" customWidth="1"/>
    <col min="13583" max="13584" width="9.125" style="30" customWidth="1"/>
    <col min="13585" max="13585" width="11.75" style="30" customWidth="1"/>
    <col min="13586" max="13586" width="10.5" style="30" customWidth="1"/>
    <col min="13587" max="13587" width="9.125" style="30" customWidth="1"/>
    <col min="13588" max="13590" width="10.5" style="30" customWidth="1"/>
    <col min="13591" max="13591" width="9.125" style="30" customWidth="1"/>
    <col min="13592" max="13592" width="12.75" style="30" customWidth="1"/>
    <col min="13593" max="13594" width="10.5" style="30" customWidth="1"/>
    <col min="13595" max="13595" width="9.5" style="30" customWidth="1"/>
    <col min="13596" max="13596" width="9.125" style="30" customWidth="1"/>
    <col min="13597" max="13597" width="10.5" style="30" customWidth="1"/>
    <col min="13598" max="13598" width="12.75" style="30" customWidth="1"/>
    <col min="13599" max="13600" width="9.125" style="30" customWidth="1"/>
    <col min="13601" max="13601" width="10.5" style="30" customWidth="1"/>
    <col min="13602" max="13605" width="9.125" style="30" customWidth="1"/>
    <col min="13606" max="13606" width="9.5" style="30" customWidth="1"/>
    <col min="13607" max="13607" width="10.5" style="30" customWidth="1"/>
    <col min="13608" max="13608" width="9.125" style="30" customWidth="1"/>
    <col min="13609" max="13609" width="10.5" style="30" customWidth="1"/>
    <col min="13610" max="13611" width="9.125" style="30" customWidth="1"/>
    <col min="13612" max="13612" width="9.5" style="30" customWidth="1"/>
    <col min="13613" max="13613" width="9.125" style="30" customWidth="1"/>
    <col min="13614" max="13614" width="16.5" style="30" customWidth="1"/>
    <col min="13615" max="13615" width="18.125" style="30" customWidth="1"/>
    <col min="13616" max="13616" width="12.75" style="30" customWidth="1"/>
    <col min="13617" max="13619" width="9.125" style="30" customWidth="1"/>
    <col min="13620" max="13630" width="16" style="30" customWidth="1"/>
    <col min="13631" max="13631" width="10" style="30" customWidth="1"/>
    <col min="13632" max="13632" width="12.5" style="30" customWidth="1"/>
    <col min="13633" max="13634" width="10.5" style="30" bestFit="1" customWidth="1"/>
    <col min="13635" max="13636" width="9.125" style="30" bestFit="1" customWidth="1"/>
    <col min="13637" max="13637" width="10.5" style="30" bestFit="1" customWidth="1"/>
    <col min="13638" max="13638" width="13.5" style="30" customWidth="1"/>
    <col min="13639" max="13641" width="9.125" style="30" bestFit="1" customWidth="1"/>
    <col min="13642" max="13642" width="12.875" style="30" customWidth="1"/>
    <col min="13643" max="13644" width="9.125" style="30" bestFit="1" customWidth="1"/>
    <col min="13645" max="13645" width="11.5" style="30" customWidth="1"/>
    <col min="13646" max="13646" width="11.875" style="30" customWidth="1"/>
    <col min="13647" max="13647" width="10.5" style="30" customWidth="1"/>
    <col min="13648" max="13648" width="10.5" style="30" bestFit="1" customWidth="1"/>
    <col min="13649" max="13649" width="12.875" style="30" customWidth="1"/>
    <col min="13650" max="13650" width="12" style="30" customWidth="1"/>
    <col min="13651" max="13651" width="13.625" style="30" customWidth="1"/>
    <col min="13652" max="13652" width="16.5" style="30" customWidth="1"/>
    <col min="13653" max="13653" width="12" style="30" customWidth="1"/>
    <col min="13654" max="13654" width="12.875" style="30" customWidth="1"/>
    <col min="13655" max="13655" width="15.625" style="30" customWidth="1"/>
    <col min="13656" max="13656" width="9" style="30" customWidth="1"/>
    <col min="13657" max="13657" width="11.5" style="30" customWidth="1"/>
    <col min="13658" max="13658" width="9" style="30" customWidth="1"/>
    <col min="13659" max="13664" width="10.875" style="30" customWidth="1"/>
    <col min="13665" max="13665" width="16.625" style="30" customWidth="1"/>
    <col min="13666" max="13674" width="9" style="30" customWidth="1"/>
    <col min="13675" max="13675" width="15.375" style="30" customWidth="1"/>
    <col min="13676" max="13676" width="15.875" style="30" customWidth="1"/>
    <col min="13677" max="13695" width="9" style="30" customWidth="1"/>
    <col min="13696" max="13727" width="8.75" style="30"/>
    <col min="13728" max="13741" width="9" style="30" customWidth="1"/>
    <col min="13742" max="13823" width="8.75" style="30"/>
    <col min="13824" max="13824" width="9" style="30" customWidth="1"/>
    <col min="13825" max="13825" width="8.75" style="30"/>
    <col min="13826" max="13826" width="12.375" style="30" customWidth="1"/>
    <col min="13827" max="13827" width="10.875" style="30" customWidth="1"/>
    <col min="13828" max="13828" width="8.75" style="30"/>
    <col min="13829" max="13829" width="12.75" style="30" customWidth="1"/>
    <col min="13830" max="13830" width="10.5" style="30" customWidth="1"/>
    <col min="13831" max="13831" width="11.25" style="30" customWidth="1"/>
    <col min="13832" max="13832" width="10.625" style="30" customWidth="1"/>
    <col min="13833" max="13833" width="12.75" style="30" customWidth="1"/>
    <col min="13834" max="13834" width="9" style="30" customWidth="1"/>
    <col min="13835" max="13835" width="10.875" style="30" customWidth="1"/>
    <col min="13836" max="13836" width="13.25" style="30" customWidth="1"/>
    <col min="13837" max="13838" width="9.25" style="30" customWidth="1"/>
    <col min="13839" max="13840" width="9.125" style="30" customWidth="1"/>
    <col min="13841" max="13841" width="11.75" style="30" customWidth="1"/>
    <col min="13842" max="13842" width="10.5" style="30" customWidth="1"/>
    <col min="13843" max="13843" width="9.125" style="30" customWidth="1"/>
    <col min="13844" max="13846" width="10.5" style="30" customWidth="1"/>
    <col min="13847" max="13847" width="9.125" style="30" customWidth="1"/>
    <col min="13848" max="13848" width="12.75" style="30" customWidth="1"/>
    <col min="13849" max="13850" width="10.5" style="30" customWidth="1"/>
    <col min="13851" max="13851" width="9.5" style="30" customWidth="1"/>
    <col min="13852" max="13852" width="9.125" style="30" customWidth="1"/>
    <col min="13853" max="13853" width="10.5" style="30" customWidth="1"/>
    <col min="13854" max="13854" width="12.75" style="30" customWidth="1"/>
    <col min="13855" max="13856" width="9.125" style="30" customWidth="1"/>
    <col min="13857" max="13857" width="10.5" style="30" customWidth="1"/>
    <col min="13858" max="13861" width="9.125" style="30" customWidth="1"/>
    <col min="13862" max="13862" width="9.5" style="30" customWidth="1"/>
    <col min="13863" max="13863" width="10.5" style="30" customWidth="1"/>
    <col min="13864" max="13864" width="9.125" style="30" customWidth="1"/>
    <col min="13865" max="13865" width="10.5" style="30" customWidth="1"/>
    <col min="13866" max="13867" width="9.125" style="30" customWidth="1"/>
    <col min="13868" max="13868" width="9.5" style="30" customWidth="1"/>
    <col min="13869" max="13869" width="9.125" style="30" customWidth="1"/>
    <col min="13870" max="13870" width="16.5" style="30" customWidth="1"/>
    <col min="13871" max="13871" width="18.125" style="30" customWidth="1"/>
    <col min="13872" max="13872" width="12.75" style="30" customWidth="1"/>
    <col min="13873" max="13875" width="9.125" style="30" customWidth="1"/>
    <col min="13876" max="13886" width="16" style="30" customWidth="1"/>
    <col min="13887" max="13887" width="10" style="30" customWidth="1"/>
    <col min="13888" max="13888" width="12.5" style="30" customWidth="1"/>
    <col min="13889" max="13890" width="10.5" style="30" bestFit="1" customWidth="1"/>
    <col min="13891" max="13892" width="9.125" style="30" bestFit="1" customWidth="1"/>
    <col min="13893" max="13893" width="10.5" style="30" bestFit="1" customWidth="1"/>
    <col min="13894" max="13894" width="13.5" style="30" customWidth="1"/>
    <col min="13895" max="13897" width="9.125" style="30" bestFit="1" customWidth="1"/>
    <col min="13898" max="13898" width="12.875" style="30" customWidth="1"/>
    <col min="13899" max="13900" width="9.125" style="30" bestFit="1" customWidth="1"/>
    <col min="13901" max="13901" width="11.5" style="30" customWidth="1"/>
    <col min="13902" max="13902" width="11.875" style="30" customWidth="1"/>
    <col min="13903" max="13903" width="10.5" style="30" customWidth="1"/>
    <col min="13904" max="13904" width="10.5" style="30" bestFit="1" customWidth="1"/>
    <col min="13905" max="13905" width="12.875" style="30" customWidth="1"/>
    <col min="13906" max="13906" width="12" style="30" customWidth="1"/>
    <col min="13907" max="13907" width="13.625" style="30" customWidth="1"/>
    <col min="13908" max="13908" width="16.5" style="30" customWidth="1"/>
    <col min="13909" max="13909" width="12" style="30" customWidth="1"/>
    <col min="13910" max="13910" width="12.875" style="30" customWidth="1"/>
    <col min="13911" max="13911" width="15.625" style="30" customWidth="1"/>
    <col min="13912" max="13912" width="9" style="30" customWidth="1"/>
    <col min="13913" max="13913" width="11.5" style="30" customWidth="1"/>
    <col min="13914" max="13914" width="9" style="30" customWidth="1"/>
    <col min="13915" max="13920" width="10.875" style="30" customWidth="1"/>
    <col min="13921" max="13921" width="16.625" style="30" customWidth="1"/>
    <col min="13922" max="13930" width="9" style="30" customWidth="1"/>
    <col min="13931" max="13931" width="15.375" style="30" customWidth="1"/>
    <col min="13932" max="13932" width="15.875" style="30" customWidth="1"/>
    <col min="13933" max="13951" width="9" style="30" customWidth="1"/>
    <col min="13952" max="13983" width="8.75" style="30"/>
    <col min="13984" max="13997" width="9" style="30" customWidth="1"/>
    <col min="13998" max="14079" width="8.75" style="30"/>
    <col min="14080" max="14080" width="9" style="30" customWidth="1"/>
    <col min="14081" max="14081" width="8.75" style="30"/>
    <col min="14082" max="14082" width="12.375" style="30" customWidth="1"/>
    <col min="14083" max="14083" width="10.875" style="30" customWidth="1"/>
    <col min="14084" max="14084" width="8.75" style="30"/>
    <col min="14085" max="14085" width="12.75" style="30" customWidth="1"/>
    <col min="14086" max="14086" width="10.5" style="30" customWidth="1"/>
    <col min="14087" max="14087" width="11.25" style="30" customWidth="1"/>
    <col min="14088" max="14088" width="10.625" style="30" customWidth="1"/>
    <col min="14089" max="14089" width="12.75" style="30" customWidth="1"/>
    <col min="14090" max="14090" width="9" style="30" customWidth="1"/>
    <col min="14091" max="14091" width="10.875" style="30" customWidth="1"/>
    <col min="14092" max="14092" width="13.25" style="30" customWidth="1"/>
    <col min="14093" max="14094" width="9.25" style="30" customWidth="1"/>
    <col min="14095" max="14096" width="9.125" style="30" customWidth="1"/>
    <col min="14097" max="14097" width="11.75" style="30" customWidth="1"/>
    <col min="14098" max="14098" width="10.5" style="30" customWidth="1"/>
    <col min="14099" max="14099" width="9.125" style="30" customWidth="1"/>
    <col min="14100" max="14102" width="10.5" style="30" customWidth="1"/>
    <col min="14103" max="14103" width="9.125" style="30" customWidth="1"/>
    <col min="14104" max="14104" width="12.75" style="30" customWidth="1"/>
    <col min="14105" max="14106" width="10.5" style="30" customWidth="1"/>
    <col min="14107" max="14107" width="9.5" style="30" customWidth="1"/>
    <col min="14108" max="14108" width="9.125" style="30" customWidth="1"/>
    <col min="14109" max="14109" width="10.5" style="30" customWidth="1"/>
    <col min="14110" max="14110" width="12.75" style="30" customWidth="1"/>
    <col min="14111" max="14112" width="9.125" style="30" customWidth="1"/>
    <col min="14113" max="14113" width="10.5" style="30" customWidth="1"/>
    <col min="14114" max="14117" width="9.125" style="30" customWidth="1"/>
    <col min="14118" max="14118" width="9.5" style="30" customWidth="1"/>
    <col min="14119" max="14119" width="10.5" style="30" customWidth="1"/>
    <col min="14120" max="14120" width="9.125" style="30" customWidth="1"/>
    <col min="14121" max="14121" width="10.5" style="30" customWidth="1"/>
    <col min="14122" max="14123" width="9.125" style="30" customWidth="1"/>
    <col min="14124" max="14124" width="9.5" style="30" customWidth="1"/>
    <col min="14125" max="14125" width="9.125" style="30" customWidth="1"/>
    <col min="14126" max="14126" width="16.5" style="30" customWidth="1"/>
    <col min="14127" max="14127" width="18.125" style="30" customWidth="1"/>
    <col min="14128" max="14128" width="12.75" style="30" customWidth="1"/>
    <col min="14129" max="14131" width="9.125" style="30" customWidth="1"/>
    <col min="14132" max="14142" width="16" style="30" customWidth="1"/>
    <col min="14143" max="14143" width="10" style="30" customWidth="1"/>
    <col min="14144" max="14144" width="12.5" style="30" customWidth="1"/>
    <col min="14145" max="14146" width="10.5" style="30" bestFit="1" customWidth="1"/>
    <col min="14147" max="14148" width="9.125" style="30" bestFit="1" customWidth="1"/>
    <col min="14149" max="14149" width="10.5" style="30" bestFit="1" customWidth="1"/>
    <col min="14150" max="14150" width="13.5" style="30" customWidth="1"/>
    <col min="14151" max="14153" width="9.125" style="30" bestFit="1" customWidth="1"/>
    <col min="14154" max="14154" width="12.875" style="30" customWidth="1"/>
    <col min="14155" max="14156" width="9.125" style="30" bestFit="1" customWidth="1"/>
    <col min="14157" max="14157" width="11.5" style="30" customWidth="1"/>
    <col min="14158" max="14158" width="11.875" style="30" customWidth="1"/>
    <col min="14159" max="14159" width="10.5" style="30" customWidth="1"/>
    <col min="14160" max="14160" width="10.5" style="30" bestFit="1" customWidth="1"/>
    <col min="14161" max="14161" width="12.875" style="30" customWidth="1"/>
    <col min="14162" max="14162" width="12" style="30" customWidth="1"/>
    <col min="14163" max="14163" width="13.625" style="30" customWidth="1"/>
    <col min="14164" max="14164" width="16.5" style="30" customWidth="1"/>
    <col min="14165" max="14165" width="12" style="30" customWidth="1"/>
    <col min="14166" max="14166" width="12.875" style="30" customWidth="1"/>
    <col min="14167" max="14167" width="15.625" style="30" customWidth="1"/>
    <col min="14168" max="14168" width="9" style="30" customWidth="1"/>
    <col min="14169" max="14169" width="11.5" style="30" customWidth="1"/>
    <col min="14170" max="14170" width="9" style="30" customWidth="1"/>
    <col min="14171" max="14176" width="10.875" style="30" customWidth="1"/>
    <col min="14177" max="14177" width="16.625" style="30" customWidth="1"/>
    <col min="14178" max="14186" width="9" style="30" customWidth="1"/>
    <col min="14187" max="14187" width="15.375" style="30" customWidth="1"/>
    <col min="14188" max="14188" width="15.875" style="30" customWidth="1"/>
    <col min="14189" max="14207" width="9" style="30" customWidth="1"/>
    <col min="14208" max="14239" width="8.75" style="30"/>
    <col min="14240" max="14253" width="9" style="30" customWidth="1"/>
    <col min="14254" max="14335" width="8.75" style="30"/>
    <col min="14336" max="14336" width="9" style="30" customWidth="1"/>
    <col min="14337" max="14337" width="8.75" style="30"/>
    <col min="14338" max="14338" width="12.375" style="30" customWidth="1"/>
    <col min="14339" max="14339" width="10.875" style="30" customWidth="1"/>
    <col min="14340" max="14340" width="8.75" style="30"/>
    <col min="14341" max="14341" width="12.75" style="30" customWidth="1"/>
    <col min="14342" max="14342" width="10.5" style="30" customWidth="1"/>
    <col min="14343" max="14343" width="11.25" style="30" customWidth="1"/>
    <col min="14344" max="14344" width="10.625" style="30" customWidth="1"/>
    <col min="14345" max="14345" width="12.75" style="30" customWidth="1"/>
    <col min="14346" max="14346" width="9" style="30" customWidth="1"/>
    <col min="14347" max="14347" width="10.875" style="30" customWidth="1"/>
    <col min="14348" max="14348" width="13.25" style="30" customWidth="1"/>
    <col min="14349" max="14350" width="9.25" style="30" customWidth="1"/>
    <col min="14351" max="14352" width="9.125" style="30" customWidth="1"/>
    <col min="14353" max="14353" width="11.75" style="30" customWidth="1"/>
    <col min="14354" max="14354" width="10.5" style="30" customWidth="1"/>
    <col min="14355" max="14355" width="9.125" style="30" customWidth="1"/>
    <col min="14356" max="14358" width="10.5" style="30" customWidth="1"/>
    <col min="14359" max="14359" width="9.125" style="30" customWidth="1"/>
    <col min="14360" max="14360" width="12.75" style="30" customWidth="1"/>
    <col min="14361" max="14362" width="10.5" style="30" customWidth="1"/>
    <col min="14363" max="14363" width="9.5" style="30" customWidth="1"/>
    <col min="14364" max="14364" width="9.125" style="30" customWidth="1"/>
    <col min="14365" max="14365" width="10.5" style="30" customWidth="1"/>
    <col min="14366" max="14366" width="12.75" style="30" customWidth="1"/>
    <col min="14367" max="14368" width="9.125" style="30" customWidth="1"/>
    <col min="14369" max="14369" width="10.5" style="30" customWidth="1"/>
    <col min="14370" max="14373" width="9.125" style="30" customWidth="1"/>
    <col min="14374" max="14374" width="9.5" style="30" customWidth="1"/>
    <col min="14375" max="14375" width="10.5" style="30" customWidth="1"/>
    <col min="14376" max="14376" width="9.125" style="30" customWidth="1"/>
    <col min="14377" max="14377" width="10.5" style="30" customWidth="1"/>
    <col min="14378" max="14379" width="9.125" style="30" customWidth="1"/>
    <col min="14380" max="14380" width="9.5" style="30" customWidth="1"/>
    <col min="14381" max="14381" width="9.125" style="30" customWidth="1"/>
    <col min="14382" max="14382" width="16.5" style="30" customWidth="1"/>
    <col min="14383" max="14383" width="18.125" style="30" customWidth="1"/>
    <col min="14384" max="14384" width="12.75" style="30" customWidth="1"/>
    <col min="14385" max="14387" width="9.125" style="30" customWidth="1"/>
    <col min="14388" max="14398" width="16" style="30" customWidth="1"/>
    <col min="14399" max="14399" width="10" style="30" customWidth="1"/>
    <col min="14400" max="14400" width="12.5" style="30" customWidth="1"/>
    <col min="14401" max="14402" width="10.5" style="30" bestFit="1" customWidth="1"/>
    <col min="14403" max="14404" width="9.125" style="30" bestFit="1" customWidth="1"/>
    <col min="14405" max="14405" width="10.5" style="30" bestFit="1" customWidth="1"/>
    <col min="14406" max="14406" width="13.5" style="30" customWidth="1"/>
    <col min="14407" max="14409" width="9.125" style="30" bestFit="1" customWidth="1"/>
    <col min="14410" max="14410" width="12.875" style="30" customWidth="1"/>
    <col min="14411" max="14412" width="9.125" style="30" bestFit="1" customWidth="1"/>
    <col min="14413" max="14413" width="11.5" style="30" customWidth="1"/>
    <col min="14414" max="14414" width="11.875" style="30" customWidth="1"/>
    <col min="14415" max="14415" width="10.5" style="30" customWidth="1"/>
    <col min="14416" max="14416" width="10.5" style="30" bestFit="1" customWidth="1"/>
    <col min="14417" max="14417" width="12.875" style="30" customWidth="1"/>
    <col min="14418" max="14418" width="12" style="30" customWidth="1"/>
    <col min="14419" max="14419" width="13.625" style="30" customWidth="1"/>
    <col min="14420" max="14420" width="16.5" style="30" customWidth="1"/>
    <col min="14421" max="14421" width="12" style="30" customWidth="1"/>
    <col min="14422" max="14422" width="12.875" style="30" customWidth="1"/>
    <col min="14423" max="14423" width="15.625" style="30" customWidth="1"/>
    <col min="14424" max="14424" width="9" style="30" customWidth="1"/>
    <col min="14425" max="14425" width="11.5" style="30" customWidth="1"/>
    <col min="14426" max="14426" width="9" style="30" customWidth="1"/>
    <col min="14427" max="14432" width="10.875" style="30" customWidth="1"/>
    <col min="14433" max="14433" width="16.625" style="30" customWidth="1"/>
    <col min="14434" max="14442" width="9" style="30" customWidth="1"/>
    <col min="14443" max="14443" width="15.375" style="30" customWidth="1"/>
    <col min="14444" max="14444" width="15.875" style="30" customWidth="1"/>
    <col min="14445" max="14463" width="9" style="30" customWidth="1"/>
    <col min="14464" max="14495" width="8.75" style="30"/>
    <col min="14496" max="14509" width="9" style="30" customWidth="1"/>
    <col min="14510" max="14591" width="8.75" style="30"/>
    <col min="14592" max="14592" width="9" style="30" customWidth="1"/>
    <col min="14593" max="14593" width="8.75" style="30"/>
    <col min="14594" max="14594" width="12.375" style="30" customWidth="1"/>
    <col min="14595" max="14595" width="10.875" style="30" customWidth="1"/>
    <col min="14596" max="14596" width="8.75" style="30"/>
    <col min="14597" max="14597" width="12.75" style="30" customWidth="1"/>
    <col min="14598" max="14598" width="10.5" style="30" customWidth="1"/>
    <col min="14599" max="14599" width="11.25" style="30" customWidth="1"/>
    <col min="14600" max="14600" width="10.625" style="30" customWidth="1"/>
    <col min="14601" max="14601" width="12.75" style="30" customWidth="1"/>
    <col min="14602" max="14602" width="9" style="30" customWidth="1"/>
    <col min="14603" max="14603" width="10.875" style="30" customWidth="1"/>
    <col min="14604" max="14604" width="13.25" style="30" customWidth="1"/>
    <col min="14605" max="14606" width="9.25" style="30" customWidth="1"/>
    <col min="14607" max="14608" width="9.125" style="30" customWidth="1"/>
    <col min="14609" max="14609" width="11.75" style="30" customWidth="1"/>
    <col min="14610" max="14610" width="10.5" style="30" customWidth="1"/>
    <col min="14611" max="14611" width="9.125" style="30" customWidth="1"/>
    <col min="14612" max="14614" width="10.5" style="30" customWidth="1"/>
    <col min="14615" max="14615" width="9.125" style="30" customWidth="1"/>
    <col min="14616" max="14616" width="12.75" style="30" customWidth="1"/>
    <col min="14617" max="14618" width="10.5" style="30" customWidth="1"/>
    <col min="14619" max="14619" width="9.5" style="30" customWidth="1"/>
    <col min="14620" max="14620" width="9.125" style="30" customWidth="1"/>
    <col min="14621" max="14621" width="10.5" style="30" customWidth="1"/>
    <col min="14622" max="14622" width="12.75" style="30" customWidth="1"/>
    <col min="14623" max="14624" width="9.125" style="30" customWidth="1"/>
    <col min="14625" max="14625" width="10.5" style="30" customWidth="1"/>
    <col min="14626" max="14629" width="9.125" style="30" customWidth="1"/>
    <col min="14630" max="14630" width="9.5" style="30" customWidth="1"/>
    <col min="14631" max="14631" width="10.5" style="30" customWidth="1"/>
    <col min="14632" max="14632" width="9.125" style="30" customWidth="1"/>
    <col min="14633" max="14633" width="10.5" style="30" customWidth="1"/>
    <col min="14634" max="14635" width="9.125" style="30" customWidth="1"/>
    <col min="14636" max="14636" width="9.5" style="30" customWidth="1"/>
    <col min="14637" max="14637" width="9.125" style="30" customWidth="1"/>
    <col min="14638" max="14638" width="16.5" style="30" customWidth="1"/>
    <col min="14639" max="14639" width="18.125" style="30" customWidth="1"/>
    <col min="14640" max="14640" width="12.75" style="30" customWidth="1"/>
    <col min="14641" max="14643" width="9.125" style="30" customWidth="1"/>
    <col min="14644" max="14654" width="16" style="30" customWidth="1"/>
    <col min="14655" max="14655" width="10" style="30" customWidth="1"/>
    <col min="14656" max="14656" width="12.5" style="30" customWidth="1"/>
    <col min="14657" max="14658" width="10.5" style="30" bestFit="1" customWidth="1"/>
    <col min="14659" max="14660" width="9.125" style="30" bestFit="1" customWidth="1"/>
    <col min="14661" max="14661" width="10.5" style="30" bestFit="1" customWidth="1"/>
    <col min="14662" max="14662" width="13.5" style="30" customWidth="1"/>
    <col min="14663" max="14665" width="9.125" style="30" bestFit="1" customWidth="1"/>
    <col min="14666" max="14666" width="12.875" style="30" customWidth="1"/>
    <col min="14667" max="14668" width="9.125" style="30" bestFit="1" customWidth="1"/>
    <col min="14669" max="14669" width="11.5" style="30" customWidth="1"/>
    <col min="14670" max="14670" width="11.875" style="30" customWidth="1"/>
    <col min="14671" max="14671" width="10.5" style="30" customWidth="1"/>
    <col min="14672" max="14672" width="10.5" style="30" bestFit="1" customWidth="1"/>
    <col min="14673" max="14673" width="12.875" style="30" customWidth="1"/>
    <col min="14674" max="14674" width="12" style="30" customWidth="1"/>
    <col min="14675" max="14675" width="13.625" style="30" customWidth="1"/>
    <col min="14676" max="14676" width="16.5" style="30" customWidth="1"/>
    <col min="14677" max="14677" width="12" style="30" customWidth="1"/>
    <col min="14678" max="14678" width="12.875" style="30" customWidth="1"/>
    <col min="14679" max="14679" width="15.625" style="30" customWidth="1"/>
    <col min="14680" max="14680" width="9" style="30" customWidth="1"/>
    <col min="14681" max="14681" width="11.5" style="30" customWidth="1"/>
    <col min="14682" max="14682" width="9" style="30" customWidth="1"/>
    <col min="14683" max="14688" width="10.875" style="30" customWidth="1"/>
    <col min="14689" max="14689" width="16.625" style="30" customWidth="1"/>
    <col min="14690" max="14698" width="9" style="30" customWidth="1"/>
    <col min="14699" max="14699" width="15.375" style="30" customWidth="1"/>
    <col min="14700" max="14700" width="15.875" style="30" customWidth="1"/>
    <col min="14701" max="14719" width="9" style="30" customWidth="1"/>
    <col min="14720" max="14751" width="8.75" style="30"/>
    <col min="14752" max="14765" width="9" style="30" customWidth="1"/>
    <col min="14766" max="14847" width="8.75" style="30"/>
    <col min="14848" max="14848" width="9" style="30" customWidth="1"/>
    <col min="14849" max="14849" width="8.75" style="30"/>
    <col min="14850" max="14850" width="12.375" style="30" customWidth="1"/>
    <col min="14851" max="14851" width="10.875" style="30" customWidth="1"/>
    <col min="14852" max="14852" width="8.75" style="30"/>
    <col min="14853" max="14853" width="12.75" style="30" customWidth="1"/>
    <col min="14854" max="14854" width="10.5" style="30" customWidth="1"/>
    <col min="14855" max="14855" width="11.25" style="30" customWidth="1"/>
    <col min="14856" max="14856" width="10.625" style="30" customWidth="1"/>
    <col min="14857" max="14857" width="12.75" style="30" customWidth="1"/>
    <col min="14858" max="14858" width="9" style="30" customWidth="1"/>
    <col min="14859" max="14859" width="10.875" style="30" customWidth="1"/>
    <col min="14860" max="14860" width="13.25" style="30" customWidth="1"/>
    <col min="14861" max="14862" width="9.25" style="30" customWidth="1"/>
    <col min="14863" max="14864" width="9.125" style="30" customWidth="1"/>
    <col min="14865" max="14865" width="11.75" style="30" customWidth="1"/>
    <col min="14866" max="14866" width="10.5" style="30" customWidth="1"/>
    <col min="14867" max="14867" width="9.125" style="30" customWidth="1"/>
    <col min="14868" max="14870" width="10.5" style="30" customWidth="1"/>
    <col min="14871" max="14871" width="9.125" style="30" customWidth="1"/>
    <col min="14872" max="14872" width="12.75" style="30" customWidth="1"/>
    <col min="14873" max="14874" width="10.5" style="30" customWidth="1"/>
    <col min="14875" max="14875" width="9.5" style="30" customWidth="1"/>
    <col min="14876" max="14876" width="9.125" style="30" customWidth="1"/>
    <col min="14877" max="14877" width="10.5" style="30" customWidth="1"/>
    <col min="14878" max="14878" width="12.75" style="30" customWidth="1"/>
    <col min="14879" max="14880" width="9.125" style="30" customWidth="1"/>
    <col min="14881" max="14881" width="10.5" style="30" customWidth="1"/>
    <col min="14882" max="14885" width="9.125" style="30" customWidth="1"/>
    <col min="14886" max="14886" width="9.5" style="30" customWidth="1"/>
    <col min="14887" max="14887" width="10.5" style="30" customWidth="1"/>
    <col min="14888" max="14888" width="9.125" style="30" customWidth="1"/>
    <col min="14889" max="14889" width="10.5" style="30" customWidth="1"/>
    <col min="14890" max="14891" width="9.125" style="30" customWidth="1"/>
    <col min="14892" max="14892" width="9.5" style="30" customWidth="1"/>
    <col min="14893" max="14893" width="9.125" style="30" customWidth="1"/>
    <col min="14894" max="14894" width="16.5" style="30" customWidth="1"/>
    <col min="14895" max="14895" width="18.125" style="30" customWidth="1"/>
    <col min="14896" max="14896" width="12.75" style="30" customWidth="1"/>
    <col min="14897" max="14899" width="9.125" style="30" customWidth="1"/>
    <col min="14900" max="14910" width="16" style="30" customWidth="1"/>
    <col min="14911" max="14911" width="10" style="30" customWidth="1"/>
    <col min="14912" max="14912" width="12.5" style="30" customWidth="1"/>
    <col min="14913" max="14914" width="10.5" style="30" bestFit="1" customWidth="1"/>
    <col min="14915" max="14916" width="9.125" style="30" bestFit="1" customWidth="1"/>
    <col min="14917" max="14917" width="10.5" style="30" bestFit="1" customWidth="1"/>
    <col min="14918" max="14918" width="13.5" style="30" customWidth="1"/>
    <col min="14919" max="14921" width="9.125" style="30" bestFit="1" customWidth="1"/>
    <col min="14922" max="14922" width="12.875" style="30" customWidth="1"/>
    <col min="14923" max="14924" width="9.125" style="30" bestFit="1" customWidth="1"/>
    <col min="14925" max="14925" width="11.5" style="30" customWidth="1"/>
    <col min="14926" max="14926" width="11.875" style="30" customWidth="1"/>
    <col min="14927" max="14927" width="10.5" style="30" customWidth="1"/>
    <col min="14928" max="14928" width="10.5" style="30" bestFit="1" customWidth="1"/>
    <col min="14929" max="14929" width="12.875" style="30" customWidth="1"/>
    <col min="14930" max="14930" width="12" style="30" customWidth="1"/>
    <col min="14931" max="14931" width="13.625" style="30" customWidth="1"/>
    <col min="14932" max="14932" width="16.5" style="30" customWidth="1"/>
    <col min="14933" max="14933" width="12" style="30" customWidth="1"/>
    <col min="14934" max="14934" width="12.875" style="30" customWidth="1"/>
    <col min="14935" max="14935" width="15.625" style="30" customWidth="1"/>
    <col min="14936" max="14936" width="9" style="30" customWidth="1"/>
    <col min="14937" max="14937" width="11.5" style="30" customWidth="1"/>
    <col min="14938" max="14938" width="9" style="30" customWidth="1"/>
    <col min="14939" max="14944" width="10.875" style="30" customWidth="1"/>
    <col min="14945" max="14945" width="16.625" style="30" customWidth="1"/>
    <col min="14946" max="14954" width="9" style="30" customWidth="1"/>
    <col min="14955" max="14955" width="15.375" style="30" customWidth="1"/>
    <col min="14956" max="14956" width="15.875" style="30" customWidth="1"/>
    <col min="14957" max="14975" width="9" style="30" customWidth="1"/>
    <col min="14976" max="15007" width="8.75" style="30"/>
    <col min="15008" max="15021" width="9" style="30" customWidth="1"/>
    <col min="15022" max="15103" width="8.75" style="30"/>
    <col min="15104" max="15104" width="9" style="30" customWidth="1"/>
    <col min="15105" max="15105" width="8.75" style="30"/>
    <col min="15106" max="15106" width="12.375" style="30" customWidth="1"/>
    <col min="15107" max="15107" width="10.875" style="30" customWidth="1"/>
    <col min="15108" max="15108" width="8.75" style="30"/>
    <col min="15109" max="15109" width="12.75" style="30" customWidth="1"/>
    <col min="15110" max="15110" width="10.5" style="30" customWidth="1"/>
    <col min="15111" max="15111" width="11.25" style="30" customWidth="1"/>
    <col min="15112" max="15112" width="10.625" style="30" customWidth="1"/>
    <col min="15113" max="15113" width="12.75" style="30" customWidth="1"/>
    <col min="15114" max="15114" width="9" style="30" customWidth="1"/>
    <col min="15115" max="15115" width="10.875" style="30" customWidth="1"/>
    <col min="15116" max="15116" width="13.25" style="30" customWidth="1"/>
    <col min="15117" max="15118" width="9.25" style="30" customWidth="1"/>
    <col min="15119" max="15120" width="9.125" style="30" customWidth="1"/>
    <col min="15121" max="15121" width="11.75" style="30" customWidth="1"/>
    <col min="15122" max="15122" width="10.5" style="30" customWidth="1"/>
    <col min="15123" max="15123" width="9.125" style="30" customWidth="1"/>
    <col min="15124" max="15126" width="10.5" style="30" customWidth="1"/>
    <col min="15127" max="15127" width="9.125" style="30" customWidth="1"/>
    <col min="15128" max="15128" width="12.75" style="30" customWidth="1"/>
    <col min="15129" max="15130" width="10.5" style="30" customWidth="1"/>
    <col min="15131" max="15131" width="9.5" style="30" customWidth="1"/>
    <col min="15132" max="15132" width="9.125" style="30" customWidth="1"/>
    <col min="15133" max="15133" width="10.5" style="30" customWidth="1"/>
    <col min="15134" max="15134" width="12.75" style="30" customWidth="1"/>
    <col min="15135" max="15136" width="9.125" style="30" customWidth="1"/>
    <col min="15137" max="15137" width="10.5" style="30" customWidth="1"/>
    <col min="15138" max="15141" width="9.125" style="30" customWidth="1"/>
    <col min="15142" max="15142" width="9.5" style="30" customWidth="1"/>
    <col min="15143" max="15143" width="10.5" style="30" customWidth="1"/>
    <col min="15144" max="15144" width="9.125" style="30" customWidth="1"/>
    <col min="15145" max="15145" width="10.5" style="30" customWidth="1"/>
    <col min="15146" max="15147" width="9.125" style="30" customWidth="1"/>
    <col min="15148" max="15148" width="9.5" style="30" customWidth="1"/>
    <col min="15149" max="15149" width="9.125" style="30" customWidth="1"/>
    <col min="15150" max="15150" width="16.5" style="30" customWidth="1"/>
    <col min="15151" max="15151" width="18.125" style="30" customWidth="1"/>
    <col min="15152" max="15152" width="12.75" style="30" customWidth="1"/>
    <col min="15153" max="15155" width="9.125" style="30" customWidth="1"/>
    <col min="15156" max="15166" width="16" style="30" customWidth="1"/>
    <col min="15167" max="15167" width="10" style="30" customWidth="1"/>
    <col min="15168" max="15168" width="12.5" style="30" customWidth="1"/>
    <col min="15169" max="15170" width="10.5" style="30" bestFit="1" customWidth="1"/>
    <col min="15171" max="15172" width="9.125" style="30" bestFit="1" customWidth="1"/>
    <col min="15173" max="15173" width="10.5" style="30" bestFit="1" customWidth="1"/>
    <col min="15174" max="15174" width="13.5" style="30" customWidth="1"/>
    <col min="15175" max="15177" width="9.125" style="30" bestFit="1" customWidth="1"/>
    <col min="15178" max="15178" width="12.875" style="30" customWidth="1"/>
    <col min="15179" max="15180" width="9.125" style="30" bestFit="1" customWidth="1"/>
    <col min="15181" max="15181" width="11.5" style="30" customWidth="1"/>
    <col min="15182" max="15182" width="11.875" style="30" customWidth="1"/>
    <col min="15183" max="15183" width="10.5" style="30" customWidth="1"/>
    <col min="15184" max="15184" width="10.5" style="30" bestFit="1" customWidth="1"/>
    <col min="15185" max="15185" width="12.875" style="30" customWidth="1"/>
    <col min="15186" max="15186" width="12" style="30" customWidth="1"/>
    <col min="15187" max="15187" width="13.625" style="30" customWidth="1"/>
    <col min="15188" max="15188" width="16.5" style="30" customWidth="1"/>
    <col min="15189" max="15189" width="12" style="30" customWidth="1"/>
    <col min="15190" max="15190" width="12.875" style="30" customWidth="1"/>
    <col min="15191" max="15191" width="15.625" style="30" customWidth="1"/>
    <col min="15192" max="15192" width="9" style="30" customWidth="1"/>
    <col min="15193" max="15193" width="11.5" style="30" customWidth="1"/>
    <col min="15194" max="15194" width="9" style="30" customWidth="1"/>
    <col min="15195" max="15200" width="10.875" style="30" customWidth="1"/>
    <col min="15201" max="15201" width="16.625" style="30" customWidth="1"/>
    <col min="15202" max="15210" width="9" style="30" customWidth="1"/>
    <col min="15211" max="15211" width="15.375" style="30" customWidth="1"/>
    <col min="15212" max="15212" width="15.875" style="30" customWidth="1"/>
    <col min="15213" max="15231" width="9" style="30" customWidth="1"/>
    <col min="15232" max="15263" width="8.75" style="30"/>
    <col min="15264" max="15277" width="9" style="30" customWidth="1"/>
    <col min="15278" max="15359" width="8.75" style="30"/>
    <col min="15360" max="15360" width="9" style="30" customWidth="1"/>
    <col min="15361" max="15361" width="8.75" style="30"/>
    <col min="15362" max="15362" width="12.375" style="30" customWidth="1"/>
    <col min="15363" max="15363" width="10.875" style="30" customWidth="1"/>
    <col min="15364" max="15364" width="8.75" style="30"/>
    <col min="15365" max="15365" width="12.75" style="30" customWidth="1"/>
    <col min="15366" max="15366" width="10.5" style="30" customWidth="1"/>
    <col min="15367" max="15367" width="11.25" style="30" customWidth="1"/>
    <col min="15368" max="15368" width="10.625" style="30" customWidth="1"/>
    <col min="15369" max="15369" width="12.75" style="30" customWidth="1"/>
    <col min="15370" max="15370" width="9" style="30" customWidth="1"/>
    <col min="15371" max="15371" width="10.875" style="30" customWidth="1"/>
    <col min="15372" max="15372" width="13.25" style="30" customWidth="1"/>
    <col min="15373" max="15374" width="9.25" style="30" customWidth="1"/>
    <col min="15375" max="15376" width="9.125" style="30" customWidth="1"/>
    <col min="15377" max="15377" width="11.75" style="30" customWidth="1"/>
    <col min="15378" max="15378" width="10.5" style="30" customWidth="1"/>
    <col min="15379" max="15379" width="9.125" style="30" customWidth="1"/>
    <col min="15380" max="15382" width="10.5" style="30" customWidth="1"/>
    <col min="15383" max="15383" width="9.125" style="30" customWidth="1"/>
    <col min="15384" max="15384" width="12.75" style="30" customWidth="1"/>
    <col min="15385" max="15386" width="10.5" style="30" customWidth="1"/>
    <col min="15387" max="15387" width="9.5" style="30" customWidth="1"/>
    <col min="15388" max="15388" width="9.125" style="30" customWidth="1"/>
    <col min="15389" max="15389" width="10.5" style="30" customWidth="1"/>
    <col min="15390" max="15390" width="12.75" style="30" customWidth="1"/>
    <col min="15391" max="15392" width="9.125" style="30" customWidth="1"/>
    <col min="15393" max="15393" width="10.5" style="30" customWidth="1"/>
    <col min="15394" max="15397" width="9.125" style="30" customWidth="1"/>
    <col min="15398" max="15398" width="9.5" style="30" customWidth="1"/>
    <col min="15399" max="15399" width="10.5" style="30" customWidth="1"/>
    <col min="15400" max="15400" width="9.125" style="30" customWidth="1"/>
    <col min="15401" max="15401" width="10.5" style="30" customWidth="1"/>
    <col min="15402" max="15403" width="9.125" style="30" customWidth="1"/>
    <col min="15404" max="15404" width="9.5" style="30" customWidth="1"/>
    <col min="15405" max="15405" width="9.125" style="30" customWidth="1"/>
    <col min="15406" max="15406" width="16.5" style="30" customWidth="1"/>
    <col min="15407" max="15407" width="18.125" style="30" customWidth="1"/>
    <col min="15408" max="15408" width="12.75" style="30" customWidth="1"/>
    <col min="15409" max="15411" width="9.125" style="30" customWidth="1"/>
    <col min="15412" max="15422" width="16" style="30" customWidth="1"/>
    <col min="15423" max="15423" width="10" style="30" customWidth="1"/>
    <col min="15424" max="15424" width="12.5" style="30" customWidth="1"/>
    <col min="15425" max="15426" width="10.5" style="30" bestFit="1" customWidth="1"/>
    <col min="15427" max="15428" width="9.125" style="30" bestFit="1" customWidth="1"/>
    <col min="15429" max="15429" width="10.5" style="30" bestFit="1" customWidth="1"/>
    <col min="15430" max="15430" width="13.5" style="30" customWidth="1"/>
    <col min="15431" max="15433" width="9.125" style="30" bestFit="1" customWidth="1"/>
    <col min="15434" max="15434" width="12.875" style="30" customWidth="1"/>
    <col min="15435" max="15436" width="9.125" style="30" bestFit="1" customWidth="1"/>
    <col min="15437" max="15437" width="11.5" style="30" customWidth="1"/>
    <col min="15438" max="15438" width="11.875" style="30" customWidth="1"/>
    <col min="15439" max="15439" width="10.5" style="30" customWidth="1"/>
    <col min="15440" max="15440" width="10.5" style="30" bestFit="1" customWidth="1"/>
    <col min="15441" max="15441" width="12.875" style="30" customWidth="1"/>
    <col min="15442" max="15442" width="12" style="30" customWidth="1"/>
    <col min="15443" max="15443" width="13.625" style="30" customWidth="1"/>
    <col min="15444" max="15444" width="16.5" style="30" customWidth="1"/>
    <col min="15445" max="15445" width="12" style="30" customWidth="1"/>
    <col min="15446" max="15446" width="12.875" style="30" customWidth="1"/>
    <col min="15447" max="15447" width="15.625" style="30" customWidth="1"/>
    <col min="15448" max="15448" width="9" style="30" customWidth="1"/>
    <col min="15449" max="15449" width="11.5" style="30" customWidth="1"/>
    <col min="15450" max="15450" width="9" style="30" customWidth="1"/>
    <col min="15451" max="15456" width="10.875" style="30" customWidth="1"/>
    <col min="15457" max="15457" width="16.625" style="30" customWidth="1"/>
    <col min="15458" max="15466" width="9" style="30" customWidth="1"/>
    <col min="15467" max="15467" width="15.375" style="30" customWidth="1"/>
    <col min="15468" max="15468" width="15.875" style="30" customWidth="1"/>
    <col min="15469" max="15487" width="9" style="30" customWidth="1"/>
    <col min="15488" max="15519" width="8.75" style="30"/>
    <col min="15520" max="15533" width="9" style="30" customWidth="1"/>
    <col min="15534" max="15615" width="8.75" style="30"/>
    <col min="15616" max="15616" width="9" style="30" customWidth="1"/>
    <col min="15617" max="15617" width="8.75" style="30"/>
    <col min="15618" max="15618" width="12.375" style="30" customWidth="1"/>
    <col min="15619" max="15619" width="10.875" style="30" customWidth="1"/>
    <col min="15620" max="15620" width="8.75" style="30"/>
    <col min="15621" max="15621" width="12.75" style="30" customWidth="1"/>
    <col min="15622" max="15622" width="10.5" style="30" customWidth="1"/>
    <col min="15623" max="15623" width="11.25" style="30" customWidth="1"/>
    <col min="15624" max="15624" width="10.625" style="30" customWidth="1"/>
    <col min="15625" max="15625" width="12.75" style="30" customWidth="1"/>
    <col min="15626" max="15626" width="9" style="30" customWidth="1"/>
    <col min="15627" max="15627" width="10.875" style="30" customWidth="1"/>
    <col min="15628" max="15628" width="13.25" style="30" customWidth="1"/>
    <col min="15629" max="15630" width="9.25" style="30" customWidth="1"/>
    <col min="15631" max="15632" width="9.125" style="30" customWidth="1"/>
    <col min="15633" max="15633" width="11.75" style="30" customWidth="1"/>
    <col min="15634" max="15634" width="10.5" style="30" customWidth="1"/>
    <col min="15635" max="15635" width="9.125" style="30" customWidth="1"/>
    <col min="15636" max="15638" width="10.5" style="30" customWidth="1"/>
    <col min="15639" max="15639" width="9.125" style="30" customWidth="1"/>
    <col min="15640" max="15640" width="12.75" style="30" customWidth="1"/>
    <col min="15641" max="15642" width="10.5" style="30" customWidth="1"/>
    <col min="15643" max="15643" width="9.5" style="30" customWidth="1"/>
    <col min="15644" max="15644" width="9.125" style="30" customWidth="1"/>
    <col min="15645" max="15645" width="10.5" style="30" customWidth="1"/>
    <col min="15646" max="15646" width="12.75" style="30" customWidth="1"/>
    <col min="15647" max="15648" width="9.125" style="30" customWidth="1"/>
    <col min="15649" max="15649" width="10.5" style="30" customWidth="1"/>
    <col min="15650" max="15653" width="9.125" style="30" customWidth="1"/>
    <col min="15654" max="15654" width="9.5" style="30" customWidth="1"/>
    <col min="15655" max="15655" width="10.5" style="30" customWidth="1"/>
    <col min="15656" max="15656" width="9.125" style="30" customWidth="1"/>
    <col min="15657" max="15657" width="10.5" style="30" customWidth="1"/>
    <col min="15658" max="15659" width="9.125" style="30" customWidth="1"/>
    <col min="15660" max="15660" width="9.5" style="30" customWidth="1"/>
    <col min="15661" max="15661" width="9.125" style="30" customWidth="1"/>
    <col min="15662" max="15662" width="16.5" style="30" customWidth="1"/>
    <col min="15663" max="15663" width="18.125" style="30" customWidth="1"/>
    <col min="15664" max="15664" width="12.75" style="30" customWidth="1"/>
    <col min="15665" max="15667" width="9.125" style="30" customWidth="1"/>
    <col min="15668" max="15678" width="16" style="30" customWidth="1"/>
    <col min="15679" max="15679" width="10" style="30" customWidth="1"/>
    <col min="15680" max="15680" width="12.5" style="30" customWidth="1"/>
    <col min="15681" max="15682" width="10.5" style="30" bestFit="1" customWidth="1"/>
    <col min="15683" max="15684" width="9.125" style="30" bestFit="1" customWidth="1"/>
    <col min="15685" max="15685" width="10.5" style="30" bestFit="1" customWidth="1"/>
    <col min="15686" max="15686" width="13.5" style="30" customWidth="1"/>
    <col min="15687" max="15689" width="9.125" style="30" bestFit="1" customWidth="1"/>
    <col min="15690" max="15690" width="12.875" style="30" customWidth="1"/>
    <col min="15691" max="15692" width="9.125" style="30" bestFit="1" customWidth="1"/>
    <col min="15693" max="15693" width="11.5" style="30" customWidth="1"/>
    <col min="15694" max="15694" width="11.875" style="30" customWidth="1"/>
    <col min="15695" max="15695" width="10.5" style="30" customWidth="1"/>
    <col min="15696" max="15696" width="10.5" style="30" bestFit="1" customWidth="1"/>
    <col min="15697" max="15697" width="12.875" style="30" customWidth="1"/>
    <col min="15698" max="15698" width="12" style="30" customWidth="1"/>
    <col min="15699" max="15699" width="13.625" style="30" customWidth="1"/>
    <col min="15700" max="15700" width="16.5" style="30" customWidth="1"/>
    <col min="15701" max="15701" width="12" style="30" customWidth="1"/>
    <col min="15702" max="15702" width="12.875" style="30" customWidth="1"/>
    <col min="15703" max="15703" width="15.625" style="30" customWidth="1"/>
    <col min="15704" max="15704" width="9" style="30" customWidth="1"/>
    <col min="15705" max="15705" width="11.5" style="30" customWidth="1"/>
    <col min="15706" max="15706" width="9" style="30" customWidth="1"/>
    <col min="15707" max="15712" width="10.875" style="30" customWidth="1"/>
    <col min="15713" max="15713" width="16.625" style="30" customWidth="1"/>
    <col min="15714" max="15722" width="9" style="30" customWidth="1"/>
    <col min="15723" max="15723" width="15.375" style="30" customWidth="1"/>
    <col min="15724" max="15724" width="15.875" style="30" customWidth="1"/>
    <col min="15725" max="15743" width="9" style="30" customWidth="1"/>
    <col min="15744" max="15775" width="8.75" style="30"/>
    <col min="15776" max="15789" width="9" style="30" customWidth="1"/>
    <col min="15790" max="15871" width="8.75" style="30"/>
    <col min="15872" max="15872" width="9" style="30" customWidth="1"/>
    <col min="15873" max="15873" width="8.75" style="30"/>
    <col min="15874" max="15874" width="12.375" style="30" customWidth="1"/>
    <col min="15875" max="15875" width="10.875" style="30" customWidth="1"/>
    <col min="15876" max="15876" width="8.75" style="30"/>
    <col min="15877" max="15877" width="12.75" style="30" customWidth="1"/>
    <col min="15878" max="15878" width="10.5" style="30" customWidth="1"/>
    <col min="15879" max="15879" width="11.25" style="30" customWidth="1"/>
    <col min="15880" max="15880" width="10.625" style="30" customWidth="1"/>
    <col min="15881" max="15881" width="12.75" style="30" customWidth="1"/>
    <col min="15882" max="15882" width="9" style="30" customWidth="1"/>
    <col min="15883" max="15883" width="10.875" style="30" customWidth="1"/>
    <col min="15884" max="15884" width="13.25" style="30" customWidth="1"/>
    <col min="15885" max="15886" width="9.25" style="30" customWidth="1"/>
    <col min="15887" max="15888" width="9.125" style="30" customWidth="1"/>
    <col min="15889" max="15889" width="11.75" style="30" customWidth="1"/>
    <col min="15890" max="15890" width="10.5" style="30" customWidth="1"/>
    <col min="15891" max="15891" width="9.125" style="30" customWidth="1"/>
    <col min="15892" max="15894" width="10.5" style="30" customWidth="1"/>
    <col min="15895" max="15895" width="9.125" style="30" customWidth="1"/>
    <col min="15896" max="15896" width="12.75" style="30" customWidth="1"/>
    <col min="15897" max="15898" width="10.5" style="30" customWidth="1"/>
    <col min="15899" max="15899" width="9.5" style="30" customWidth="1"/>
    <col min="15900" max="15900" width="9.125" style="30" customWidth="1"/>
    <col min="15901" max="15901" width="10.5" style="30" customWidth="1"/>
    <col min="15902" max="15902" width="12.75" style="30" customWidth="1"/>
    <col min="15903" max="15904" width="9.125" style="30" customWidth="1"/>
    <col min="15905" max="15905" width="10.5" style="30" customWidth="1"/>
    <col min="15906" max="15909" width="9.125" style="30" customWidth="1"/>
    <col min="15910" max="15910" width="9.5" style="30" customWidth="1"/>
    <col min="15911" max="15911" width="10.5" style="30" customWidth="1"/>
    <col min="15912" max="15912" width="9.125" style="30" customWidth="1"/>
    <col min="15913" max="15913" width="10.5" style="30" customWidth="1"/>
    <col min="15914" max="15915" width="9.125" style="30" customWidth="1"/>
    <col min="15916" max="15916" width="9.5" style="30" customWidth="1"/>
    <col min="15917" max="15917" width="9.125" style="30" customWidth="1"/>
    <col min="15918" max="15918" width="16.5" style="30" customWidth="1"/>
    <col min="15919" max="15919" width="18.125" style="30" customWidth="1"/>
    <col min="15920" max="15920" width="12.75" style="30" customWidth="1"/>
    <col min="15921" max="15923" width="9.125" style="30" customWidth="1"/>
    <col min="15924" max="15934" width="16" style="30" customWidth="1"/>
    <col min="15935" max="15935" width="10" style="30" customWidth="1"/>
    <col min="15936" max="15936" width="12.5" style="30" customWidth="1"/>
    <col min="15937" max="15938" width="10.5" style="30" bestFit="1" customWidth="1"/>
    <col min="15939" max="15940" width="9.125" style="30" bestFit="1" customWidth="1"/>
    <col min="15941" max="15941" width="10.5" style="30" bestFit="1" customWidth="1"/>
    <col min="15942" max="15942" width="13.5" style="30" customWidth="1"/>
    <col min="15943" max="15945" width="9.125" style="30" bestFit="1" customWidth="1"/>
    <col min="15946" max="15946" width="12.875" style="30" customWidth="1"/>
    <col min="15947" max="15948" width="9.125" style="30" bestFit="1" customWidth="1"/>
    <col min="15949" max="15949" width="11.5" style="30" customWidth="1"/>
    <col min="15950" max="15950" width="11.875" style="30" customWidth="1"/>
    <col min="15951" max="15951" width="10.5" style="30" customWidth="1"/>
    <col min="15952" max="15952" width="10.5" style="30" bestFit="1" customWidth="1"/>
    <col min="15953" max="15953" width="12.875" style="30" customWidth="1"/>
    <col min="15954" max="15954" width="12" style="30" customWidth="1"/>
    <col min="15955" max="15955" width="13.625" style="30" customWidth="1"/>
    <col min="15956" max="15956" width="16.5" style="30" customWidth="1"/>
    <col min="15957" max="15957" width="12" style="30" customWidth="1"/>
    <col min="15958" max="15958" width="12.875" style="30" customWidth="1"/>
    <col min="15959" max="15959" width="15.625" style="30" customWidth="1"/>
    <col min="15960" max="15960" width="9" style="30" customWidth="1"/>
    <col min="15961" max="15961" width="11.5" style="30" customWidth="1"/>
    <col min="15962" max="15962" width="9" style="30" customWidth="1"/>
    <col min="15963" max="15968" width="10.875" style="30" customWidth="1"/>
    <col min="15969" max="15969" width="16.625" style="30" customWidth="1"/>
    <col min="15970" max="15978" width="9" style="30" customWidth="1"/>
    <col min="15979" max="15979" width="15.375" style="30" customWidth="1"/>
    <col min="15980" max="15980" width="15.875" style="30" customWidth="1"/>
    <col min="15981" max="15999" width="9" style="30" customWidth="1"/>
    <col min="16000" max="16031" width="8.75" style="30"/>
    <col min="16032" max="16045" width="9" style="30" customWidth="1"/>
    <col min="16046" max="16127" width="8.75" style="30"/>
    <col min="16128" max="16128" width="9" style="30" customWidth="1"/>
    <col min="16129" max="16129" width="8.75" style="30"/>
    <col min="16130" max="16130" width="12.375" style="30" customWidth="1"/>
    <col min="16131" max="16131" width="10.875" style="30" customWidth="1"/>
    <col min="16132" max="16132" width="8.75" style="30"/>
    <col min="16133" max="16133" width="12.75" style="30" customWidth="1"/>
    <col min="16134" max="16134" width="10.5" style="30" customWidth="1"/>
    <col min="16135" max="16135" width="11.25" style="30" customWidth="1"/>
    <col min="16136" max="16136" width="10.625" style="30" customWidth="1"/>
    <col min="16137" max="16137" width="12.75" style="30" customWidth="1"/>
    <col min="16138" max="16138" width="9" style="30" customWidth="1"/>
    <col min="16139" max="16139" width="10.875" style="30" customWidth="1"/>
    <col min="16140" max="16140" width="13.25" style="30" customWidth="1"/>
    <col min="16141" max="16142" width="9.25" style="30" customWidth="1"/>
    <col min="16143" max="16144" width="9.125" style="30" customWidth="1"/>
    <col min="16145" max="16145" width="11.75" style="30" customWidth="1"/>
    <col min="16146" max="16146" width="10.5" style="30" customWidth="1"/>
    <col min="16147" max="16147" width="9.125" style="30" customWidth="1"/>
    <col min="16148" max="16150" width="10.5" style="30" customWidth="1"/>
    <col min="16151" max="16151" width="9.125" style="30" customWidth="1"/>
    <col min="16152" max="16152" width="12.75" style="30" customWidth="1"/>
    <col min="16153" max="16154" width="10.5" style="30" customWidth="1"/>
    <col min="16155" max="16155" width="9.5" style="30" customWidth="1"/>
    <col min="16156" max="16156" width="9.125" style="30" customWidth="1"/>
    <col min="16157" max="16157" width="10.5" style="30" customWidth="1"/>
    <col min="16158" max="16158" width="12.75" style="30" customWidth="1"/>
    <col min="16159" max="16160" width="9.125" style="30" customWidth="1"/>
    <col min="16161" max="16161" width="10.5" style="30" customWidth="1"/>
    <col min="16162" max="16165" width="9.125" style="30" customWidth="1"/>
    <col min="16166" max="16166" width="9.5" style="30" customWidth="1"/>
    <col min="16167" max="16167" width="10.5" style="30" customWidth="1"/>
    <col min="16168" max="16168" width="9.125" style="30" customWidth="1"/>
    <col min="16169" max="16169" width="10.5" style="30" customWidth="1"/>
    <col min="16170" max="16171" width="9.125" style="30" customWidth="1"/>
    <col min="16172" max="16172" width="9.5" style="30" customWidth="1"/>
    <col min="16173" max="16173" width="9.125" style="30" customWidth="1"/>
    <col min="16174" max="16174" width="16.5" style="30" customWidth="1"/>
    <col min="16175" max="16175" width="18.125" style="30" customWidth="1"/>
    <col min="16176" max="16176" width="12.75" style="30" customWidth="1"/>
    <col min="16177" max="16179" width="9.125" style="30" customWidth="1"/>
    <col min="16180" max="16190" width="16" style="30" customWidth="1"/>
    <col min="16191" max="16191" width="10" style="30" customWidth="1"/>
    <col min="16192" max="16192" width="12.5" style="30" customWidth="1"/>
    <col min="16193" max="16194" width="10.5" style="30" bestFit="1" customWidth="1"/>
    <col min="16195" max="16196" width="9.125" style="30" bestFit="1" customWidth="1"/>
    <col min="16197" max="16197" width="10.5" style="30" bestFit="1" customWidth="1"/>
    <col min="16198" max="16198" width="13.5" style="30" customWidth="1"/>
    <col min="16199" max="16201" width="9.125" style="30" bestFit="1" customWidth="1"/>
    <col min="16202" max="16202" width="12.875" style="30" customWidth="1"/>
    <col min="16203" max="16204" width="9.125" style="30" bestFit="1" customWidth="1"/>
    <col min="16205" max="16205" width="11.5" style="30" customWidth="1"/>
    <col min="16206" max="16206" width="11.875" style="30" customWidth="1"/>
    <col min="16207" max="16207" width="10.5" style="30" customWidth="1"/>
    <col min="16208" max="16208" width="10.5" style="30" bestFit="1" customWidth="1"/>
    <col min="16209" max="16209" width="12.875" style="30" customWidth="1"/>
    <col min="16210" max="16210" width="12" style="30" customWidth="1"/>
    <col min="16211" max="16211" width="13.625" style="30" customWidth="1"/>
    <col min="16212" max="16212" width="16.5" style="30" customWidth="1"/>
    <col min="16213" max="16213" width="12" style="30" customWidth="1"/>
    <col min="16214" max="16214" width="12.875" style="30" customWidth="1"/>
    <col min="16215" max="16215" width="15.625" style="30" customWidth="1"/>
    <col min="16216" max="16216" width="9" style="30" customWidth="1"/>
    <col min="16217" max="16217" width="11.5" style="30" customWidth="1"/>
    <col min="16218" max="16218" width="9" style="30" customWidth="1"/>
    <col min="16219" max="16224" width="10.875" style="30" customWidth="1"/>
    <col min="16225" max="16225" width="16.625" style="30" customWidth="1"/>
    <col min="16226" max="16234" width="9" style="30" customWidth="1"/>
    <col min="16235" max="16235" width="15.375" style="30" customWidth="1"/>
    <col min="16236" max="16236" width="15.875" style="30" customWidth="1"/>
    <col min="16237" max="16255" width="9" style="30" customWidth="1"/>
    <col min="16256" max="16287" width="8.75" style="30"/>
    <col min="16288" max="16301" width="9" style="30" customWidth="1"/>
    <col min="16302" max="16384" width="8.75" style="30"/>
  </cols>
  <sheetData>
    <row r="1" spans="1:124" s="17" customFormat="1" ht="12" x14ac:dyDescent="0.15">
      <c r="A1" s="200" t="s">
        <v>627</v>
      </c>
      <c r="B1" s="201"/>
      <c r="C1" s="201"/>
      <c r="D1" s="90" t="s">
        <v>626</v>
      </c>
      <c r="E1" s="16">
        <v>1</v>
      </c>
      <c r="F1" s="16">
        <v>2</v>
      </c>
      <c r="G1" s="16">
        <v>3</v>
      </c>
      <c r="H1" s="16">
        <v>4</v>
      </c>
      <c r="I1" s="16">
        <v>5</v>
      </c>
      <c r="J1" s="16">
        <v>6</v>
      </c>
      <c r="K1" s="16">
        <v>7</v>
      </c>
      <c r="L1" s="16">
        <v>8</v>
      </c>
      <c r="M1" s="16">
        <v>9</v>
      </c>
      <c r="N1" s="16">
        <v>10</v>
      </c>
      <c r="O1" s="16">
        <v>11</v>
      </c>
      <c r="P1" s="16">
        <v>12</v>
      </c>
      <c r="Q1" s="16">
        <v>13</v>
      </c>
      <c r="R1" s="16">
        <v>14</v>
      </c>
      <c r="S1" s="16">
        <v>15</v>
      </c>
      <c r="T1" s="16">
        <v>16</v>
      </c>
      <c r="U1" s="16">
        <v>17</v>
      </c>
      <c r="V1" s="16">
        <v>18</v>
      </c>
      <c r="W1" s="16">
        <v>19</v>
      </c>
      <c r="X1" s="16">
        <v>20</v>
      </c>
      <c r="Y1" s="16">
        <v>21</v>
      </c>
      <c r="Z1" s="16">
        <v>22</v>
      </c>
      <c r="AA1" s="16">
        <v>23</v>
      </c>
      <c r="AB1" s="16">
        <v>24</v>
      </c>
      <c r="AC1" s="16">
        <v>25</v>
      </c>
      <c r="AD1" s="16">
        <v>26</v>
      </c>
      <c r="AE1" s="16">
        <v>27</v>
      </c>
      <c r="AF1" s="16">
        <v>28</v>
      </c>
      <c r="AG1" s="16">
        <v>29</v>
      </c>
      <c r="AH1" s="16">
        <v>30</v>
      </c>
      <c r="AI1" s="16">
        <v>31</v>
      </c>
      <c r="AJ1" s="16">
        <v>32</v>
      </c>
      <c r="AK1" s="16">
        <v>33</v>
      </c>
      <c r="AL1" s="16">
        <v>34</v>
      </c>
      <c r="AM1" s="16">
        <v>35</v>
      </c>
      <c r="AN1" s="16">
        <v>36</v>
      </c>
      <c r="AO1" s="16">
        <v>37</v>
      </c>
      <c r="AP1" s="16">
        <v>38</v>
      </c>
      <c r="AQ1" s="16">
        <v>39</v>
      </c>
      <c r="AR1" s="16">
        <v>40</v>
      </c>
      <c r="AS1" s="16">
        <v>41</v>
      </c>
      <c r="AT1" s="16">
        <v>42</v>
      </c>
      <c r="AU1" s="16">
        <v>43</v>
      </c>
      <c r="AV1" s="16">
        <v>44</v>
      </c>
      <c r="AW1" s="16">
        <v>45</v>
      </c>
      <c r="AX1" s="16">
        <v>46</v>
      </c>
      <c r="AY1" s="16">
        <v>47</v>
      </c>
      <c r="AZ1" s="16">
        <v>48</v>
      </c>
      <c r="BA1" s="16">
        <v>49</v>
      </c>
      <c r="BB1" s="16">
        <v>50</v>
      </c>
      <c r="BC1" s="16">
        <v>51</v>
      </c>
      <c r="BD1" s="16">
        <v>52</v>
      </c>
      <c r="BE1" s="16">
        <v>53</v>
      </c>
      <c r="BF1" s="16">
        <v>54</v>
      </c>
      <c r="BG1" s="16">
        <v>55</v>
      </c>
      <c r="BH1" s="16">
        <v>56</v>
      </c>
      <c r="BI1" s="16">
        <v>57</v>
      </c>
      <c r="BJ1" s="16">
        <v>58</v>
      </c>
      <c r="BK1" s="16">
        <v>59</v>
      </c>
      <c r="BL1" s="16">
        <v>60</v>
      </c>
      <c r="BM1" s="16">
        <v>61</v>
      </c>
      <c r="BN1" s="16">
        <v>62</v>
      </c>
      <c r="BO1" s="16">
        <v>63</v>
      </c>
      <c r="BP1" s="16">
        <v>64</v>
      </c>
      <c r="BQ1" s="16">
        <v>65</v>
      </c>
      <c r="BR1" s="16">
        <v>66</v>
      </c>
      <c r="BS1" s="16">
        <v>67</v>
      </c>
      <c r="BT1" s="16">
        <v>68</v>
      </c>
      <c r="BU1" s="16">
        <v>69</v>
      </c>
      <c r="BV1" s="16">
        <v>70</v>
      </c>
      <c r="BW1" s="16">
        <v>71</v>
      </c>
      <c r="BX1" s="16">
        <v>72</v>
      </c>
      <c r="BY1" s="16">
        <v>73</v>
      </c>
      <c r="BZ1" s="16">
        <v>74</v>
      </c>
      <c r="CA1" s="16">
        <v>75</v>
      </c>
      <c r="CB1" s="16">
        <v>76</v>
      </c>
      <c r="CC1" s="16">
        <v>77</v>
      </c>
      <c r="CD1" s="16">
        <v>78</v>
      </c>
      <c r="CE1" s="16">
        <v>79</v>
      </c>
      <c r="CF1" s="16">
        <v>80</v>
      </c>
      <c r="CG1" s="16">
        <v>81</v>
      </c>
      <c r="CH1" s="16">
        <v>82</v>
      </c>
      <c r="CI1" s="16">
        <v>83</v>
      </c>
      <c r="CJ1" s="16">
        <v>84</v>
      </c>
      <c r="CK1" s="16">
        <v>85</v>
      </c>
      <c r="CL1" s="16">
        <v>86</v>
      </c>
      <c r="CM1" s="16">
        <v>87</v>
      </c>
      <c r="CN1" s="16">
        <v>88</v>
      </c>
      <c r="CO1" s="16">
        <v>89</v>
      </c>
      <c r="CP1" s="16">
        <v>90</v>
      </c>
      <c r="CQ1" s="16">
        <v>91</v>
      </c>
      <c r="CR1" s="16">
        <v>92</v>
      </c>
      <c r="CS1" s="16">
        <v>93</v>
      </c>
      <c r="CT1" s="16">
        <v>94</v>
      </c>
      <c r="CU1" s="16">
        <v>96</v>
      </c>
      <c r="CV1" s="16">
        <v>97</v>
      </c>
      <c r="CW1" s="16">
        <v>98</v>
      </c>
      <c r="CX1" s="16">
        <v>99</v>
      </c>
      <c r="CY1" s="16">
        <v>100</v>
      </c>
      <c r="CZ1" s="16">
        <v>101</v>
      </c>
      <c r="DA1" s="16">
        <v>102</v>
      </c>
      <c r="DB1" s="16">
        <v>103</v>
      </c>
      <c r="DC1" s="16">
        <v>104</v>
      </c>
      <c r="DD1" s="16">
        <v>105</v>
      </c>
      <c r="DE1" s="16">
        <v>106</v>
      </c>
      <c r="DF1" s="16">
        <v>107</v>
      </c>
      <c r="DG1" s="16">
        <v>108</v>
      </c>
      <c r="DH1" s="16">
        <v>109</v>
      </c>
      <c r="DI1" s="16">
        <v>110</v>
      </c>
      <c r="DJ1" s="16">
        <v>111</v>
      </c>
      <c r="DK1" s="16">
        <v>112</v>
      </c>
      <c r="DL1" s="16">
        <v>113</v>
      </c>
      <c r="DM1" s="16">
        <v>114</v>
      </c>
      <c r="DN1" s="16">
        <v>115</v>
      </c>
      <c r="DO1" s="16">
        <v>116</v>
      </c>
      <c r="DP1" s="16">
        <v>117</v>
      </c>
      <c r="DQ1" s="16">
        <v>118</v>
      </c>
      <c r="DR1" s="16">
        <v>119</v>
      </c>
      <c r="DS1" s="106">
        <v>120</v>
      </c>
      <c r="DT1" s="106">
        <v>121</v>
      </c>
    </row>
    <row r="2" spans="1:124" s="36" customFormat="1" ht="21.75" customHeight="1" x14ac:dyDescent="0.15">
      <c r="A2" s="31" t="s">
        <v>123</v>
      </c>
      <c r="B2" s="31" t="s">
        <v>178</v>
      </c>
      <c r="C2" s="31" t="s">
        <v>125</v>
      </c>
      <c r="D2" s="32" t="s">
        <v>179</v>
      </c>
      <c r="E2" s="32" t="s">
        <v>240</v>
      </c>
      <c r="F2" s="32" t="s">
        <v>241</v>
      </c>
      <c r="G2" s="32" t="s">
        <v>242</v>
      </c>
      <c r="H2" s="32" t="s">
        <v>243</v>
      </c>
      <c r="I2" s="32" t="s">
        <v>244</v>
      </c>
      <c r="J2" s="32" t="s">
        <v>245</v>
      </c>
      <c r="K2" s="32" t="s">
        <v>246</v>
      </c>
      <c r="L2" s="32" t="s">
        <v>247</v>
      </c>
      <c r="M2" s="32" t="s">
        <v>248</v>
      </c>
      <c r="N2" s="32" t="s">
        <v>249</v>
      </c>
      <c r="O2" s="32" t="s">
        <v>250</v>
      </c>
      <c r="P2" s="32" t="s">
        <v>251</v>
      </c>
      <c r="Q2" s="32" t="s">
        <v>252</v>
      </c>
      <c r="R2" s="32" t="s">
        <v>253</v>
      </c>
      <c r="S2" s="32" t="s">
        <v>254</v>
      </c>
      <c r="T2" s="32" t="s">
        <v>255</v>
      </c>
      <c r="U2" s="32" t="s">
        <v>256</v>
      </c>
      <c r="V2" s="32" t="s">
        <v>634</v>
      </c>
      <c r="W2" s="32" t="s">
        <v>257</v>
      </c>
      <c r="X2" s="32" t="s">
        <v>258</v>
      </c>
      <c r="Y2" s="32" t="s">
        <v>633</v>
      </c>
      <c r="Z2" s="32" t="s">
        <v>259</v>
      </c>
      <c r="AA2" s="32" t="s">
        <v>260</v>
      </c>
      <c r="AB2" s="32" t="s">
        <v>261</v>
      </c>
      <c r="AC2" s="32" t="s">
        <v>262</v>
      </c>
      <c r="AD2" s="32" t="s">
        <v>263</v>
      </c>
      <c r="AE2" s="32" t="s">
        <v>264</v>
      </c>
      <c r="AF2" s="32" t="s">
        <v>180</v>
      </c>
      <c r="AG2" s="32" t="s">
        <v>265</v>
      </c>
      <c r="AH2" s="32" t="s">
        <v>266</v>
      </c>
      <c r="AI2" s="32" t="s">
        <v>267</v>
      </c>
      <c r="AJ2" s="32" t="s">
        <v>268</v>
      </c>
      <c r="AK2" s="32" t="s">
        <v>269</v>
      </c>
      <c r="AL2" s="32" t="s">
        <v>181</v>
      </c>
      <c r="AM2" s="32" t="s">
        <v>270</v>
      </c>
      <c r="AN2" s="32" t="s">
        <v>271</v>
      </c>
      <c r="AO2" s="32" t="s">
        <v>182</v>
      </c>
      <c r="AP2" s="32" t="s">
        <v>272</v>
      </c>
      <c r="AQ2" s="32" t="s">
        <v>273</v>
      </c>
      <c r="AR2" s="32" t="s">
        <v>274</v>
      </c>
      <c r="AS2" s="32" t="s">
        <v>275</v>
      </c>
      <c r="AT2" s="32" t="s">
        <v>276</v>
      </c>
      <c r="AU2" s="32" t="s">
        <v>277</v>
      </c>
      <c r="AV2" s="32" t="s">
        <v>183</v>
      </c>
      <c r="AW2" s="32" t="s">
        <v>278</v>
      </c>
      <c r="AX2" s="32" t="s">
        <v>279</v>
      </c>
      <c r="AY2" s="32" t="s">
        <v>280</v>
      </c>
      <c r="AZ2" s="32" t="s">
        <v>281</v>
      </c>
      <c r="BA2" s="32" t="s">
        <v>282</v>
      </c>
      <c r="BB2" s="32" t="s">
        <v>184</v>
      </c>
      <c r="BC2" s="32" t="s">
        <v>283</v>
      </c>
      <c r="BD2" s="32" t="s">
        <v>284</v>
      </c>
      <c r="BE2" s="32" t="s">
        <v>285</v>
      </c>
      <c r="BF2" s="32" t="s">
        <v>286</v>
      </c>
      <c r="BG2" s="32" t="s">
        <v>287</v>
      </c>
      <c r="BH2" s="33" t="s">
        <v>185</v>
      </c>
      <c r="BI2" s="32" t="s">
        <v>288</v>
      </c>
      <c r="BJ2" s="32" t="s">
        <v>186</v>
      </c>
      <c r="BK2" s="32" t="s">
        <v>289</v>
      </c>
      <c r="BL2" s="32" t="s">
        <v>290</v>
      </c>
      <c r="BM2" s="32" t="s">
        <v>291</v>
      </c>
      <c r="BN2" s="32" t="s">
        <v>292</v>
      </c>
      <c r="BO2" s="32" t="s">
        <v>293</v>
      </c>
      <c r="BP2" s="32" t="s">
        <v>294</v>
      </c>
      <c r="BQ2" s="33" t="s">
        <v>187</v>
      </c>
      <c r="BR2" s="32" t="s">
        <v>295</v>
      </c>
      <c r="BS2" s="32" t="s">
        <v>296</v>
      </c>
      <c r="BT2" s="32" t="s">
        <v>188</v>
      </c>
      <c r="BU2" s="32" t="s">
        <v>189</v>
      </c>
      <c r="BV2" s="32" t="s">
        <v>297</v>
      </c>
      <c r="BW2" s="32" t="s">
        <v>190</v>
      </c>
      <c r="BX2" s="32" t="s">
        <v>191</v>
      </c>
      <c r="BY2" s="32" t="s">
        <v>298</v>
      </c>
      <c r="BZ2" s="32" t="s">
        <v>192</v>
      </c>
      <c r="CA2" s="32" t="s">
        <v>299</v>
      </c>
      <c r="CB2" s="32" t="s">
        <v>300</v>
      </c>
      <c r="CC2" s="32" t="s">
        <v>301</v>
      </c>
      <c r="CD2" s="32" t="s">
        <v>193</v>
      </c>
      <c r="CE2" s="32" t="s">
        <v>302</v>
      </c>
      <c r="CF2" s="32" t="s">
        <v>194</v>
      </c>
      <c r="CG2" s="32" t="s">
        <v>195</v>
      </c>
      <c r="CH2" s="32" t="s">
        <v>303</v>
      </c>
      <c r="CI2" s="32" t="s">
        <v>304</v>
      </c>
      <c r="CJ2" s="32" t="s">
        <v>305</v>
      </c>
      <c r="CK2" s="32" t="s">
        <v>306</v>
      </c>
      <c r="CL2" s="32" t="s">
        <v>307</v>
      </c>
      <c r="CM2" s="32" t="s">
        <v>308</v>
      </c>
      <c r="CN2" s="32" t="s">
        <v>309</v>
      </c>
      <c r="CO2" s="32" t="s">
        <v>310</v>
      </c>
      <c r="CP2" s="32" t="s">
        <v>644</v>
      </c>
      <c r="CQ2" s="34" t="s">
        <v>311</v>
      </c>
      <c r="CR2" s="32" t="s">
        <v>312</v>
      </c>
      <c r="CS2" s="32" t="s">
        <v>313</v>
      </c>
      <c r="CT2" s="32" t="s">
        <v>314</v>
      </c>
      <c r="CU2" s="32" t="s">
        <v>315</v>
      </c>
      <c r="CV2" s="32" t="s">
        <v>316</v>
      </c>
      <c r="CW2" s="32" t="s">
        <v>317</v>
      </c>
      <c r="CX2" s="35" t="s">
        <v>196</v>
      </c>
      <c r="CY2" s="35" t="s">
        <v>197</v>
      </c>
      <c r="CZ2" s="35" t="s">
        <v>198</v>
      </c>
      <c r="DA2" s="35" t="s">
        <v>318</v>
      </c>
      <c r="DB2" s="35" t="s">
        <v>319</v>
      </c>
      <c r="DC2" s="35" t="s">
        <v>320</v>
      </c>
      <c r="DD2" s="35" t="s">
        <v>321</v>
      </c>
      <c r="DE2" s="35" t="s">
        <v>322</v>
      </c>
      <c r="DF2" s="35" t="s">
        <v>323</v>
      </c>
      <c r="DG2" s="35" t="s">
        <v>324</v>
      </c>
      <c r="DH2" s="74" t="s">
        <v>325</v>
      </c>
      <c r="DI2" s="74" t="s">
        <v>326</v>
      </c>
      <c r="DJ2" s="35" t="s">
        <v>199</v>
      </c>
      <c r="DK2" s="35" t="s">
        <v>200</v>
      </c>
      <c r="DL2" s="35" t="s">
        <v>628</v>
      </c>
      <c r="DM2" s="35" t="s">
        <v>629</v>
      </c>
      <c r="DN2" s="35" t="s">
        <v>630</v>
      </c>
      <c r="DO2" s="35" t="s">
        <v>631</v>
      </c>
      <c r="DP2" s="35" t="s">
        <v>632</v>
      </c>
      <c r="DQ2" s="35" t="s">
        <v>327</v>
      </c>
      <c r="DR2" s="35" t="s">
        <v>328</v>
      </c>
      <c r="DS2" s="34" t="s">
        <v>329</v>
      </c>
      <c r="DT2" s="107" t="s">
        <v>702</v>
      </c>
    </row>
    <row r="3" spans="1:124" s="24" customFormat="1" ht="18" customHeight="1" x14ac:dyDescent="0.15">
      <c r="A3" s="21"/>
      <c r="B3" s="22"/>
      <c r="C3" s="20"/>
      <c r="D3" s="18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73"/>
      <c r="DJ3" s="73"/>
      <c r="DK3" s="73"/>
      <c r="DL3" s="73"/>
      <c r="DM3" s="73"/>
      <c r="DN3" s="73"/>
      <c r="DO3" s="73"/>
      <c r="DP3" s="73"/>
      <c r="DQ3" s="73"/>
      <c r="DR3" s="91"/>
      <c r="DS3" s="91"/>
      <c r="DT3" s="104"/>
    </row>
    <row r="4" spans="1:124" s="26" customFormat="1" ht="18" customHeight="1" x14ac:dyDescent="0.15">
      <c r="A4" s="76">
        <v>843</v>
      </c>
      <c r="B4" s="77" t="s">
        <v>586</v>
      </c>
      <c r="C4" s="1" t="s">
        <v>332</v>
      </c>
      <c r="D4" s="19">
        <v>5291</v>
      </c>
      <c r="E4" s="19">
        <v>442</v>
      </c>
      <c r="F4" s="19">
        <v>1669</v>
      </c>
      <c r="G4" s="19">
        <v>1274</v>
      </c>
      <c r="H4" s="19">
        <v>320</v>
      </c>
      <c r="I4" s="19">
        <v>0</v>
      </c>
      <c r="J4" s="19">
        <v>1622</v>
      </c>
      <c r="K4" s="19">
        <v>366</v>
      </c>
      <c r="L4" s="19">
        <v>0</v>
      </c>
      <c r="M4" s="19">
        <v>512</v>
      </c>
      <c r="N4" s="19">
        <v>137</v>
      </c>
      <c r="O4" s="19">
        <v>1113</v>
      </c>
      <c r="P4" s="19">
        <v>2</v>
      </c>
      <c r="Q4" s="19">
        <v>0</v>
      </c>
      <c r="R4" s="19">
        <v>0</v>
      </c>
      <c r="S4" s="19">
        <v>435</v>
      </c>
      <c r="T4" s="19">
        <v>179</v>
      </c>
      <c r="U4" s="19">
        <v>479</v>
      </c>
      <c r="V4" s="19">
        <v>890</v>
      </c>
      <c r="W4" s="19">
        <v>0</v>
      </c>
      <c r="X4" s="19">
        <v>0</v>
      </c>
      <c r="Y4" s="19">
        <v>420</v>
      </c>
      <c r="Z4" s="19">
        <v>159</v>
      </c>
      <c r="AA4" s="19">
        <v>47</v>
      </c>
      <c r="AB4" s="19">
        <v>4</v>
      </c>
      <c r="AC4" s="19">
        <v>0</v>
      </c>
      <c r="AD4" s="19">
        <v>81</v>
      </c>
      <c r="AE4" s="19">
        <v>3493</v>
      </c>
      <c r="AF4" s="19">
        <v>0</v>
      </c>
      <c r="AG4" s="19">
        <v>8</v>
      </c>
      <c r="AH4" s="19">
        <v>123</v>
      </c>
      <c r="AI4" s="19">
        <v>0</v>
      </c>
      <c r="AJ4" s="19">
        <v>0</v>
      </c>
      <c r="AK4" s="19">
        <v>0</v>
      </c>
      <c r="AL4" s="19">
        <v>0</v>
      </c>
      <c r="AM4" s="19">
        <v>14</v>
      </c>
      <c r="AN4" s="19">
        <v>177</v>
      </c>
      <c r="AO4" s="19">
        <v>0</v>
      </c>
      <c r="AP4" s="19">
        <v>0</v>
      </c>
      <c r="AQ4" s="19">
        <v>28</v>
      </c>
      <c r="AR4" s="19">
        <v>0</v>
      </c>
      <c r="AS4" s="19">
        <v>10</v>
      </c>
      <c r="AT4" s="19">
        <v>0</v>
      </c>
      <c r="AU4" s="19">
        <v>57</v>
      </c>
      <c r="AV4" s="19">
        <v>0</v>
      </c>
      <c r="AW4" s="19">
        <v>0</v>
      </c>
      <c r="AX4" s="19">
        <v>0</v>
      </c>
      <c r="AY4" s="19">
        <v>0</v>
      </c>
      <c r="AZ4" s="19">
        <v>0</v>
      </c>
      <c r="BA4" s="19">
        <v>0</v>
      </c>
      <c r="BB4" s="19">
        <v>0</v>
      </c>
      <c r="BC4" s="19">
        <v>1</v>
      </c>
      <c r="BD4" s="19">
        <v>0</v>
      </c>
      <c r="BE4" s="19">
        <v>0</v>
      </c>
      <c r="BF4" s="19">
        <v>135</v>
      </c>
      <c r="BG4" s="19">
        <v>0</v>
      </c>
      <c r="BH4" s="19">
        <v>0</v>
      </c>
      <c r="BI4" s="19">
        <v>179</v>
      </c>
      <c r="BJ4" s="19">
        <v>0</v>
      </c>
      <c r="BK4" s="19">
        <v>0</v>
      </c>
      <c r="BL4" s="19">
        <v>2972</v>
      </c>
      <c r="BM4" s="19">
        <v>74</v>
      </c>
      <c r="BN4" s="19">
        <v>13</v>
      </c>
      <c r="BO4" s="19">
        <v>0</v>
      </c>
      <c r="BP4" s="19">
        <v>0</v>
      </c>
      <c r="BQ4" s="19">
        <v>255</v>
      </c>
      <c r="BR4" s="19">
        <v>51</v>
      </c>
      <c r="BS4" s="19">
        <v>0</v>
      </c>
      <c r="BT4" s="19">
        <v>0</v>
      </c>
      <c r="BU4" s="19">
        <v>0</v>
      </c>
      <c r="BV4" s="19">
        <v>0</v>
      </c>
      <c r="BW4" s="19">
        <v>203</v>
      </c>
      <c r="BX4" s="19">
        <v>6</v>
      </c>
      <c r="BY4" s="19">
        <v>0</v>
      </c>
      <c r="BZ4" s="19">
        <v>0</v>
      </c>
      <c r="CA4" s="19">
        <v>76</v>
      </c>
      <c r="CB4" s="19">
        <v>4</v>
      </c>
      <c r="CC4" s="19">
        <v>0</v>
      </c>
      <c r="CD4" s="19">
        <v>0</v>
      </c>
      <c r="CE4" s="19">
        <v>0</v>
      </c>
      <c r="CF4" s="19">
        <v>225</v>
      </c>
      <c r="CG4" s="19">
        <v>161</v>
      </c>
      <c r="CH4" s="19">
        <v>142</v>
      </c>
      <c r="CI4" s="19">
        <v>0</v>
      </c>
      <c r="CJ4" s="19">
        <v>0</v>
      </c>
      <c r="CK4" s="19">
        <v>0</v>
      </c>
      <c r="CL4" s="19">
        <v>0</v>
      </c>
      <c r="CM4" s="19">
        <v>293</v>
      </c>
      <c r="CN4" s="19">
        <v>0</v>
      </c>
      <c r="CO4" s="19">
        <v>0</v>
      </c>
      <c r="CP4" s="19">
        <v>223</v>
      </c>
      <c r="CQ4" s="19">
        <v>608</v>
      </c>
      <c r="CR4" s="19">
        <v>1</v>
      </c>
      <c r="CS4" s="19">
        <v>5</v>
      </c>
      <c r="CT4" s="19">
        <v>22</v>
      </c>
      <c r="CU4" s="19">
        <v>0</v>
      </c>
      <c r="CV4" s="19">
        <v>0</v>
      </c>
      <c r="CW4" s="19">
        <v>0</v>
      </c>
      <c r="CX4" s="19">
        <v>0</v>
      </c>
      <c r="CY4" s="19">
        <v>4</v>
      </c>
      <c r="CZ4" s="19">
        <v>2</v>
      </c>
      <c r="DA4" s="19">
        <v>0</v>
      </c>
      <c r="DB4" s="25">
        <v>0</v>
      </c>
      <c r="DC4" s="19">
        <v>6</v>
      </c>
      <c r="DD4" s="19">
        <v>0</v>
      </c>
      <c r="DE4" s="19">
        <v>0</v>
      </c>
      <c r="DF4" s="25">
        <v>121</v>
      </c>
      <c r="DG4" s="25">
        <v>0</v>
      </c>
      <c r="DH4" s="25">
        <v>229</v>
      </c>
      <c r="DI4" s="25">
        <v>26</v>
      </c>
      <c r="DJ4" s="25">
        <v>0</v>
      </c>
      <c r="DK4" s="25">
        <v>0</v>
      </c>
      <c r="DL4" s="25">
        <v>0</v>
      </c>
      <c r="DM4" s="25">
        <v>261</v>
      </c>
      <c r="DN4" s="25">
        <v>125</v>
      </c>
      <c r="DO4" s="25">
        <v>70</v>
      </c>
      <c r="DP4" s="25">
        <v>34</v>
      </c>
      <c r="DQ4" s="25">
        <v>0</v>
      </c>
      <c r="DR4" s="92">
        <v>0</v>
      </c>
      <c r="DS4" s="92">
        <v>0</v>
      </c>
      <c r="DT4" s="25">
        <v>175</v>
      </c>
    </row>
    <row r="5" spans="1:124" s="17" customFormat="1" ht="18" customHeight="1" x14ac:dyDescent="0.15">
      <c r="A5" s="78">
        <v>844</v>
      </c>
      <c r="B5" s="78" t="s">
        <v>587</v>
      </c>
      <c r="C5" s="2" t="s">
        <v>333</v>
      </c>
      <c r="D5" s="20">
        <v>3807</v>
      </c>
      <c r="E5" s="20">
        <v>428</v>
      </c>
      <c r="F5" s="20">
        <v>1230</v>
      </c>
      <c r="G5" s="20">
        <v>850</v>
      </c>
      <c r="H5" s="20">
        <v>216</v>
      </c>
      <c r="I5" s="20">
        <v>0</v>
      </c>
      <c r="J5" s="20">
        <v>1257</v>
      </c>
      <c r="K5" s="20">
        <v>415</v>
      </c>
      <c r="L5" s="20">
        <v>3</v>
      </c>
      <c r="M5" s="20">
        <v>574</v>
      </c>
      <c r="N5" s="20">
        <v>98</v>
      </c>
      <c r="O5" s="20">
        <v>449</v>
      </c>
      <c r="P5" s="20">
        <v>9</v>
      </c>
      <c r="Q5" s="20">
        <v>0</v>
      </c>
      <c r="R5" s="20">
        <v>0</v>
      </c>
      <c r="S5" s="20">
        <v>247</v>
      </c>
      <c r="T5" s="20">
        <v>117</v>
      </c>
      <c r="U5" s="20">
        <v>306</v>
      </c>
      <c r="V5" s="20">
        <v>562</v>
      </c>
      <c r="W5" s="20">
        <v>0</v>
      </c>
      <c r="X5" s="20">
        <v>0</v>
      </c>
      <c r="Y5" s="20">
        <v>423</v>
      </c>
      <c r="Z5" s="20">
        <v>75</v>
      </c>
      <c r="AA5" s="20">
        <v>62</v>
      </c>
      <c r="AB5" s="20">
        <v>4</v>
      </c>
      <c r="AC5" s="20">
        <v>0</v>
      </c>
      <c r="AD5" s="20">
        <v>91</v>
      </c>
      <c r="AE5" s="20">
        <v>2468</v>
      </c>
      <c r="AF5" s="20">
        <v>0</v>
      </c>
      <c r="AG5" s="20">
        <v>10</v>
      </c>
      <c r="AH5" s="20">
        <v>22</v>
      </c>
      <c r="AI5" s="20">
        <v>0</v>
      </c>
      <c r="AJ5" s="20">
        <v>0</v>
      </c>
      <c r="AK5" s="20">
        <v>0</v>
      </c>
      <c r="AL5" s="20">
        <v>0</v>
      </c>
      <c r="AM5" s="20">
        <v>6</v>
      </c>
      <c r="AN5" s="20">
        <v>0</v>
      </c>
      <c r="AO5" s="20">
        <v>0</v>
      </c>
      <c r="AP5" s="20">
        <v>0</v>
      </c>
      <c r="AQ5" s="20">
        <v>0</v>
      </c>
      <c r="AR5" s="20">
        <v>0</v>
      </c>
      <c r="AS5" s="20">
        <v>11</v>
      </c>
      <c r="AT5" s="20">
        <v>0</v>
      </c>
      <c r="AU5" s="20">
        <v>108</v>
      </c>
      <c r="AV5" s="20">
        <v>0</v>
      </c>
      <c r="AW5" s="20">
        <v>0</v>
      </c>
      <c r="AX5" s="20">
        <v>0</v>
      </c>
      <c r="AY5" s="20">
        <v>0</v>
      </c>
      <c r="AZ5" s="20">
        <v>0</v>
      </c>
      <c r="BA5" s="20">
        <v>0</v>
      </c>
      <c r="BB5" s="20">
        <v>0</v>
      </c>
      <c r="BC5" s="20">
        <v>0</v>
      </c>
      <c r="BD5" s="20">
        <v>0</v>
      </c>
      <c r="BE5" s="20">
        <v>0</v>
      </c>
      <c r="BF5" s="20">
        <v>104</v>
      </c>
      <c r="BG5" s="20">
        <v>0</v>
      </c>
      <c r="BH5" s="20">
        <v>0</v>
      </c>
      <c r="BI5" s="20">
        <v>105</v>
      </c>
      <c r="BJ5" s="20">
        <v>0</v>
      </c>
      <c r="BK5" s="20">
        <v>0</v>
      </c>
      <c r="BL5" s="20">
        <v>1725</v>
      </c>
      <c r="BM5" s="20">
        <v>27</v>
      </c>
      <c r="BN5" s="20">
        <v>6</v>
      </c>
      <c r="BO5" s="20">
        <v>0</v>
      </c>
      <c r="BP5" s="20">
        <v>0</v>
      </c>
      <c r="BQ5" s="20">
        <v>154</v>
      </c>
      <c r="BR5" s="20">
        <v>140</v>
      </c>
      <c r="BS5" s="20">
        <v>0</v>
      </c>
      <c r="BT5" s="20">
        <v>0</v>
      </c>
      <c r="BU5" s="20">
        <v>0</v>
      </c>
      <c r="BV5" s="20">
        <v>0</v>
      </c>
      <c r="BW5" s="20">
        <v>362</v>
      </c>
      <c r="BX5" s="20">
        <v>0</v>
      </c>
      <c r="BY5" s="20">
        <v>0</v>
      </c>
      <c r="BZ5" s="20">
        <v>0</v>
      </c>
      <c r="CA5" s="20">
        <v>103</v>
      </c>
      <c r="CB5" s="20">
        <v>10</v>
      </c>
      <c r="CC5" s="20">
        <v>0</v>
      </c>
      <c r="CD5" s="20">
        <v>0</v>
      </c>
      <c r="CE5" s="20">
        <v>0</v>
      </c>
      <c r="CF5" s="20">
        <v>85</v>
      </c>
      <c r="CG5" s="20">
        <v>34</v>
      </c>
      <c r="CH5" s="20">
        <v>108</v>
      </c>
      <c r="CI5" s="20">
        <v>0</v>
      </c>
      <c r="CJ5" s="20">
        <v>0</v>
      </c>
      <c r="CK5" s="20">
        <v>0</v>
      </c>
      <c r="CL5" s="20">
        <v>0</v>
      </c>
      <c r="CM5" s="20">
        <v>103</v>
      </c>
      <c r="CN5" s="20">
        <v>0</v>
      </c>
      <c r="CO5" s="20">
        <v>0</v>
      </c>
      <c r="CP5" s="20">
        <v>300</v>
      </c>
      <c r="CQ5" s="20">
        <v>342</v>
      </c>
      <c r="CR5" s="20">
        <v>0</v>
      </c>
      <c r="CS5" s="20">
        <v>0</v>
      </c>
      <c r="CT5" s="20">
        <v>0</v>
      </c>
      <c r="CU5" s="20">
        <v>0</v>
      </c>
      <c r="CV5" s="20">
        <v>0</v>
      </c>
      <c r="CW5" s="20">
        <v>0</v>
      </c>
      <c r="CX5" s="75">
        <v>0</v>
      </c>
      <c r="CY5" s="20">
        <v>4</v>
      </c>
      <c r="CZ5" s="20">
        <v>0</v>
      </c>
      <c r="DA5" s="20">
        <v>0</v>
      </c>
      <c r="DB5" s="20">
        <v>0</v>
      </c>
      <c r="DC5" s="20">
        <v>0</v>
      </c>
      <c r="DD5" s="75">
        <v>0</v>
      </c>
      <c r="DE5" s="20">
        <v>0</v>
      </c>
      <c r="DF5" s="20">
        <v>75</v>
      </c>
      <c r="DG5" s="20">
        <v>0</v>
      </c>
      <c r="DH5" s="20">
        <v>107</v>
      </c>
      <c r="DI5" s="20">
        <v>10</v>
      </c>
      <c r="DJ5" s="20">
        <v>0</v>
      </c>
      <c r="DK5" s="20">
        <v>0</v>
      </c>
      <c r="DL5" s="20">
        <v>0</v>
      </c>
      <c r="DM5" s="20">
        <v>279</v>
      </c>
      <c r="DN5" s="20">
        <v>42</v>
      </c>
      <c r="DO5" s="20">
        <v>24</v>
      </c>
      <c r="DP5" s="20">
        <v>21</v>
      </c>
      <c r="DQ5" s="20">
        <v>0</v>
      </c>
      <c r="DR5" s="89">
        <v>0</v>
      </c>
      <c r="DS5" s="89">
        <v>0</v>
      </c>
      <c r="DT5" s="20">
        <v>52</v>
      </c>
    </row>
    <row r="6" spans="1:124" s="17" customFormat="1" ht="18" customHeight="1" x14ac:dyDescent="0.15">
      <c r="A6" s="78">
        <v>845</v>
      </c>
      <c r="B6" s="78" t="s">
        <v>588</v>
      </c>
      <c r="C6" s="2" t="s">
        <v>334</v>
      </c>
      <c r="D6" s="20">
        <v>2111</v>
      </c>
      <c r="E6" s="20">
        <v>210</v>
      </c>
      <c r="F6" s="20">
        <v>749</v>
      </c>
      <c r="G6" s="20">
        <v>283</v>
      </c>
      <c r="H6" s="20">
        <v>195</v>
      </c>
      <c r="I6" s="20">
        <v>0</v>
      </c>
      <c r="J6" s="20">
        <v>560</v>
      </c>
      <c r="K6" s="20">
        <v>633</v>
      </c>
      <c r="L6" s="20">
        <v>3</v>
      </c>
      <c r="M6" s="20">
        <v>196</v>
      </c>
      <c r="N6" s="20">
        <v>5</v>
      </c>
      <c r="O6" s="20">
        <v>250</v>
      </c>
      <c r="P6" s="20">
        <v>9</v>
      </c>
      <c r="Q6" s="20">
        <v>0</v>
      </c>
      <c r="R6" s="20">
        <v>0</v>
      </c>
      <c r="S6" s="20">
        <v>223</v>
      </c>
      <c r="T6" s="20">
        <v>55</v>
      </c>
      <c r="U6" s="20">
        <v>102</v>
      </c>
      <c r="V6" s="20">
        <v>270</v>
      </c>
      <c r="W6" s="20">
        <v>0</v>
      </c>
      <c r="X6" s="20">
        <v>0</v>
      </c>
      <c r="Y6" s="20">
        <v>159</v>
      </c>
      <c r="Z6" s="20">
        <v>27</v>
      </c>
      <c r="AA6" s="20">
        <v>47</v>
      </c>
      <c r="AB6" s="20">
        <v>4</v>
      </c>
      <c r="AC6" s="20">
        <v>0</v>
      </c>
      <c r="AD6" s="20">
        <v>83</v>
      </c>
      <c r="AE6" s="20">
        <v>942</v>
      </c>
      <c r="AF6" s="20">
        <v>0</v>
      </c>
      <c r="AG6" s="20">
        <v>1</v>
      </c>
      <c r="AH6" s="20">
        <v>7</v>
      </c>
      <c r="AI6" s="20">
        <v>0</v>
      </c>
      <c r="AJ6" s="20">
        <v>0</v>
      </c>
      <c r="AK6" s="20">
        <v>0</v>
      </c>
      <c r="AL6" s="20">
        <v>0</v>
      </c>
      <c r="AM6" s="20">
        <v>22</v>
      </c>
      <c r="AN6" s="20">
        <v>301</v>
      </c>
      <c r="AO6" s="20">
        <v>0</v>
      </c>
      <c r="AP6" s="20">
        <v>0</v>
      </c>
      <c r="AQ6" s="20">
        <v>34</v>
      </c>
      <c r="AR6" s="20">
        <v>0</v>
      </c>
      <c r="AS6" s="20">
        <v>5</v>
      </c>
      <c r="AT6" s="20">
        <v>0</v>
      </c>
      <c r="AU6" s="20">
        <v>4</v>
      </c>
      <c r="AV6" s="20">
        <v>0</v>
      </c>
      <c r="AW6" s="20">
        <v>0</v>
      </c>
      <c r="AX6" s="20">
        <v>0</v>
      </c>
      <c r="AY6" s="20">
        <v>0</v>
      </c>
      <c r="AZ6" s="20">
        <v>0</v>
      </c>
      <c r="BA6" s="20">
        <v>0</v>
      </c>
      <c r="BB6" s="20">
        <v>0</v>
      </c>
      <c r="BC6" s="20">
        <v>0</v>
      </c>
      <c r="BD6" s="20">
        <v>0</v>
      </c>
      <c r="BE6" s="20">
        <v>0</v>
      </c>
      <c r="BF6" s="20">
        <v>29</v>
      </c>
      <c r="BG6" s="20">
        <v>0</v>
      </c>
      <c r="BH6" s="20">
        <v>0</v>
      </c>
      <c r="BI6" s="20">
        <v>24</v>
      </c>
      <c r="BJ6" s="20">
        <v>0</v>
      </c>
      <c r="BK6" s="20">
        <v>0</v>
      </c>
      <c r="BL6" s="20">
        <v>683</v>
      </c>
      <c r="BM6" s="20">
        <v>15</v>
      </c>
      <c r="BN6" s="20">
        <v>0</v>
      </c>
      <c r="BO6" s="20">
        <v>0</v>
      </c>
      <c r="BP6" s="20">
        <v>0</v>
      </c>
      <c r="BQ6" s="20">
        <v>51</v>
      </c>
      <c r="BR6" s="20">
        <v>2</v>
      </c>
      <c r="BS6" s="20">
        <v>0</v>
      </c>
      <c r="BT6" s="20">
        <v>0</v>
      </c>
      <c r="BU6" s="20">
        <v>0</v>
      </c>
      <c r="BV6" s="20">
        <v>0</v>
      </c>
      <c r="BW6" s="20">
        <v>411</v>
      </c>
      <c r="BX6" s="20">
        <v>35</v>
      </c>
      <c r="BY6" s="20">
        <v>0</v>
      </c>
      <c r="BZ6" s="20">
        <v>0</v>
      </c>
      <c r="CA6" s="20">
        <v>43</v>
      </c>
      <c r="CB6" s="20">
        <v>63</v>
      </c>
      <c r="CC6" s="20">
        <v>0</v>
      </c>
      <c r="CD6" s="20">
        <v>0</v>
      </c>
      <c r="CE6" s="20">
        <v>0</v>
      </c>
      <c r="CF6" s="20">
        <v>30</v>
      </c>
      <c r="CG6" s="20">
        <v>44</v>
      </c>
      <c r="CH6" s="20">
        <v>52</v>
      </c>
      <c r="CI6" s="20">
        <v>0</v>
      </c>
      <c r="CJ6" s="20">
        <v>0</v>
      </c>
      <c r="CK6" s="20">
        <v>0</v>
      </c>
      <c r="CL6" s="20">
        <v>0</v>
      </c>
      <c r="CM6" s="20">
        <v>217</v>
      </c>
      <c r="CN6" s="20">
        <v>0</v>
      </c>
      <c r="CO6" s="20">
        <v>0</v>
      </c>
      <c r="CP6" s="20">
        <v>115</v>
      </c>
      <c r="CQ6" s="20">
        <v>95</v>
      </c>
      <c r="CR6" s="20">
        <v>0</v>
      </c>
      <c r="CS6" s="20">
        <v>0</v>
      </c>
      <c r="CT6" s="20">
        <v>0</v>
      </c>
      <c r="CU6" s="20">
        <v>0</v>
      </c>
      <c r="CV6" s="20">
        <v>4</v>
      </c>
      <c r="CW6" s="20">
        <v>0</v>
      </c>
      <c r="CX6" s="75">
        <v>0</v>
      </c>
      <c r="CY6" s="20">
        <v>1</v>
      </c>
      <c r="CZ6" s="20">
        <v>0</v>
      </c>
      <c r="DA6" s="20">
        <v>0</v>
      </c>
      <c r="DB6" s="20">
        <v>0</v>
      </c>
      <c r="DC6" s="20">
        <v>0</v>
      </c>
      <c r="DD6" s="75">
        <v>0</v>
      </c>
      <c r="DE6" s="20">
        <v>0</v>
      </c>
      <c r="DF6" s="20">
        <v>30</v>
      </c>
      <c r="DG6" s="20">
        <v>0</v>
      </c>
      <c r="DH6" s="20">
        <v>87</v>
      </c>
      <c r="DI6" s="20">
        <v>3</v>
      </c>
      <c r="DJ6" s="20">
        <v>0</v>
      </c>
      <c r="DK6" s="20">
        <v>0</v>
      </c>
      <c r="DL6" s="20">
        <v>0</v>
      </c>
      <c r="DM6" s="20">
        <v>93</v>
      </c>
      <c r="DN6" s="20">
        <v>88</v>
      </c>
      <c r="DO6" s="20">
        <v>85</v>
      </c>
      <c r="DP6" s="20">
        <v>10</v>
      </c>
      <c r="DQ6" s="20">
        <v>0</v>
      </c>
      <c r="DR6" s="89">
        <v>0</v>
      </c>
      <c r="DS6" s="89">
        <v>1</v>
      </c>
      <c r="DT6" s="20">
        <v>14</v>
      </c>
    </row>
    <row r="7" spans="1:124" s="17" customFormat="1" ht="18" customHeight="1" x14ac:dyDescent="0.15">
      <c r="A7" s="78">
        <v>853</v>
      </c>
      <c r="B7" s="78" t="s">
        <v>589</v>
      </c>
      <c r="C7" s="2" t="s">
        <v>335</v>
      </c>
      <c r="D7" s="20">
        <v>2195</v>
      </c>
      <c r="E7" s="20">
        <v>241</v>
      </c>
      <c r="F7" s="20">
        <v>911</v>
      </c>
      <c r="G7" s="20">
        <v>813</v>
      </c>
      <c r="H7" s="20">
        <v>203</v>
      </c>
      <c r="I7" s="20">
        <v>0</v>
      </c>
      <c r="J7" s="20">
        <v>531</v>
      </c>
      <c r="K7" s="20">
        <v>229</v>
      </c>
      <c r="L7" s="20">
        <v>0</v>
      </c>
      <c r="M7" s="20">
        <v>327</v>
      </c>
      <c r="N7" s="20">
        <v>63</v>
      </c>
      <c r="O7" s="20">
        <v>382</v>
      </c>
      <c r="P7" s="20">
        <v>50</v>
      </c>
      <c r="Q7" s="20">
        <v>0</v>
      </c>
      <c r="R7" s="20">
        <v>0</v>
      </c>
      <c r="S7" s="20">
        <v>221</v>
      </c>
      <c r="T7" s="20">
        <v>60</v>
      </c>
      <c r="U7" s="20">
        <v>174</v>
      </c>
      <c r="V7" s="20">
        <v>377</v>
      </c>
      <c r="W7" s="20">
        <v>0</v>
      </c>
      <c r="X7" s="20">
        <v>0</v>
      </c>
      <c r="Y7" s="20">
        <v>279</v>
      </c>
      <c r="Z7" s="20">
        <v>0</v>
      </c>
      <c r="AA7" s="20">
        <v>89</v>
      </c>
      <c r="AB7" s="20">
        <v>4</v>
      </c>
      <c r="AC7" s="20">
        <v>0</v>
      </c>
      <c r="AD7" s="20">
        <v>0</v>
      </c>
      <c r="AE7" s="20">
        <v>1661</v>
      </c>
      <c r="AF7" s="20">
        <v>0</v>
      </c>
      <c r="AG7" s="20">
        <v>0</v>
      </c>
      <c r="AH7" s="20">
        <v>25</v>
      </c>
      <c r="AI7" s="20">
        <v>0</v>
      </c>
      <c r="AJ7" s="20">
        <v>0</v>
      </c>
      <c r="AK7" s="20">
        <v>0</v>
      </c>
      <c r="AL7" s="20">
        <v>0</v>
      </c>
      <c r="AM7" s="20">
        <v>3</v>
      </c>
      <c r="AN7" s="20">
        <v>119</v>
      </c>
      <c r="AO7" s="20">
        <v>0</v>
      </c>
      <c r="AP7" s="20">
        <v>0</v>
      </c>
      <c r="AQ7" s="20">
        <v>47</v>
      </c>
      <c r="AR7" s="20">
        <v>0</v>
      </c>
      <c r="AS7" s="20">
        <v>9</v>
      </c>
      <c r="AT7" s="20">
        <v>0</v>
      </c>
      <c r="AU7" s="20">
        <v>6</v>
      </c>
      <c r="AV7" s="20">
        <v>0</v>
      </c>
      <c r="AW7" s="20">
        <v>0</v>
      </c>
      <c r="AX7" s="20">
        <v>0</v>
      </c>
      <c r="AY7" s="20">
        <v>0</v>
      </c>
      <c r="AZ7" s="20">
        <v>0</v>
      </c>
      <c r="BA7" s="20">
        <v>0</v>
      </c>
      <c r="BB7" s="20">
        <v>0</v>
      </c>
      <c r="BC7" s="20">
        <v>0</v>
      </c>
      <c r="BD7" s="20">
        <v>0</v>
      </c>
      <c r="BE7" s="20">
        <v>0</v>
      </c>
      <c r="BF7" s="20">
        <v>62</v>
      </c>
      <c r="BG7" s="20">
        <v>0</v>
      </c>
      <c r="BH7" s="20">
        <v>0</v>
      </c>
      <c r="BI7" s="20">
        <v>52</v>
      </c>
      <c r="BJ7" s="20">
        <v>0</v>
      </c>
      <c r="BK7" s="20">
        <v>0</v>
      </c>
      <c r="BL7" s="20">
        <v>1463</v>
      </c>
      <c r="BM7" s="20">
        <v>35</v>
      </c>
      <c r="BN7" s="20">
        <v>43</v>
      </c>
      <c r="BO7" s="20">
        <v>0</v>
      </c>
      <c r="BP7" s="20">
        <v>0</v>
      </c>
      <c r="BQ7" s="20">
        <v>113</v>
      </c>
      <c r="BR7" s="20">
        <v>17</v>
      </c>
      <c r="BS7" s="20">
        <v>0</v>
      </c>
      <c r="BT7" s="20">
        <v>0</v>
      </c>
      <c r="BU7" s="20">
        <v>0</v>
      </c>
      <c r="BV7" s="20">
        <v>0</v>
      </c>
      <c r="BW7" s="20">
        <v>582</v>
      </c>
      <c r="BX7" s="20">
        <v>0</v>
      </c>
      <c r="BY7" s="20">
        <v>0</v>
      </c>
      <c r="BZ7" s="20">
        <v>0</v>
      </c>
      <c r="CA7" s="20">
        <v>90</v>
      </c>
      <c r="CB7" s="20">
        <v>2</v>
      </c>
      <c r="CC7" s="20">
        <v>0</v>
      </c>
      <c r="CD7" s="20">
        <v>0</v>
      </c>
      <c r="CE7" s="20">
        <v>0</v>
      </c>
      <c r="CF7" s="20">
        <v>56</v>
      </c>
      <c r="CG7" s="20">
        <v>39</v>
      </c>
      <c r="CH7" s="20">
        <v>77</v>
      </c>
      <c r="CI7" s="20">
        <v>0</v>
      </c>
      <c r="CJ7" s="20">
        <v>0</v>
      </c>
      <c r="CK7" s="20">
        <v>0</v>
      </c>
      <c r="CL7" s="20">
        <v>0</v>
      </c>
      <c r="CM7" s="20">
        <v>65</v>
      </c>
      <c r="CN7" s="20">
        <v>0</v>
      </c>
      <c r="CO7" s="20">
        <v>0</v>
      </c>
      <c r="CP7" s="20">
        <v>159</v>
      </c>
      <c r="CQ7" s="20">
        <v>208</v>
      </c>
      <c r="CR7" s="20">
        <v>0</v>
      </c>
      <c r="CS7" s="20">
        <v>0</v>
      </c>
      <c r="CT7" s="20">
        <v>2</v>
      </c>
      <c r="CU7" s="20">
        <v>0</v>
      </c>
      <c r="CV7" s="20">
        <v>0</v>
      </c>
      <c r="CW7" s="20">
        <v>0</v>
      </c>
      <c r="CX7" s="75">
        <v>0</v>
      </c>
      <c r="CY7" s="20">
        <v>5</v>
      </c>
      <c r="CZ7" s="20">
        <v>0</v>
      </c>
      <c r="DA7" s="20">
        <v>0</v>
      </c>
      <c r="DB7" s="20">
        <v>0</v>
      </c>
      <c r="DC7" s="20">
        <v>0</v>
      </c>
      <c r="DD7" s="75">
        <v>0</v>
      </c>
      <c r="DE7" s="20">
        <v>0</v>
      </c>
      <c r="DF7" s="20">
        <v>114</v>
      </c>
      <c r="DG7" s="20">
        <v>0</v>
      </c>
      <c r="DH7" s="20">
        <v>92</v>
      </c>
      <c r="DI7" s="20">
        <v>0</v>
      </c>
      <c r="DJ7" s="20">
        <v>0</v>
      </c>
      <c r="DK7" s="20">
        <v>0</v>
      </c>
      <c r="DL7" s="20">
        <v>5</v>
      </c>
      <c r="DM7" s="20">
        <v>144</v>
      </c>
      <c r="DN7" s="20">
        <v>140</v>
      </c>
      <c r="DO7" s="20">
        <v>138</v>
      </c>
      <c r="DP7" s="20">
        <v>30</v>
      </c>
      <c r="DQ7" s="20">
        <v>0</v>
      </c>
      <c r="DR7" s="89">
        <v>0</v>
      </c>
      <c r="DS7" s="89">
        <v>0</v>
      </c>
      <c r="DT7" s="20">
        <v>50</v>
      </c>
    </row>
    <row r="8" spans="1:124" s="17" customFormat="1" ht="18" customHeight="1" x14ac:dyDescent="0.15">
      <c r="A8" s="78">
        <v>859</v>
      </c>
      <c r="B8" s="78" t="s">
        <v>595</v>
      </c>
      <c r="C8" s="2" t="s">
        <v>591</v>
      </c>
      <c r="D8" s="20">
        <v>4605</v>
      </c>
      <c r="E8" s="20">
        <v>108</v>
      </c>
      <c r="F8" s="20">
        <v>1723</v>
      </c>
      <c r="G8" s="20">
        <v>1247</v>
      </c>
      <c r="H8" s="20">
        <v>108</v>
      </c>
      <c r="I8" s="20">
        <v>0</v>
      </c>
      <c r="J8" s="20">
        <v>2193</v>
      </c>
      <c r="K8" s="20">
        <v>241</v>
      </c>
      <c r="L8" s="20">
        <v>130</v>
      </c>
      <c r="M8" s="20">
        <v>454</v>
      </c>
      <c r="N8" s="20">
        <v>45</v>
      </c>
      <c r="O8" s="20">
        <v>1517</v>
      </c>
      <c r="P8" s="20">
        <v>77</v>
      </c>
      <c r="Q8" s="20">
        <v>0</v>
      </c>
      <c r="R8" s="20">
        <v>0</v>
      </c>
      <c r="S8" s="20">
        <v>125</v>
      </c>
      <c r="T8" s="20">
        <v>146</v>
      </c>
      <c r="U8" s="20">
        <v>329</v>
      </c>
      <c r="V8" s="20">
        <v>944</v>
      </c>
      <c r="W8" s="20">
        <v>0</v>
      </c>
      <c r="X8" s="20">
        <v>0</v>
      </c>
      <c r="Y8" s="20">
        <v>369</v>
      </c>
      <c r="Z8" s="20">
        <v>23</v>
      </c>
      <c r="AA8" s="20">
        <v>41</v>
      </c>
      <c r="AB8" s="20">
        <v>3</v>
      </c>
      <c r="AC8" s="20">
        <v>0</v>
      </c>
      <c r="AD8" s="20">
        <v>38</v>
      </c>
      <c r="AE8" s="20">
        <v>4030</v>
      </c>
      <c r="AF8" s="20">
        <v>0</v>
      </c>
      <c r="AG8" s="20">
        <v>7</v>
      </c>
      <c r="AH8" s="20">
        <v>50</v>
      </c>
      <c r="AI8" s="20">
        <v>0</v>
      </c>
      <c r="AJ8" s="20">
        <v>0</v>
      </c>
      <c r="AK8" s="20">
        <v>0</v>
      </c>
      <c r="AL8" s="20">
        <v>0</v>
      </c>
      <c r="AM8" s="20">
        <v>1</v>
      </c>
      <c r="AN8" s="20">
        <v>105</v>
      </c>
      <c r="AO8" s="20">
        <v>0</v>
      </c>
      <c r="AP8" s="20">
        <v>0</v>
      </c>
      <c r="AQ8" s="20">
        <v>8</v>
      </c>
      <c r="AR8" s="20">
        <v>0</v>
      </c>
      <c r="AS8" s="20">
        <v>14</v>
      </c>
      <c r="AT8" s="20">
        <v>0</v>
      </c>
      <c r="AU8" s="20">
        <v>5</v>
      </c>
      <c r="AV8" s="20">
        <v>0</v>
      </c>
      <c r="AW8" s="20">
        <v>0</v>
      </c>
      <c r="AX8" s="20">
        <v>0</v>
      </c>
      <c r="AY8" s="20">
        <v>0</v>
      </c>
      <c r="AZ8" s="20">
        <v>0</v>
      </c>
      <c r="BA8" s="20">
        <v>0</v>
      </c>
      <c r="BB8" s="20">
        <v>0</v>
      </c>
      <c r="BC8" s="20">
        <v>24</v>
      </c>
      <c r="BD8" s="20">
        <v>0</v>
      </c>
      <c r="BE8" s="20">
        <v>0</v>
      </c>
      <c r="BF8" s="20">
        <v>71</v>
      </c>
      <c r="BG8" s="20">
        <v>0</v>
      </c>
      <c r="BH8" s="20">
        <v>0</v>
      </c>
      <c r="BI8" s="20">
        <v>92</v>
      </c>
      <c r="BJ8" s="20">
        <v>0</v>
      </c>
      <c r="BK8" s="20">
        <v>0</v>
      </c>
      <c r="BL8" s="20">
        <v>1369</v>
      </c>
      <c r="BM8" s="20">
        <v>42</v>
      </c>
      <c r="BN8" s="20">
        <v>0</v>
      </c>
      <c r="BO8" s="20">
        <v>0</v>
      </c>
      <c r="BP8" s="20">
        <v>0</v>
      </c>
      <c r="BQ8" s="20">
        <v>129</v>
      </c>
      <c r="BR8" s="20">
        <v>52</v>
      </c>
      <c r="BS8" s="20">
        <v>0</v>
      </c>
      <c r="BT8" s="20">
        <v>0</v>
      </c>
      <c r="BU8" s="20">
        <v>0</v>
      </c>
      <c r="BV8" s="20">
        <v>0</v>
      </c>
      <c r="BW8" s="20">
        <v>34</v>
      </c>
      <c r="BX8" s="20">
        <v>2</v>
      </c>
      <c r="BY8" s="20">
        <v>0</v>
      </c>
      <c r="BZ8" s="20">
        <v>0</v>
      </c>
      <c r="CA8" s="20">
        <v>37</v>
      </c>
      <c r="CB8" s="20">
        <v>3</v>
      </c>
      <c r="CC8" s="20">
        <v>0</v>
      </c>
      <c r="CD8" s="20">
        <v>0</v>
      </c>
      <c r="CE8" s="20">
        <v>0</v>
      </c>
      <c r="CF8" s="20">
        <v>230</v>
      </c>
      <c r="CG8" s="20">
        <v>74</v>
      </c>
      <c r="CH8" s="20">
        <v>57</v>
      </c>
      <c r="CI8" s="20">
        <v>0</v>
      </c>
      <c r="CJ8" s="20">
        <v>0</v>
      </c>
      <c r="CK8" s="20">
        <v>0</v>
      </c>
      <c r="CL8" s="20">
        <v>0</v>
      </c>
      <c r="CM8" s="20">
        <v>120</v>
      </c>
      <c r="CN8" s="20">
        <v>0</v>
      </c>
      <c r="CO8" s="20">
        <v>0</v>
      </c>
      <c r="CP8" s="20">
        <v>100</v>
      </c>
      <c r="CQ8" s="20">
        <v>1447</v>
      </c>
      <c r="CR8" s="20">
        <v>4</v>
      </c>
      <c r="CS8" s="20">
        <v>9</v>
      </c>
      <c r="CT8" s="20">
        <v>0</v>
      </c>
      <c r="CU8" s="20">
        <v>0</v>
      </c>
      <c r="CV8" s="20">
        <v>5</v>
      </c>
      <c r="CW8" s="20">
        <v>67</v>
      </c>
      <c r="CX8" s="75">
        <v>0</v>
      </c>
      <c r="CY8" s="20">
        <v>2</v>
      </c>
      <c r="CZ8" s="20">
        <v>0</v>
      </c>
      <c r="DA8" s="20">
        <v>0</v>
      </c>
      <c r="DB8" s="20">
        <v>0</v>
      </c>
      <c r="DC8" s="20">
        <v>4</v>
      </c>
      <c r="DD8" s="20">
        <v>0</v>
      </c>
      <c r="DE8" s="20">
        <v>0</v>
      </c>
      <c r="DF8" s="20">
        <v>56</v>
      </c>
      <c r="DG8" s="20">
        <v>0</v>
      </c>
      <c r="DH8" s="20">
        <v>241</v>
      </c>
      <c r="DI8" s="20">
        <v>43</v>
      </c>
      <c r="DJ8" s="20">
        <v>0</v>
      </c>
      <c r="DK8" s="20">
        <v>0</v>
      </c>
      <c r="DL8" s="20">
        <v>0</v>
      </c>
      <c r="DM8" s="20">
        <v>83</v>
      </c>
      <c r="DN8" s="20">
        <v>72</v>
      </c>
      <c r="DO8" s="20">
        <v>36</v>
      </c>
      <c r="DP8" s="20">
        <v>20</v>
      </c>
      <c r="DQ8" s="20">
        <v>0</v>
      </c>
      <c r="DR8" s="89">
        <v>0</v>
      </c>
      <c r="DS8" s="89">
        <v>0</v>
      </c>
      <c r="DT8" s="20">
        <v>15</v>
      </c>
    </row>
    <row r="9" spans="1:124" s="17" customFormat="1" ht="18" customHeight="1" x14ac:dyDescent="0.15">
      <c r="A9" s="78">
        <v>860</v>
      </c>
      <c r="B9" s="78" t="s">
        <v>596</v>
      </c>
      <c r="C9" s="2" t="s">
        <v>592</v>
      </c>
      <c r="D9" s="20">
        <v>2814</v>
      </c>
      <c r="E9" s="20">
        <v>304</v>
      </c>
      <c r="F9" s="20">
        <v>933</v>
      </c>
      <c r="G9" s="20">
        <v>673</v>
      </c>
      <c r="H9" s="20">
        <v>138</v>
      </c>
      <c r="I9" s="20">
        <v>0</v>
      </c>
      <c r="J9" s="20">
        <v>1076</v>
      </c>
      <c r="K9" s="20">
        <v>261</v>
      </c>
      <c r="L9" s="20">
        <v>64</v>
      </c>
      <c r="M9" s="20">
        <v>378</v>
      </c>
      <c r="N9" s="20">
        <v>32</v>
      </c>
      <c r="O9" s="20">
        <v>391</v>
      </c>
      <c r="P9" s="20">
        <v>36</v>
      </c>
      <c r="Q9" s="20">
        <v>0</v>
      </c>
      <c r="R9" s="20">
        <v>0</v>
      </c>
      <c r="S9" s="20">
        <v>225</v>
      </c>
      <c r="T9" s="20">
        <v>67</v>
      </c>
      <c r="U9" s="20">
        <v>222</v>
      </c>
      <c r="V9" s="20">
        <v>580</v>
      </c>
      <c r="W9" s="20">
        <v>0</v>
      </c>
      <c r="X9" s="20">
        <v>0</v>
      </c>
      <c r="Y9" s="20">
        <v>313</v>
      </c>
      <c r="Z9" s="20">
        <v>56</v>
      </c>
      <c r="AA9" s="20">
        <v>66</v>
      </c>
      <c r="AB9" s="20">
        <v>6</v>
      </c>
      <c r="AC9" s="20">
        <v>0</v>
      </c>
      <c r="AD9" s="20">
        <v>159</v>
      </c>
      <c r="AE9" s="20">
        <v>1672</v>
      </c>
      <c r="AF9" s="20">
        <v>0</v>
      </c>
      <c r="AG9" s="20">
        <v>13</v>
      </c>
      <c r="AH9" s="20">
        <v>53</v>
      </c>
      <c r="AI9" s="20">
        <v>0</v>
      </c>
      <c r="AJ9" s="20">
        <v>0</v>
      </c>
      <c r="AK9" s="20">
        <v>0</v>
      </c>
      <c r="AL9" s="20">
        <v>0</v>
      </c>
      <c r="AM9" s="20">
        <v>11</v>
      </c>
      <c r="AN9" s="20">
        <v>27</v>
      </c>
      <c r="AO9" s="20">
        <v>0</v>
      </c>
      <c r="AP9" s="20">
        <v>0</v>
      </c>
      <c r="AQ9" s="20">
        <v>0</v>
      </c>
      <c r="AR9" s="20">
        <v>0</v>
      </c>
      <c r="AS9" s="20">
        <v>6</v>
      </c>
      <c r="AT9" s="20">
        <v>0</v>
      </c>
      <c r="AU9" s="20">
        <v>33</v>
      </c>
      <c r="AV9" s="20">
        <v>0</v>
      </c>
      <c r="AW9" s="20">
        <v>0</v>
      </c>
      <c r="AX9" s="20">
        <v>0</v>
      </c>
      <c r="AY9" s="20">
        <v>0</v>
      </c>
      <c r="AZ9" s="20">
        <v>0</v>
      </c>
      <c r="BA9" s="20">
        <v>0</v>
      </c>
      <c r="BB9" s="20">
        <v>0</v>
      </c>
      <c r="BC9" s="20">
        <v>0</v>
      </c>
      <c r="BD9" s="20">
        <v>0</v>
      </c>
      <c r="BE9" s="20">
        <v>0</v>
      </c>
      <c r="BF9" s="20">
        <v>14</v>
      </c>
      <c r="BG9" s="20">
        <v>0</v>
      </c>
      <c r="BH9" s="20">
        <v>0</v>
      </c>
      <c r="BI9" s="20">
        <v>62</v>
      </c>
      <c r="BJ9" s="20">
        <v>0</v>
      </c>
      <c r="BK9" s="20">
        <v>0</v>
      </c>
      <c r="BL9" s="20">
        <v>1123</v>
      </c>
      <c r="BM9" s="20">
        <v>29</v>
      </c>
      <c r="BN9" s="20">
        <v>16</v>
      </c>
      <c r="BO9" s="20">
        <v>0</v>
      </c>
      <c r="BP9" s="20">
        <v>0</v>
      </c>
      <c r="BQ9" s="20">
        <v>104</v>
      </c>
      <c r="BR9" s="20">
        <v>77</v>
      </c>
      <c r="BS9" s="20">
        <v>0</v>
      </c>
      <c r="BT9" s="20">
        <v>0</v>
      </c>
      <c r="BU9" s="20">
        <v>0</v>
      </c>
      <c r="BV9" s="20">
        <v>0</v>
      </c>
      <c r="BW9" s="20">
        <v>287</v>
      </c>
      <c r="BX9" s="20">
        <v>51</v>
      </c>
      <c r="BY9" s="20">
        <v>0</v>
      </c>
      <c r="BZ9" s="20">
        <v>0</v>
      </c>
      <c r="CA9" s="20">
        <v>30</v>
      </c>
      <c r="CB9" s="20">
        <v>18</v>
      </c>
      <c r="CC9" s="20">
        <v>0</v>
      </c>
      <c r="CD9" s="20">
        <v>0</v>
      </c>
      <c r="CE9" s="20">
        <v>0</v>
      </c>
      <c r="CF9" s="20">
        <v>76</v>
      </c>
      <c r="CG9" s="20">
        <v>28</v>
      </c>
      <c r="CH9" s="20">
        <v>49</v>
      </c>
      <c r="CI9" s="20">
        <v>0</v>
      </c>
      <c r="CJ9" s="20">
        <v>0</v>
      </c>
      <c r="CK9" s="20">
        <v>0</v>
      </c>
      <c r="CL9" s="20">
        <v>0</v>
      </c>
      <c r="CM9" s="20">
        <v>85</v>
      </c>
      <c r="CN9" s="20">
        <v>0</v>
      </c>
      <c r="CO9" s="20">
        <v>0</v>
      </c>
      <c r="CP9" s="20">
        <v>227</v>
      </c>
      <c r="CQ9" s="20">
        <v>422</v>
      </c>
      <c r="CR9" s="20">
        <v>0</v>
      </c>
      <c r="CS9" s="20">
        <v>0</v>
      </c>
      <c r="CT9" s="20">
        <v>0</v>
      </c>
      <c r="CU9" s="20">
        <v>0</v>
      </c>
      <c r="CV9" s="20">
        <v>0</v>
      </c>
      <c r="CW9" s="20">
        <v>0</v>
      </c>
      <c r="CX9" s="75">
        <v>0</v>
      </c>
      <c r="CY9" s="20">
        <v>1</v>
      </c>
      <c r="CZ9" s="20">
        <v>0</v>
      </c>
      <c r="DA9" s="20">
        <v>0</v>
      </c>
      <c r="DB9" s="20">
        <v>0</v>
      </c>
      <c r="DC9" s="20">
        <v>1</v>
      </c>
      <c r="DD9" s="20">
        <v>0</v>
      </c>
      <c r="DE9" s="20">
        <v>0</v>
      </c>
      <c r="DF9" s="20">
        <v>67</v>
      </c>
      <c r="DG9" s="20">
        <v>0</v>
      </c>
      <c r="DH9" s="20">
        <v>33</v>
      </c>
      <c r="DI9" s="20">
        <v>23</v>
      </c>
      <c r="DJ9" s="20">
        <v>0</v>
      </c>
      <c r="DK9" s="20">
        <v>0</v>
      </c>
      <c r="DL9" s="20">
        <v>0</v>
      </c>
      <c r="DM9" s="20">
        <v>214</v>
      </c>
      <c r="DN9" s="20">
        <v>58</v>
      </c>
      <c r="DO9" s="20">
        <v>38</v>
      </c>
      <c r="DP9" s="20">
        <v>22</v>
      </c>
      <c r="DQ9" s="20">
        <v>0</v>
      </c>
      <c r="DR9" s="89">
        <v>0</v>
      </c>
      <c r="DS9" s="89">
        <v>0</v>
      </c>
      <c r="DT9" s="20">
        <v>70</v>
      </c>
    </row>
    <row r="10" spans="1:124" s="17" customFormat="1" ht="18" customHeight="1" x14ac:dyDescent="0.15">
      <c r="A10" s="78">
        <v>861</v>
      </c>
      <c r="B10" s="78" t="s">
        <v>597</v>
      </c>
      <c r="C10" s="2" t="s">
        <v>593</v>
      </c>
      <c r="D10" s="20">
        <v>4577</v>
      </c>
      <c r="E10" s="20">
        <v>340</v>
      </c>
      <c r="F10" s="20">
        <v>1644</v>
      </c>
      <c r="G10" s="20">
        <v>1276</v>
      </c>
      <c r="H10" s="20">
        <v>199</v>
      </c>
      <c r="I10" s="20">
        <v>0</v>
      </c>
      <c r="J10" s="20">
        <v>1976</v>
      </c>
      <c r="K10" s="20">
        <v>241</v>
      </c>
      <c r="L10" s="20">
        <v>143</v>
      </c>
      <c r="M10" s="20">
        <v>501</v>
      </c>
      <c r="N10" s="20">
        <v>113</v>
      </c>
      <c r="O10" s="20">
        <v>967</v>
      </c>
      <c r="P10" s="20">
        <v>0</v>
      </c>
      <c r="Q10" s="20">
        <v>0</v>
      </c>
      <c r="R10" s="20">
        <v>0</v>
      </c>
      <c r="S10" s="20">
        <v>258</v>
      </c>
      <c r="T10" s="20">
        <v>178</v>
      </c>
      <c r="U10" s="20">
        <v>338</v>
      </c>
      <c r="V10" s="20">
        <v>963</v>
      </c>
      <c r="W10" s="20">
        <v>0</v>
      </c>
      <c r="X10" s="20">
        <v>0</v>
      </c>
      <c r="Y10" s="20">
        <v>376</v>
      </c>
      <c r="Z10" s="20">
        <v>132</v>
      </c>
      <c r="AA10" s="20">
        <v>69</v>
      </c>
      <c r="AB10" s="20">
        <v>15</v>
      </c>
      <c r="AC10" s="20">
        <v>0</v>
      </c>
      <c r="AD10" s="20">
        <v>270</v>
      </c>
      <c r="AE10" s="20">
        <v>3365</v>
      </c>
      <c r="AF10" s="20">
        <v>0</v>
      </c>
      <c r="AG10" s="20">
        <v>23</v>
      </c>
      <c r="AH10" s="20">
        <v>63</v>
      </c>
      <c r="AI10" s="20">
        <v>0</v>
      </c>
      <c r="AJ10" s="20">
        <v>0</v>
      </c>
      <c r="AK10" s="20">
        <v>0</v>
      </c>
      <c r="AL10" s="20">
        <v>0</v>
      </c>
      <c r="AM10" s="20">
        <v>21</v>
      </c>
      <c r="AN10" s="20">
        <v>38</v>
      </c>
      <c r="AO10" s="20">
        <v>0</v>
      </c>
      <c r="AP10" s="20">
        <v>0</v>
      </c>
      <c r="AQ10" s="20">
        <v>0</v>
      </c>
      <c r="AR10" s="20">
        <v>0</v>
      </c>
      <c r="AS10" s="20">
        <v>31</v>
      </c>
      <c r="AT10" s="20">
        <v>0</v>
      </c>
      <c r="AU10" s="20">
        <v>10</v>
      </c>
      <c r="AV10" s="20">
        <v>0</v>
      </c>
      <c r="AW10" s="20">
        <v>0</v>
      </c>
      <c r="AX10" s="20">
        <v>0</v>
      </c>
      <c r="AY10" s="20">
        <v>0</v>
      </c>
      <c r="AZ10" s="20">
        <v>0</v>
      </c>
      <c r="BA10" s="20">
        <v>0</v>
      </c>
      <c r="BB10" s="20">
        <v>0</v>
      </c>
      <c r="BC10" s="20">
        <v>0</v>
      </c>
      <c r="BD10" s="20">
        <v>0</v>
      </c>
      <c r="BE10" s="20">
        <v>0</v>
      </c>
      <c r="BF10" s="20">
        <v>100</v>
      </c>
      <c r="BG10" s="20">
        <v>0</v>
      </c>
      <c r="BH10" s="20">
        <v>0</v>
      </c>
      <c r="BI10" s="20">
        <v>131</v>
      </c>
      <c r="BJ10" s="20">
        <v>0</v>
      </c>
      <c r="BK10" s="20">
        <v>0</v>
      </c>
      <c r="BL10" s="20">
        <v>1581</v>
      </c>
      <c r="BM10" s="20">
        <v>77</v>
      </c>
      <c r="BN10" s="20">
        <v>18</v>
      </c>
      <c r="BO10" s="20">
        <v>0</v>
      </c>
      <c r="BP10" s="20">
        <v>0</v>
      </c>
      <c r="BQ10" s="20">
        <v>138</v>
      </c>
      <c r="BR10" s="20">
        <v>140</v>
      </c>
      <c r="BS10" s="20">
        <v>0</v>
      </c>
      <c r="BT10" s="20">
        <v>0</v>
      </c>
      <c r="BU10" s="20">
        <v>0</v>
      </c>
      <c r="BV10" s="20">
        <v>0</v>
      </c>
      <c r="BW10" s="20">
        <v>209</v>
      </c>
      <c r="BX10" s="20">
        <v>94</v>
      </c>
      <c r="BY10" s="20">
        <v>0</v>
      </c>
      <c r="BZ10" s="20">
        <v>0</v>
      </c>
      <c r="CA10" s="20">
        <v>53</v>
      </c>
      <c r="CB10" s="20">
        <v>2</v>
      </c>
      <c r="CC10" s="20">
        <v>0</v>
      </c>
      <c r="CD10" s="20">
        <v>0</v>
      </c>
      <c r="CE10" s="20">
        <v>0</v>
      </c>
      <c r="CF10" s="20">
        <v>141</v>
      </c>
      <c r="CG10" s="20">
        <v>73</v>
      </c>
      <c r="CH10" s="20">
        <v>131</v>
      </c>
      <c r="CI10" s="20">
        <v>0</v>
      </c>
      <c r="CJ10" s="20">
        <v>0</v>
      </c>
      <c r="CK10" s="20">
        <v>0</v>
      </c>
      <c r="CL10" s="20">
        <v>0</v>
      </c>
      <c r="CM10" s="20">
        <v>113</v>
      </c>
      <c r="CN10" s="20">
        <v>0</v>
      </c>
      <c r="CO10" s="20">
        <v>0</v>
      </c>
      <c r="CP10" s="20">
        <v>194</v>
      </c>
      <c r="CQ10" s="20">
        <v>691</v>
      </c>
      <c r="CR10" s="20">
        <v>0</v>
      </c>
      <c r="CS10" s="20">
        <v>0</v>
      </c>
      <c r="CT10" s="20">
        <v>0</v>
      </c>
      <c r="CU10" s="20">
        <v>0</v>
      </c>
      <c r="CV10" s="20">
        <v>29</v>
      </c>
      <c r="CW10" s="20">
        <v>0</v>
      </c>
      <c r="CX10" s="75">
        <v>0</v>
      </c>
      <c r="CY10" s="20">
        <v>6</v>
      </c>
      <c r="CZ10" s="20">
        <v>0</v>
      </c>
      <c r="DA10" s="20">
        <v>0</v>
      </c>
      <c r="DB10" s="20">
        <v>0</v>
      </c>
      <c r="DC10" s="20">
        <v>4</v>
      </c>
      <c r="DD10" s="20">
        <v>0</v>
      </c>
      <c r="DE10" s="20">
        <v>0</v>
      </c>
      <c r="DF10" s="20">
        <v>105</v>
      </c>
      <c r="DG10" s="20">
        <v>0</v>
      </c>
      <c r="DH10" s="20">
        <v>270</v>
      </c>
      <c r="DI10" s="20">
        <v>36</v>
      </c>
      <c r="DJ10" s="20">
        <v>0</v>
      </c>
      <c r="DK10" s="20">
        <v>0</v>
      </c>
      <c r="DL10" s="20">
        <v>0</v>
      </c>
      <c r="DM10" s="20">
        <v>198</v>
      </c>
      <c r="DN10" s="20">
        <v>99</v>
      </c>
      <c r="DO10" s="20">
        <v>67</v>
      </c>
      <c r="DP10" s="20">
        <v>26</v>
      </c>
      <c r="DQ10" s="20">
        <v>0</v>
      </c>
      <c r="DR10" s="89">
        <v>0</v>
      </c>
      <c r="DS10" s="89">
        <v>0</v>
      </c>
      <c r="DT10" s="20">
        <v>24</v>
      </c>
    </row>
    <row r="11" spans="1:124" s="17" customFormat="1" ht="18" customHeight="1" x14ac:dyDescent="0.15">
      <c r="A11" s="78">
        <v>862</v>
      </c>
      <c r="B11" s="78" t="s">
        <v>598</v>
      </c>
      <c r="C11" s="2" t="s">
        <v>594</v>
      </c>
      <c r="D11" s="20">
        <v>2978</v>
      </c>
      <c r="E11" s="20">
        <v>592</v>
      </c>
      <c r="F11" s="20">
        <v>915</v>
      </c>
      <c r="G11" s="20">
        <v>695</v>
      </c>
      <c r="H11" s="20">
        <v>234</v>
      </c>
      <c r="I11" s="20">
        <v>0</v>
      </c>
      <c r="J11" s="20">
        <v>592</v>
      </c>
      <c r="K11" s="20">
        <v>956</v>
      </c>
      <c r="L11" s="20">
        <v>64</v>
      </c>
      <c r="M11" s="20">
        <v>349</v>
      </c>
      <c r="N11" s="20">
        <v>148</v>
      </c>
      <c r="O11" s="20">
        <v>446</v>
      </c>
      <c r="P11" s="20">
        <v>68</v>
      </c>
      <c r="Q11" s="20">
        <v>0</v>
      </c>
      <c r="R11" s="20">
        <v>0</v>
      </c>
      <c r="S11" s="20">
        <v>295</v>
      </c>
      <c r="T11" s="20">
        <v>68</v>
      </c>
      <c r="U11" s="20">
        <v>220</v>
      </c>
      <c r="V11" s="20">
        <v>506</v>
      </c>
      <c r="W11" s="20">
        <v>0</v>
      </c>
      <c r="X11" s="20">
        <v>0</v>
      </c>
      <c r="Y11" s="20">
        <v>693</v>
      </c>
      <c r="Z11" s="20">
        <v>110</v>
      </c>
      <c r="AA11" s="20">
        <v>108</v>
      </c>
      <c r="AB11" s="20">
        <v>8</v>
      </c>
      <c r="AC11" s="20">
        <v>0</v>
      </c>
      <c r="AD11" s="20">
        <v>43</v>
      </c>
      <c r="AE11" s="20">
        <v>1743</v>
      </c>
      <c r="AF11" s="20">
        <v>0</v>
      </c>
      <c r="AG11" s="20">
        <v>3</v>
      </c>
      <c r="AH11" s="20">
        <v>26</v>
      </c>
      <c r="AI11" s="20">
        <v>0</v>
      </c>
      <c r="AJ11" s="20">
        <v>0</v>
      </c>
      <c r="AK11" s="20">
        <v>0</v>
      </c>
      <c r="AL11" s="20">
        <v>0</v>
      </c>
      <c r="AM11" s="20">
        <v>8</v>
      </c>
      <c r="AN11" s="20">
        <v>7</v>
      </c>
      <c r="AO11" s="20">
        <v>0</v>
      </c>
      <c r="AP11" s="20">
        <v>0</v>
      </c>
      <c r="AQ11" s="20">
        <v>6</v>
      </c>
      <c r="AR11" s="20">
        <v>0</v>
      </c>
      <c r="AS11" s="20">
        <v>10</v>
      </c>
      <c r="AT11" s="20">
        <v>0</v>
      </c>
      <c r="AU11" s="20">
        <v>18</v>
      </c>
      <c r="AV11" s="20">
        <v>0</v>
      </c>
      <c r="AW11" s="20">
        <v>0</v>
      </c>
      <c r="AX11" s="20">
        <v>0</v>
      </c>
      <c r="AY11" s="20">
        <v>0</v>
      </c>
      <c r="AZ11" s="20">
        <v>0</v>
      </c>
      <c r="BA11" s="20">
        <v>0</v>
      </c>
      <c r="BB11" s="20">
        <v>0</v>
      </c>
      <c r="BC11" s="20">
        <v>0</v>
      </c>
      <c r="BD11" s="20">
        <v>0</v>
      </c>
      <c r="BE11" s="20">
        <v>0</v>
      </c>
      <c r="BF11" s="20">
        <v>97</v>
      </c>
      <c r="BG11" s="20">
        <v>0</v>
      </c>
      <c r="BH11" s="20">
        <v>0</v>
      </c>
      <c r="BI11" s="20">
        <v>27</v>
      </c>
      <c r="BJ11" s="20">
        <v>0</v>
      </c>
      <c r="BK11" s="20">
        <v>0</v>
      </c>
      <c r="BL11" s="20">
        <v>2660</v>
      </c>
      <c r="BM11" s="20">
        <v>79</v>
      </c>
      <c r="BN11" s="20">
        <v>6</v>
      </c>
      <c r="BO11" s="20">
        <v>0</v>
      </c>
      <c r="BP11" s="20">
        <v>0</v>
      </c>
      <c r="BQ11" s="20">
        <v>153</v>
      </c>
      <c r="BR11" s="20">
        <v>474</v>
      </c>
      <c r="BS11" s="20">
        <v>0</v>
      </c>
      <c r="BT11" s="20">
        <v>0</v>
      </c>
      <c r="BU11" s="20">
        <v>0</v>
      </c>
      <c r="BV11" s="20">
        <v>0</v>
      </c>
      <c r="BW11" s="20">
        <v>735</v>
      </c>
      <c r="BX11" s="20">
        <v>0</v>
      </c>
      <c r="BY11" s="20">
        <v>0</v>
      </c>
      <c r="BZ11" s="20">
        <v>0</v>
      </c>
      <c r="CA11" s="20">
        <v>148</v>
      </c>
      <c r="CB11" s="20">
        <v>4</v>
      </c>
      <c r="CC11" s="20">
        <v>0</v>
      </c>
      <c r="CD11" s="20">
        <v>0</v>
      </c>
      <c r="CE11" s="20">
        <v>0</v>
      </c>
      <c r="CF11" s="20">
        <v>22</v>
      </c>
      <c r="CG11" s="20">
        <v>20</v>
      </c>
      <c r="CH11" s="20">
        <v>140</v>
      </c>
      <c r="CI11" s="20">
        <v>0</v>
      </c>
      <c r="CJ11" s="20">
        <v>0</v>
      </c>
      <c r="CK11" s="20">
        <v>12</v>
      </c>
      <c r="CL11" s="20">
        <v>0</v>
      </c>
      <c r="CM11" s="20">
        <v>168</v>
      </c>
      <c r="CN11" s="20">
        <v>0</v>
      </c>
      <c r="CO11" s="20">
        <v>0</v>
      </c>
      <c r="CP11" s="20">
        <v>307</v>
      </c>
      <c r="CQ11" s="20">
        <v>116</v>
      </c>
      <c r="CR11" s="20">
        <v>0</v>
      </c>
      <c r="CS11" s="20">
        <v>0</v>
      </c>
      <c r="CT11" s="20">
        <v>0</v>
      </c>
      <c r="CU11" s="20">
        <v>0</v>
      </c>
      <c r="CV11" s="20">
        <v>0</v>
      </c>
      <c r="CW11" s="20">
        <v>0</v>
      </c>
      <c r="CX11" s="75">
        <v>0</v>
      </c>
      <c r="CY11" s="20">
        <v>0</v>
      </c>
      <c r="CZ11" s="20">
        <v>1</v>
      </c>
      <c r="DA11" s="20">
        <v>0</v>
      </c>
      <c r="DB11" s="20">
        <v>0</v>
      </c>
      <c r="DC11" s="20">
        <v>3</v>
      </c>
      <c r="DD11" s="20">
        <v>0</v>
      </c>
      <c r="DE11" s="20">
        <v>0</v>
      </c>
      <c r="DF11" s="20">
        <v>67</v>
      </c>
      <c r="DG11" s="20">
        <v>25</v>
      </c>
      <c r="DH11" s="20">
        <v>26</v>
      </c>
      <c r="DI11" s="20">
        <v>6</v>
      </c>
      <c r="DJ11" s="20">
        <v>0</v>
      </c>
      <c r="DK11" s="20">
        <v>0</v>
      </c>
      <c r="DL11" s="20">
        <v>0</v>
      </c>
      <c r="DM11" s="20">
        <v>332</v>
      </c>
      <c r="DN11" s="20">
        <v>36</v>
      </c>
      <c r="DO11" s="20">
        <v>69</v>
      </c>
      <c r="DP11" s="20">
        <v>38</v>
      </c>
      <c r="DQ11" s="20">
        <v>0</v>
      </c>
      <c r="DR11" s="89">
        <v>0</v>
      </c>
      <c r="DS11" s="89">
        <v>0</v>
      </c>
      <c r="DT11" s="20">
        <v>41</v>
      </c>
    </row>
    <row r="12" spans="1:124" s="17" customFormat="1" ht="18" customHeight="1" x14ac:dyDescent="0.15">
      <c r="A12" s="78">
        <v>899</v>
      </c>
      <c r="B12" s="78" t="s">
        <v>636</v>
      </c>
      <c r="C12" s="2" t="s">
        <v>637</v>
      </c>
      <c r="D12" s="20">
        <v>1800</v>
      </c>
      <c r="E12" s="20">
        <v>120</v>
      </c>
      <c r="F12" s="20">
        <v>529</v>
      </c>
      <c r="G12" s="20">
        <v>426</v>
      </c>
      <c r="H12" s="20">
        <v>64</v>
      </c>
      <c r="I12" s="20">
        <v>0</v>
      </c>
      <c r="J12" s="20">
        <v>835</v>
      </c>
      <c r="K12" s="20">
        <v>24</v>
      </c>
      <c r="L12" s="20">
        <v>26</v>
      </c>
      <c r="M12" s="20">
        <v>207</v>
      </c>
      <c r="N12" s="20">
        <v>18</v>
      </c>
      <c r="O12" s="20">
        <v>415</v>
      </c>
      <c r="P12" s="20">
        <v>2</v>
      </c>
      <c r="Q12" s="20">
        <v>0</v>
      </c>
      <c r="R12" s="20">
        <v>0</v>
      </c>
      <c r="S12" s="20">
        <v>64</v>
      </c>
      <c r="T12" s="20">
        <v>54</v>
      </c>
      <c r="U12" s="20">
        <v>187</v>
      </c>
      <c r="V12" s="20">
        <v>287</v>
      </c>
      <c r="W12" s="20">
        <v>0</v>
      </c>
      <c r="X12" s="20">
        <v>0</v>
      </c>
      <c r="Y12" s="20">
        <v>159</v>
      </c>
      <c r="Z12" s="20">
        <v>37</v>
      </c>
      <c r="AA12" s="20">
        <v>26</v>
      </c>
      <c r="AB12" s="20">
        <v>1</v>
      </c>
      <c r="AC12" s="20">
        <v>0</v>
      </c>
      <c r="AD12" s="20">
        <v>37</v>
      </c>
      <c r="AE12" s="20">
        <v>1286</v>
      </c>
      <c r="AF12" s="20">
        <v>0</v>
      </c>
      <c r="AG12" s="20">
        <v>0</v>
      </c>
      <c r="AH12" s="20">
        <v>6</v>
      </c>
      <c r="AI12" s="20">
        <v>0</v>
      </c>
      <c r="AJ12" s="20">
        <v>0</v>
      </c>
      <c r="AK12" s="20">
        <v>0</v>
      </c>
      <c r="AL12" s="20">
        <v>0</v>
      </c>
      <c r="AM12" s="20">
        <v>8</v>
      </c>
      <c r="AN12" s="20">
        <v>38</v>
      </c>
      <c r="AO12" s="20">
        <v>0</v>
      </c>
      <c r="AP12" s="20">
        <v>0</v>
      </c>
      <c r="AQ12" s="20">
        <v>4</v>
      </c>
      <c r="AR12" s="20">
        <v>0</v>
      </c>
      <c r="AS12" s="20">
        <v>9</v>
      </c>
      <c r="AT12" s="20">
        <v>0</v>
      </c>
      <c r="AU12" s="20">
        <v>2</v>
      </c>
      <c r="AV12" s="20">
        <v>0</v>
      </c>
      <c r="AW12" s="20">
        <v>0</v>
      </c>
      <c r="AX12" s="20">
        <v>0</v>
      </c>
      <c r="AY12" s="20">
        <v>0</v>
      </c>
      <c r="AZ12" s="20">
        <v>0</v>
      </c>
      <c r="BA12" s="20">
        <v>0</v>
      </c>
      <c r="BB12" s="20">
        <v>0</v>
      </c>
      <c r="BC12" s="20">
        <v>2</v>
      </c>
      <c r="BD12" s="20">
        <v>0</v>
      </c>
      <c r="BE12" s="20">
        <v>0</v>
      </c>
      <c r="BF12" s="20">
        <v>22</v>
      </c>
      <c r="BG12" s="20">
        <v>0</v>
      </c>
      <c r="BH12" s="20">
        <v>0</v>
      </c>
      <c r="BI12" s="20">
        <v>43</v>
      </c>
      <c r="BJ12" s="20">
        <v>0</v>
      </c>
      <c r="BK12" s="20">
        <v>0</v>
      </c>
      <c r="BL12" s="20">
        <v>838</v>
      </c>
      <c r="BM12" s="20">
        <v>15</v>
      </c>
      <c r="BN12" s="20">
        <v>1</v>
      </c>
      <c r="BO12" s="20">
        <v>0</v>
      </c>
      <c r="BP12" s="20">
        <v>0</v>
      </c>
      <c r="BQ12" s="20">
        <v>46</v>
      </c>
      <c r="BR12" s="20">
        <v>14</v>
      </c>
      <c r="BS12" s="20">
        <v>0</v>
      </c>
      <c r="BT12" s="20">
        <v>0</v>
      </c>
      <c r="BU12" s="20">
        <v>0</v>
      </c>
      <c r="BV12" s="20">
        <v>0</v>
      </c>
      <c r="BW12" s="20">
        <v>72</v>
      </c>
      <c r="BX12" s="20">
        <v>2</v>
      </c>
      <c r="BY12" s="20">
        <v>0</v>
      </c>
      <c r="BZ12" s="20">
        <v>0</v>
      </c>
      <c r="CA12" s="20">
        <v>15</v>
      </c>
      <c r="CB12" s="20">
        <v>0</v>
      </c>
      <c r="CC12" s="20">
        <v>0</v>
      </c>
      <c r="CD12" s="20">
        <v>0</v>
      </c>
      <c r="CE12" s="20">
        <v>0</v>
      </c>
      <c r="CF12" s="20">
        <v>52</v>
      </c>
      <c r="CG12" s="20">
        <v>19</v>
      </c>
      <c r="CH12" s="20">
        <v>20</v>
      </c>
      <c r="CI12" s="20">
        <v>0</v>
      </c>
      <c r="CJ12" s="20">
        <v>0</v>
      </c>
      <c r="CK12" s="20">
        <v>0</v>
      </c>
      <c r="CL12" s="20">
        <v>0</v>
      </c>
      <c r="CM12" s="20">
        <v>60</v>
      </c>
      <c r="CN12" s="20">
        <v>0</v>
      </c>
      <c r="CO12" s="20">
        <v>0</v>
      </c>
      <c r="CP12" s="20">
        <v>90</v>
      </c>
      <c r="CQ12" s="20">
        <v>270</v>
      </c>
      <c r="CR12" s="20">
        <v>2</v>
      </c>
      <c r="CS12" s="20">
        <v>4</v>
      </c>
      <c r="CT12" s="20">
        <v>8</v>
      </c>
      <c r="CU12" s="20">
        <v>0</v>
      </c>
      <c r="CV12" s="20">
        <v>1</v>
      </c>
      <c r="CW12" s="20">
        <v>0</v>
      </c>
      <c r="CX12" s="20">
        <v>0</v>
      </c>
      <c r="CY12" s="20">
        <v>1</v>
      </c>
      <c r="CZ12" s="20">
        <v>0</v>
      </c>
      <c r="DA12" s="20">
        <v>0</v>
      </c>
      <c r="DB12" s="20">
        <v>0</v>
      </c>
      <c r="DC12" s="20">
        <v>1</v>
      </c>
      <c r="DD12" s="20">
        <v>0</v>
      </c>
      <c r="DE12" s="20">
        <v>0</v>
      </c>
      <c r="DF12" s="20">
        <v>26</v>
      </c>
      <c r="DG12" s="20">
        <v>4</v>
      </c>
      <c r="DH12" s="20">
        <v>74</v>
      </c>
      <c r="DI12" s="20">
        <v>20</v>
      </c>
      <c r="DJ12" s="20">
        <v>0</v>
      </c>
      <c r="DK12" s="20">
        <v>0</v>
      </c>
      <c r="DL12" s="20">
        <v>0</v>
      </c>
      <c r="DM12" s="20">
        <v>106</v>
      </c>
      <c r="DN12" s="20">
        <v>22</v>
      </c>
      <c r="DO12" s="20">
        <v>7</v>
      </c>
      <c r="DP12" s="20">
        <v>8</v>
      </c>
      <c r="DQ12" s="20">
        <v>0</v>
      </c>
      <c r="DR12" s="89">
        <v>0</v>
      </c>
      <c r="DS12" s="89">
        <v>1</v>
      </c>
      <c r="DT12" s="20">
        <v>40</v>
      </c>
    </row>
    <row r="13" spans="1:124" s="17" customFormat="1" ht="18" customHeight="1" x14ac:dyDescent="0.15">
      <c r="A13" s="78">
        <v>900</v>
      </c>
      <c r="B13" s="78" t="s">
        <v>638</v>
      </c>
      <c r="C13" s="2" t="s">
        <v>639</v>
      </c>
      <c r="D13" s="20">
        <v>4094</v>
      </c>
      <c r="E13" s="20">
        <v>305</v>
      </c>
      <c r="F13" s="20">
        <v>976</v>
      </c>
      <c r="G13" s="20">
        <v>858</v>
      </c>
      <c r="H13" s="20">
        <v>412</v>
      </c>
      <c r="I13" s="20">
        <v>0</v>
      </c>
      <c r="J13" s="20">
        <v>1302</v>
      </c>
      <c r="K13" s="20">
        <v>902</v>
      </c>
      <c r="L13" s="20">
        <v>12</v>
      </c>
      <c r="M13" s="20">
        <v>205</v>
      </c>
      <c r="N13" s="20">
        <v>100</v>
      </c>
      <c r="O13" s="20">
        <v>696</v>
      </c>
      <c r="P13" s="20">
        <v>0</v>
      </c>
      <c r="Q13" s="20">
        <v>0</v>
      </c>
      <c r="R13" s="20">
        <v>0</v>
      </c>
      <c r="S13" s="20">
        <v>356</v>
      </c>
      <c r="T13" s="20">
        <v>105</v>
      </c>
      <c r="U13" s="20">
        <v>226</v>
      </c>
      <c r="V13" s="20">
        <v>569</v>
      </c>
      <c r="W13" s="20">
        <v>0</v>
      </c>
      <c r="X13" s="20">
        <v>0</v>
      </c>
      <c r="Y13" s="20">
        <v>291</v>
      </c>
      <c r="Z13" s="20">
        <v>35</v>
      </c>
      <c r="AA13" s="20">
        <v>51</v>
      </c>
      <c r="AB13" s="20">
        <v>17</v>
      </c>
      <c r="AC13" s="20">
        <v>0</v>
      </c>
      <c r="AD13" s="20">
        <v>58</v>
      </c>
      <c r="AE13" s="20">
        <v>2291</v>
      </c>
      <c r="AF13" s="20">
        <v>0</v>
      </c>
      <c r="AG13" s="20">
        <v>5</v>
      </c>
      <c r="AH13" s="20">
        <v>55</v>
      </c>
      <c r="AI13" s="20">
        <v>0</v>
      </c>
      <c r="AJ13" s="20">
        <v>0</v>
      </c>
      <c r="AK13" s="20">
        <v>0</v>
      </c>
      <c r="AL13" s="20">
        <v>0</v>
      </c>
      <c r="AM13" s="20">
        <v>8</v>
      </c>
      <c r="AN13" s="20">
        <v>182</v>
      </c>
      <c r="AO13" s="20">
        <v>0</v>
      </c>
      <c r="AP13" s="20">
        <v>0</v>
      </c>
      <c r="AQ13" s="20">
        <v>13</v>
      </c>
      <c r="AR13" s="20">
        <v>0</v>
      </c>
      <c r="AS13" s="20">
        <v>4</v>
      </c>
      <c r="AT13" s="20">
        <v>0</v>
      </c>
      <c r="AU13" s="20">
        <v>0</v>
      </c>
      <c r="AV13" s="20">
        <v>0</v>
      </c>
      <c r="AW13" s="20">
        <v>0</v>
      </c>
      <c r="AX13" s="20">
        <v>0</v>
      </c>
      <c r="AY13" s="20">
        <v>0</v>
      </c>
      <c r="AZ13" s="20">
        <v>0</v>
      </c>
      <c r="BA13" s="20">
        <v>0</v>
      </c>
      <c r="BB13" s="20">
        <v>0</v>
      </c>
      <c r="BC13" s="20">
        <v>0</v>
      </c>
      <c r="BD13" s="20">
        <v>0</v>
      </c>
      <c r="BE13" s="20">
        <v>0</v>
      </c>
      <c r="BF13" s="20">
        <v>67</v>
      </c>
      <c r="BG13" s="20">
        <v>0</v>
      </c>
      <c r="BH13" s="20">
        <v>0</v>
      </c>
      <c r="BI13" s="20">
        <v>53</v>
      </c>
      <c r="BJ13" s="20">
        <v>0</v>
      </c>
      <c r="BK13" s="20">
        <v>0</v>
      </c>
      <c r="BL13" s="20">
        <v>1962</v>
      </c>
      <c r="BM13" s="20">
        <v>57</v>
      </c>
      <c r="BN13" s="20">
        <v>9</v>
      </c>
      <c r="BO13" s="20">
        <v>0</v>
      </c>
      <c r="BP13" s="20">
        <v>0</v>
      </c>
      <c r="BQ13" s="20">
        <v>96</v>
      </c>
      <c r="BR13" s="20">
        <v>21</v>
      </c>
      <c r="BS13" s="20">
        <v>0</v>
      </c>
      <c r="BT13" s="20">
        <v>0</v>
      </c>
      <c r="BU13" s="20">
        <v>0</v>
      </c>
      <c r="BV13" s="20">
        <v>0</v>
      </c>
      <c r="BW13" s="20">
        <v>449</v>
      </c>
      <c r="BX13" s="20">
        <v>0</v>
      </c>
      <c r="BY13" s="20">
        <v>0</v>
      </c>
      <c r="BZ13" s="20">
        <v>0</v>
      </c>
      <c r="CA13" s="20">
        <v>73</v>
      </c>
      <c r="CB13" s="20">
        <v>0</v>
      </c>
      <c r="CC13" s="20">
        <v>0</v>
      </c>
      <c r="CD13" s="20">
        <v>0</v>
      </c>
      <c r="CE13" s="20">
        <v>0</v>
      </c>
      <c r="CF13" s="20">
        <v>67</v>
      </c>
      <c r="CG13" s="20">
        <v>113</v>
      </c>
      <c r="CH13" s="20">
        <v>1182</v>
      </c>
      <c r="CI13" s="20">
        <v>0</v>
      </c>
      <c r="CJ13" s="20">
        <v>0</v>
      </c>
      <c r="CK13" s="20">
        <v>0</v>
      </c>
      <c r="CL13" s="20">
        <v>0</v>
      </c>
      <c r="CM13" s="20">
        <v>163</v>
      </c>
      <c r="CN13" s="20">
        <v>0</v>
      </c>
      <c r="CO13" s="20">
        <v>0</v>
      </c>
      <c r="CP13" s="20">
        <v>117</v>
      </c>
      <c r="CQ13" s="20">
        <v>528</v>
      </c>
      <c r="CR13" s="20">
        <v>0</v>
      </c>
      <c r="CS13" s="20">
        <v>0</v>
      </c>
      <c r="CT13" s="20">
        <v>0</v>
      </c>
      <c r="CU13" s="20">
        <v>0</v>
      </c>
      <c r="CV13" s="20">
        <v>147</v>
      </c>
      <c r="CW13" s="20">
        <v>0</v>
      </c>
      <c r="CX13" s="20">
        <v>0</v>
      </c>
      <c r="CY13" s="20">
        <v>0</v>
      </c>
      <c r="CZ13" s="20">
        <v>0</v>
      </c>
      <c r="DA13" s="20">
        <v>0</v>
      </c>
      <c r="DB13" s="20">
        <v>0</v>
      </c>
      <c r="DC13" s="20">
        <v>3</v>
      </c>
      <c r="DD13" s="20">
        <v>0</v>
      </c>
      <c r="DE13" s="20">
        <v>0</v>
      </c>
      <c r="DF13" s="20">
        <v>47</v>
      </c>
      <c r="DG13" s="20">
        <v>0</v>
      </c>
      <c r="DH13" s="20">
        <v>97</v>
      </c>
      <c r="DI13" s="20">
        <v>4</v>
      </c>
      <c r="DJ13" s="20">
        <v>0</v>
      </c>
      <c r="DK13" s="20">
        <v>0</v>
      </c>
      <c r="DL13" s="20">
        <v>0</v>
      </c>
      <c r="DM13" s="20">
        <v>126</v>
      </c>
      <c r="DN13" s="20">
        <v>63</v>
      </c>
      <c r="DO13" s="20">
        <v>76</v>
      </c>
      <c r="DP13" s="20">
        <v>7</v>
      </c>
      <c r="DQ13" s="20">
        <v>0</v>
      </c>
      <c r="DR13" s="89">
        <v>0</v>
      </c>
      <c r="DS13" s="89">
        <v>0</v>
      </c>
      <c r="DT13" s="20">
        <v>40</v>
      </c>
    </row>
    <row r="14" spans="1:124" s="17" customFormat="1" ht="18" customHeight="1" x14ac:dyDescent="0.15">
      <c r="A14" s="78">
        <v>901</v>
      </c>
      <c r="B14" s="78" t="s">
        <v>640</v>
      </c>
      <c r="C14" s="2" t="s">
        <v>641</v>
      </c>
      <c r="D14" s="20">
        <v>2415</v>
      </c>
      <c r="E14" s="20">
        <v>362</v>
      </c>
      <c r="F14" s="20">
        <v>755</v>
      </c>
      <c r="G14" s="20">
        <v>470</v>
      </c>
      <c r="H14" s="20">
        <v>162</v>
      </c>
      <c r="I14" s="20">
        <v>0</v>
      </c>
      <c r="J14" s="20">
        <v>961</v>
      </c>
      <c r="K14" s="20">
        <v>324</v>
      </c>
      <c r="L14" s="20">
        <v>34</v>
      </c>
      <c r="M14" s="20">
        <v>357</v>
      </c>
      <c r="N14" s="20">
        <v>28</v>
      </c>
      <c r="O14" s="20">
        <v>319</v>
      </c>
      <c r="P14" s="20">
        <v>10</v>
      </c>
      <c r="Q14" s="20">
        <v>0</v>
      </c>
      <c r="R14" s="20">
        <v>0</v>
      </c>
      <c r="S14" s="20">
        <v>229</v>
      </c>
      <c r="T14" s="20">
        <v>56</v>
      </c>
      <c r="U14" s="20">
        <v>278</v>
      </c>
      <c r="V14" s="20">
        <v>451</v>
      </c>
      <c r="W14" s="20">
        <v>0</v>
      </c>
      <c r="X14" s="20">
        <v>0</v>
      </c>
      <c r="Y14" s="20">
        <v>296</v>
      </c>
      <c r="Z14" s="20">
        <v>72</v>
      </c>
      <c r="AA14" s="20">
        <v>53</v>
      </c>
      <c r="AB14" s="20">
        <v>1</v>
      </c>
      <c r="AC14" s="20">
        <v>0</v>
      </c>
      <c r="AD14" s="20">
        <v>57</v>
      </c>
      <c r="AE14" s="20">
        <v>1563</v>
      </c>
      <c r="AF14" s="20">
        <v>0</v>
      </c>
      <c r="AG14" s="20">
        <v>4</v>
      </c>
      <c r="AH14" s="20">
        <v>46</v>
      </c>
      <c r="AI14" s="20">
        <v>0</v>
      </c>
      <c r="AJ14" s="20">
        <v>0</v>
      </c>
      <c r="AK14" s="20">
        <v>0</v>
      </c>
      <c r="AL14" s="20">
        <v>0</v>
      </c>
      <c r="AM14" s="20">
        <v>5</v>
      </c>
      <c r="AN14" s="20">
        <v>89</v>
      </c>
      <c r="AO14" s="20">
        <v>0</v>
      </c>
      <c r="AP14" s="20">
        <v>0</v>
      </c>
      <c r="AQ14" s="20">
        <v>22</v>
      </c>
      <c r="AR14" s="20">
        <v>1</v>
      </c>
      <c r="AS14" s="20">
        <v>12</v>
      </c>
      <c r="AT14" s="20">
        <v>0</v>
      </c>
      <c r="AU14" s="20">
        <v>45</v>
      </c>
      <c r="AV14" s="20">
        <v>0</v>
      </c>
      <c r="AW14" s="20">
        <v>0</v>
      </c>
      <c r="AX14" s="20">
        <v>0</v>
      </c>
      <c r="AY14" s="20">
        <v>0</v>
      </c>
      <c r="AZ14" s="20">
        <v>0</v>
      </c>
      <c r="BA14" s="20">
        <v>0</v>
      </c>
      <c r="BB14" s="20">
        <v>0</v>
      </c>
      <c r="BC14" s="20">
        <v>0</v>
      </c>
      <c r="BD14" s="20">
        <v>0</v>
      </c>
      <c r="BE14" s="20">
        <v>0</v>
      </c>
      <c r="BF14" s="20">
        <v>27</v>
      </c>
      <c r="BG14" s="20">
        <v>0</v>
      </c>
      <c r="BH14" s="20">
        <v>0</v>
      </c>
      <c r="BI14" s="20">
        <v>14</v>
      </c>
      <c r="BJ14" s="20">
        <v>0</v>
      </c>
      <c r="BK14" s="20">
        <v>0</v>
      </c>
      <c r="BL14" s="20">
        <v>565</v>
      </c>
      <c r="BM14" s="20">
        <v>35</v>
      </c>
      <c r="BN14" s="20">
        <v>12</v>
      </c>
      <c r="BO14" s="20">
        <v>0</v>
      </c>
      <c r="BP14" s="20">
        <v>0</v>
      </c>
      <c r="BQ14" s="20">
        <v>49</v>
      </c>
      <c r="BR14" s="20">
        <v>15</v>
      </c>
      <c r="BS14" s="20">
        <v>0</v>
      </c>
      <c r="BT14" s="20">
        <v>0</v>
      </c>
      <c r="BU14" s="20">
        <v>0</v>
      </c>
      <c r="BV14" s="20">
        <v>0</v>
      </c>
      <c r="BW14" s="20">
        <v>175</v>
      </c>
      <c r="BX14" s="20">
        <v>0</v>
      </c>
      <c r="BY14" s="20">
        <v>0</v>
      </c>
      <c r="BZ14" s="20">
        <v>0</v>
      </c>
      <c r="CA14" s="20">
        <v>66</v>
      </c>
      <c r="CB14" s="20">
        <v>7</v>
      </c>
      <c r="CC14" s="20">
        <v>0</v>
      </c>
      <c r="CD14" s="20">
        <v>0</v>
      </c>
      <c r="CE14" s="20">
        <v>0</v>
      </c>
      <c r="CF14" s="20">
        <v>71</v>
      </c>
      <c r="CG14" s="20">
        <v>28</v>
      </c>
      <c r="CH14" s="20">
        <v>95</v>
      </c>
      <c r="CI14" s="20">
        <v>0</v>
      </c>
      <c r="CJ14" s="20">
        <v>0</v>
      </c>
      <c r="CK14" s="20">
        <v>2</v>
      </c>
      <c r="CL14" s="20">
        <v>0</v>
      </c>
      <c r="CM14" s="20">
        <v>55</v>
      </c>
      <c r="CN14" s="20">
        <v>0</v>
      </c>
      <c r="CO14" s="20">
        <v>0</v>
      </c>
      <c r="CP14" s="20">
        <v>58</v>
      </c>
      <c r="CQ14" s="20">
        <v>251</v>
      </c>
      <c r="CR14" s="20">
        <v>0</v>
      </c>
      <c r="CS14" s="20">
        <v>0</v>
      </c>
      <c r="CT14" s="20">
        <v>0</v>
      </c>
      <c r="CU14" s="20">
        <v>0</v>
      </c>
      <c r="CV14" s="20">
        <v>0</v>
      </c>
      <c r="CW14" s="20">
        <v>0</v>
      </c>
      <c r="CX14" s="20">
        <v>0</v>
      </c>
      <c r="CY14" s="20">
        <v>0</v>
      </c>
      <c r="CZ14" s="20">
        <v>0</v>
      </c>
      <c r="DA14" s="20">
        <v>0</v>
      </c>
      <c r="DB14" s="20">
        <v>0</v>
      </c>
      <c r="DC14" s="20">
        <v>3</v>
      </c>
      <c r="DD14" s="20">
        <v>0</v>
      </c>
      <c r="DE14" s="20">
        <v>0</v>
      </c>
      <c r="DF14" s="20">
        <v>58</v>
      </c>
      <c r="DG14" s="20">
        <v>0</v>
      </c>
      <c r="DH14" s="20">
        <v>49</v>
      </c>
      <c r="DI14" s="20">
        <v>4</v>
      </c>
      <c r="DJ14" s="20">
        <v>0</v>
      </c>
      <c r="DK14" s="20">
        <v>0</v>
      </c>
      <c r="DL14" s="20">
        <v>0</v>
      </c>
      <c r="DM14" s="20">
        <v>67</v>
      </c>
      <c r="DN14" s="20">
        <v>16</v>
      </c>
      <c r="DO14" s="20">
        <v>13</v>
      </c>
      <c r="DP14" s="20">
        <v>13</v>
      </c>
      <c r="DQ14" s="20">
        <v>0</v>
      </c>
      <c r="DR14" s="89">
        <v>0</v>
      </c>
      <c r="DS14" s="89">
        <v>11</v>
      </c>
      <c r="DT14" s="20">
        <v>17</v>
      </c>
    </row>
    <row r="15" spans="1:124" s="17" customFormat="1" ht="18" customHeight="1" x14ac:dyDescent="0.15">
      <c r="A15" s="78">
        <v>902</v>
      </c>
      <c r="B15" s="78" t="s">
        <v>642</v>
      </c>
      <c r="C15" s="2" t="s">
        <v>643</v>
      </c>
      <c r="D15" s="20">
        <v>1939</v>
      </c>
      <c r="E15" s="20">
        <v>261</v>
      </c>
      <c r="F15" s="20">
        <v>589</v>
      </c>
      <c r="G15" s="20">
        <v>382</v>
      </c>
      <c r="H15" s="20">
        <v>123</v>
      </c>
      <c r="I15" s="20">
        <v>0</v>
      </c>
      <c r="J15" s="20">
        <v>553</v>
      </c>
      <c r="K15" s="20">
        <v>213</v>
      </c>
      <c r="L15" s="20">
        <v>1</v>
      </c>
      <c r="M15" s="20">
        <v>337</v>
      </c>
      <c r="N15" s="20">
        <v>53</v>
      </c>
      <c r="O15" s="20">
        <v>192</v>
      </c>
      <c r="P15" s="20">
        <v>24</v>
      </c>
      <c r="Q15" s="20">
        <v>0</v>
      </c>
      <c r="R15" s="20">
        <v>0</v>
      </c>
      <c r="S15" s="20">
        <v>201</v>
      </c>
      <c r="T15" s="20">
        <v>60</v>
      </c>
      <c r="U15" s="20">
        <v>166</v>
      </c>
      <c r="V15" s="20">
        <v>251</v>
      </c>
      <c r="W15" s="20">
        <v>0</v>
      </c>
      <c r="X15" s="20">
        <v>0</v>
      </c>
      <c r="Y15" s="20">
        <v>317</v>
      </c>
      <c r="Z15" s="20">
        <v>20</v>
      </c>
      <c r="AA15" s="20">
        <v>60</v>
      </c>
      <c r="AB15" s="20">
        <v>7</v>
      </c>
      <c r="AC15" s="20">
        <v>0</v>
      </c>
      <c r="AD15" s="20">
        <v>115</v>
      </c>
      <c r="AE15" s="20">
        <v>993</v>
      </c>
      <c r="AF15" s="20">
        <v>0</v>
      </c>
      <c r="AG15" s="20">
        <v>13</v>
      </c>
      <c r="AH15" s="20">
        <v>36</v>
      </c>
      <c r="AI15" s="20">
        <v>0</v>
      </c>
      <c r="AJ15" s="20">
        <v>0</v>
      </c>
      <c r="AK15" s="20">
        <v>0</v>
      </c>
      <c r="AL15" s="20">
        <v>0</v>
      </c>
      <c r="AM15" s="20">
        <v>9</v>
      </c>
      <c r="AN15" s="20">
        <v>29</v>
      </c>
      <c r="AO15" s="20">
        <v>0</v>
      </c>
      <c r="AP15" s="20">
        <v>0</v>
      </c>
      <c r="AQ15" s="20">
        <v>24</v>
      </c>
      <c r="AR15" s="20">
        <v>0</v>
      </c>
      <c r="AS15" s="20">
        <v>19</v>
      </c>
      <c r="AT15" s="20">
        <v>0</v>
      </c>
      <c r="AU15" s="20">
        <v>0</v>
      </c>
      <c r="AV15" s="20">
        <v>0</v>
      </c>
      <c r="AW15" s="20">
        <v>0</v>
      </c>
      <c r="AX15" s="20">
        <v>0</v>
      </c>
      <c r="AY15" s="20">
        <v>0</v>
      </c>
      <c r="AZ15" s="20">
        <v>0</v>
      </c>
      <c r="BA15" s="20">
        <v>0</v>
      </c>
      <c r="BB15" s="20">
        <v>0</v>
      </c>
      <c r="BC15" s="20">
        <v>0</v>
      </c>
      <c r="BD15" s="20">
        <v>0</v>
      </c>
      <c r="BE15" s="20">
        <v>0</v>
      </c>
      <c r="BF15" s="20">
        <v>126</v>
      </c>
      <c r="BG15" s="20">
        <v>0</v>
      </c>
      <c r="BH15" s="20">
        <v>0</v>
      </c>
      <c r="BI15" s="20">
        <v>24</v>
      </c>
      <c r="BJ15" s="20">
        <v>0</v>
      </c>
      <c r="BK15" s="20">
        <v>0</v>
      </c>
      <c r="BL15" s="20">
        <v>1351</v>
      </c>
      <c r="BM15" s="20">
        <v>25</v>
      </c>
      <c r="BN15" s="20">
        <v>0</v>
      </c>
      <c r="BO15" s="20">
        <v>0</v>
      </c>
      <c r="BP15" s="20">
        <v>0</v>
      </c>
      <c r="BQ15" s="20">
        <v>72</v>
      </c>
      <c r="BR15" s="20">
        <v>102</v>
      </c>
      <c r="BS15" s="20">
        <v>0</v>
      </c>
      <c r="BT15" s="20">
        <v>0</v>
      </c>
      <c r="BU15" s="20">
        <v>0</v>
      </c>
      <c r="BV15" s="20">
        <v>0</v>
      </c>
      <c r="BW15" s="20">
        <v>202</v>
      </c>
      <c r="BX15" s="20">
        <v>27</v>
      </c>
      <c r="BY15" s="20">
        <v>0</v>
      </c>
      <c r="BZ15" s="20">
        <v>0</v>
      </c>
      <c r="CA15" s="20">
        <v>63</v>
      </c>
      <c r="CB15" s="20">
        <v>0</v>
      </c>
      <c r="CC15" s="20">
        <v>0</v>
      </c>
      <c r="CD15" s="20">
        <v>0</v>
      </c>
      <c r="CE15" s="20">
        <v>0</v>
      </c>
      <c r="CF15" s="20">
        <v>34</v>
      </c>
      <c r="CG15" s="20">
        <v>15</v>
      </c>
      <c r="CH15" s="20">
        <v>76</v>
      </c>
      <c r="CI15" s="20">
        <v>0</v>
      </c>
      <c r="CJ15" s="20">
        <v>0</v>
      </c>
      <c r="CK15" s="20">
        <v>0</v>
      </c>
      <c r="CL15" s="20">
        <v>0</v>
      </c>
      <c r="CM15" s="20">
        <v>39</v>
      </c>
      <c r="CN15" s="20">
        <v>0</v>
      </c>
      <c r="CO15" s="20">
        <v>0</v>
      </c>
      <c r="CP15" s="20">
        <v>128</v>
      </c>
      <c r="CQ15" s="20">
        <v>110</v>
      </c>
      <c r="CR15" s="20">
        <v>0</v>
      </c>
      <c r="CS15" s="20">
        <v>0</v>
      </c>
      <c r="CT15" s="20">
        <v>0</v>
      </c>
      <c r="CU15" s="20">
        <v>0</v>
      </c>
      <c r="CV15" s="20">
        <v>0</v>
      </c>
      <c r="CW15" s="20">
        <v>0</v>
      </c>
      <c r="CX15" s="20">
        <v>0</v>
      </c>
      <c r="CY15" s="20">
        <v>1</v>
      </c>
      <c r="CZ15" s="20">
        <v>0</v>
      </c>
      <c r="DA15" s="20">
        <v>0</v>
      </c>
      <c r="DB15" s="20">
        <v>0</v>
      </c>
      <c r="DC15" s="20">
        <v>1</v>
      </c>
      <c r="DD15" s="20">
        <v>0</v>
      </c>
      <c r="DE15" s="20">
        <v>0</v>
      </c>
      <c r="DF15" s="20">
        <v>58</v>
      </c>
      <c r="DG15" s="20">
        <v>0</v>
      </c>
      <c r="DH15" s="20">
        <v>38</v>
      </c>
      <c r="DI15" s="20">
        <v>12</v>
      </c>
      <c r="DJ15" s="20">
        <v>0</v>
      </c>
      <c r="DK15" s="20">
        <v>0</v>
      </c>
      <c r="DL15" s="20">
        <v>0</v>
      </c>
      <c r="DM15" s="20">
        <v>141</v>
      </c>
      <c r="DN15" s="20">
        <v>44</v>
      </c>
      <c r="DO15" s="20">
        <v>31</v>
      </c>
      <c r="DP15" s="20">
        <v>22</v>
      </c>
      <c r="DQ15" s="20">
        <v>0</v>
      </c>
      <c r="DR15" s="89">
        <v>0</v>
      </c>
      <c r="DS15" s="89">
        <v>0</v>
      </c>
      <c r="DT15" s="20">
        <v>66</v>
      </c>
    </row>
    <row r="16" spans="1:124" s="17" customFormat="1" ht="18" hidden="1" customHeight="1" x14ac:dyDescent="0.15">
      <c r="A16" s="78"/>
      <c r="B16" s="78"/>
      <c r="C16" s="2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89"/>
      <c r="DS16" s="89"/>
      <c r="DT16" s="20"/>
    </row>
    <row r="17" spans="1:124" s="17" customFormat="1" ht="18" hidden="1" customHeight="1" x14ac:dyDescent="0.15">
      <c r="A17" s="20"/>
      <c r="B17" s="20"/>
      <c r="C17" s="2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89"/>
      <c r="DS17" s="89"/>
      <c r="DT17" s="20"/>
    </row>
    <row r="18" spans="1:124" s="17" customFormat="1" ht="18" hidden="1" customHeight="1" x14ac:dyDescent="0.15">
      <c r="A18" s="20"/>
      <c r="B18" s="20"/>
      <c r="C18" s="2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89"/>
      <c r="DS18" s="89"/>
      <c r="DT18" s="20"/>
    </row>
    <row r="19" spans="1:124" s="17" customFormat="1" ht="18" hidden="1" customHeight="1" x14ac:dyDescent="0.15">
      <c r="A19" s="20"/>
      <c r="B19" s="20"/>
      <c r="C19" s="2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89"/>
      <c r="DS19" s="89"/>
      <c r="DT19" s="20"/>
    </row>
    <row r="20" spans="1:124" s="17" customFormat="1" ht="18" hidden="1" customHeight="1" x14ac:dyDescent="0.15">
      <c r="A20" s="20"/>
      <c r="B20" s="20"/>
      <c r="C20" s="2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89"/>
      <c r="DS20" s="89"/>
      <c r="DT20" s="20"/>
    </row>
    <row r="21" spans="1:124" s="17" customFormat="1" ht="18" hidden="1" customHeight="1" x14ac:dyDescent="0.15">
      <c r="A21" s="20"/>
      <c r="B21" s="20"/>
      <c r="C21" s="2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20"/>
      <c r="CT21" s="20"/>
      <c r="CU21" s="20"/>
      <c r="CV21" s="20"/>
      <c r="CW21" s="20"/>
      <c r="CX21" s="20"/>
      <c r="CY21" s="20"/>
      <c r="CZ21" s="20"/>
      <c r="DA21" s="20"/>
      <c r="DB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89"/>
      <c r="DS21" s="89"/>
      <c r="DT21" s="20"/>
    </row>
    <row r="22" spans="1:124" s="17" customFormat="1" ht="18" hidden="1" customHeight="1" x14ac:dyDescent="0.15">
      <c r="A22" s="20"/>
      <c r="B22" s="20"/>
      <c r="C22" s="2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89"/>
      <c r="DS22" s="89"/>
      <c r="DT22" s="20"/>
    </row>
    <row r="23" spans="1:124" s="17" customFormat="1" ht="18" hidden="1" customHeight="1" x14ac:dyDescent="0.15">
      <c r="A23" s="20"/>
      <c r="B23" s="20"/>
      <c r="C23" s="2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89"/>
      <c r="DS23" s="89"/>
      <c r="DT23" s="20"/>
    </row>
    <row r="24" spans="1:124" s="17" customFormat="1" ht="18" hidden="1" customHeight="1" x14ac:dyDescent="0.15">
      <c r="A24" s="20"/>
      <c r="B24" s="20"/>
      <c r="C24" s="2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89"/>
      <c r="DS24" s="89"/>
      <c r="DT24" s="20"/>
    </row>
    <row r="25" spans="1:124" s="17" customFormat="1" ht="18" hidden="1" customHeight="1" x14ac:dyDescent="0.15">
      <c r="A25" s="20"/>
      <c r="B25" s="20"/>
      <c r="C25" s="2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89"/>
      <c r="DS25" s="89"/>
      <c r="DT25" s="20"/>
    </row>
    <row r="26" spans="1:124" s="17" customFormat="1" ht="18" hidden="1" customHeight="1" x14ac:dyDescent="0.15">
      <c r="A26" s="20"/>
      <c r="B26" s="20"/>
      <c r="C26" s="2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89"/>
      <c r="DS26" s="89"/>
      <c r="DT26" s="20"/>
    </row>
    <row r="27" spans="1:124" s="17" customFormat="1" ht="18" hidden="1" customHeight="1" x14ac:dyDescent="0.15">
      <c r="A27" s="20"/>
      <c r="B27" s="20"/>
      <c r="C27" s="2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89"/>
      <c r="DS27" s="89"/>
      <c r="DT27" s="20"/>
    </row>
    <row r="28" spans="1:124" s="17" customFormat="1" ht="18" hidden="1" customHeight="1" x14ac:dyDescent="0.15">
      <c r="A28" s="20"/>
      <c r="B28" s="20"/>
      <c r="C28" s="2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89"/>
      <c r="DS28" s="89"/>
      <c r="DT28" s="20"/>
    </row>
    <row r="29" spans="1:124" s="24" customFormat="1" ht="18" customHeight="1" x14ac:dyDescent="0.2">
      <c r="A29" s="38"/>
      <c r="B29" s="199" t="s">
        <v>201</v>
      </c>
      <c r="C29" s="199"/>
      <c r="D29" s="27">
        <f t="shared" ref="D29:BO29" si="0">SUM(D4:D28)</f>
        <v>38626</v>
      </c>
      <c r="E29" s="23">
        <f t="shared" si="0"/>
        <v>3713</v>
      </c>
      <c r="F29" s="23">
        <f t="shared" si="0"/>
        <v>12623</v>
      </c>
      <c r="G29" s="23">
        <f t="shared" si="0"/>
        <v>9247</v>
      </c>
      <c r="H29" s="23">
        <f t="shared" si="0"/>
        <v>2374</v>
      </c>
      <c r="I29" s="23">
        <f t="shared" si="0"/>
        <v>0</v>
      </c>
      <c r="J29" s="23">
        <f t="shared" si="0"/>
        <v>13458</v>
      </c>
      <c r="K29" s="23">
        <f t="shared" si="0"/>
        <v>4805</v>
      </c>
      <c r="L29" s="23">
        <f t="shared" si="0"/>
        <v>480</v>
      </c>
      <c r="M29" s="23">
        <f t="shared" si="0"/>
        <v>4397</v>
      </c>
      <c r="N29" s="23">
        <f t="shared" si="0"/>
        <v>840</v>
      </c>
      <c r="O29" s="23">
        <f t="shared" si="0"/>
        <v>7137</v>
      </c>
      <c r="P29" s="23">
        <f t="shared" si="0"/>
        <v>287</v>
      </c>
      <c r="Q29" s="23">
        <f t="shared" si="0"/>
        <v>0</v>
      </c>
      <c r="R29" s="23">
        <f t="shared" si="0"/>
        <v>0</v>
      </c>
      <c r="S29" s="23">
        <f t="shared" si="0"/>
        <v>2879</v>
      </c>
      <c r="T29" s="23">
        <f t="shared" si="0"/>
        <v>1145</v>
      </c>
      <c r="U29" s="23">
        <f t="shared" si="0"/>
        <v>3027</v>
      </c>
      <c r="V29" s="23">
        <f t="shared" si="0"/>
        <v>6650</v>
      </c>
      <c r="W29" s="23">
        <f t="shared" si="0"/>
        <v>0</v>
      </c>
      <c r="X29" s="23">
        <f t="shared" si="0"/>
        <v>0</v>
      </c>
      <c r="Y29" s="23">
        <f t="shared" si="0"/>
        <v>4095</v>
      </c>
      <c r="Z29" s="23">
        <f t="shared" si="0"/>
        <v>746</v>
      </c>
      <c r="AA29" s="23">
        <f t="shared" si="0"/>
        <v>719</v>
      </c>
      <c r="AB29" s="23">
        <f t="shared" si="0"/>
        <v>74</v>
      </c>
      <c r="AC29" s="23">
        <f t="shared" si="0"/>
        <v>0</v>
      </c>
      <c r="AD29" s="23">
        <f t="shared" si="0"/>
        <v>1032</v>
      </c>
      <c r="AE29" s="23">
        <f t="shared" si="0"/>
        <v>25507</v>
      </c>
      <c r="AF29" s="23">
        <f t="shared" si="0"/>
        <v>0</v>
      </c>
      <c r="AG29" s="23">
        <f t="shared" si="0"/>
        <v>87</v>
      </c>
      <c r="AH29" s="23">
        <f t="shared" si="0"/>
        <v>512</v>
      </c>
      <c r="AI29" s="23">
        <f t="shared" si="0"/>
        <v>0</v>
      </c>
      <c r="AJ29" s="23">
        <f t="shared" si="0"/>
        <v>0</v>
      </c>
      <c r="AK29" s="23">
        <f t="shared" si="0"/>
        <v>0</v>
      </c>
      <c r="AL29" s="23">
        <f t="shared" si="0"/>
        <v>0</v>
      </c>
      <c r="AM29" s="23">
        <f t="shared" si="0"/>
        <v>116</v>
      </c>
      <c r="AN29" s="23">
        <f t="shared" si="0"/>
        <v>1112</v>
      </c>
      <c r="AO29" s="23">
        <f t="shared" si="0"/>
        <v>0</v>
      </c>
      <c r="AP29" s="23">
        <f t="shared" si="0"/>
        <v>0</v>
      </c>
      <c r="AQ29" s="23">
        <f t="shared" si="0"/>
        <v>186</v>
      </c>
      <c r="AR29" s="23">
        <f t="shared" si="0"/>
        <v>1</v>
      </c>
      <c r="AS29" s="23">
        <f t="shared" si="0"/>
        <v>140</v>
      </c>
      <c r="AT29" s="23">
        <f t="shared" si="0"/>
        <v>0</v>
      </c>
      <c r="AU29" s="23">
        <f t="shared" si="0"/>
        <v>288</v>
      </c>
      <c r="AV29" s="23">
        <f t="shared" si="0"/>
        <v>0</v>
      </c>
      <c r="AW29" s="23">
        <f t="shared" si="0"/>
        <v>0</v>
      </c>
      <c r="AX29" s="23">
        <f t="shared" si="0"/>
        <v>0</v>
      </c>
      <c r="AY29" s="23">
        <f t="shared" si="0"/>
        <v>0</v>
      </c>
      <c r="AZ29" s="23">
        <f t="shared" si="0"/>
        <v>0</v>
      </c>
      <c r="BA29" s="23">
        <f t="shared" si="0"/>
        <v>0</v>
      </c>
      <c r="BB29" s="23">
        <f t="shared" si="0"/>
        <v>0</v>
      </c>
      <c r="BC29" s="23">
        <f t="shared" si="0"/>
        <v>27</v>
      </c>
      <c r="BD29" s="23">
        <f t="shared" si="0"/>
        <v>0</v>
      </c>
      <c r="BE29" s="23">
        <f t="shared" si="0"/>
        <v>0</v>
      </c>
      <c r="BF29" s="23">
        <f t="shared" si="0"/>
        <v>854</v>
      </c>
      <c r="BG29" s="23">
        <f t="shared" si="0"/>
        <v>0</v>
      </c>
      <c r="BH29" s="23">
        <f t="shared" si="0"/>
        <v>0</v>
      </c>
      <c r="BI29" s="23">
        <f t="shared" si="0"/>
        <v>806</v>
      </c>
      <c r="BJ29" s="23">
        <f t="shared" si="0"/>
        <v>0</v>
      </c>
      <c r="BK29" s="23">
        <f t="shared" si="0"/>
        <v>0</v>
      </c>
      <c r="BL29" s="23">
        <f t="shared" si="0"/>
        <v>18292</v>
      </c>
      <c r="BM29" s="23">
        <f t="shared" si="0"/>
        <v>510</v>
      </c>
      <c r="BN29" s="23">
        <f t="shared" si="0"/>
        <v>124</v>
      </c>
      <c r="BO29" s="23">
        <f t="shared" si="0"/>
        <v>0</v>
      </c>
      <c r="BP29" s="23">
        <f t="shared" ref="BP29:DS29" si="1">SUM(BP4:BP28)</f>
        <v>0</v>
      </c>
      <c r="BQ29" s="23">
        <f t="shared" si="1"/>
        <v>1360</v>
      </c>
      <c r="BR29" s="23">
        <f t="shared" si="1"/>
        <v>1105</v>
      </c>
      <c r="BS29" s="23">
        <f t="shared" si="1"/>
        <v>0</v>
      </c>
      <c r="BT29" s="23">
        <f t="shared" si="1"/>
        <v>0</v>
      </c>
      <c r="BU29" s="23">
        <f t="shared" si="1"/>
        <v>0</v>
      </c>
      <c r="BV29" s="23">
        <f t="shared" si="1"/>
        <v>0</v>
      </c>
      <c r="BW29" s="23">
        <f t="shared" si="1"/>
        <v>3721</v>
      </c>
      <c r="BX29" s="23">
        <f t="shared" si="1"/>
        <v>217</v>
      </c>
      <c r="BY29" s="23">
        <f t="shared" si="1"/>
        <v>0</v>
      </c>
      <c r="BZ29" s="23">
        <f t="shared" si="1"/>
        <v>0</v>
      </c>
      <c r="CA29" s="23">
        <f t="shared" si="1"/>
        <v>797</v>
      </c>
      <c r="CB29" s="23">
        <f t="shared" si="1"/>
        <v>113</v>
      </c>
      <c r="CC29" s="23">
        <f t="shared" si="1"/>
        <v>0</v>
      </c>
      <c r="CD29" s="23">
        <f t="shared" si="1"/>
        <v>0</v>
      </c>
      <c r="CE29" s="23">
        <f t="shared" si="1"/>
        <v>0</v>
      </c>
      <c r="CF29" s="23">
        <f t="shared" si="1"/>
        <v>1089</v>
      </c>
      <c r="CG29" s="23">
        <f t="shared" si="1"/>
        <v>648</v>
      </c>
      <c r="CH29" s="23">
        <f t="shared" si="1"/>
        <v>2129</v>
      </c>
      <c r="CI29" s="23">
        <f t="shared" si="1"/>
        <v>0</v>
      </c>
      <c r="CJ29" s="23">
        <f t="shared" si="1"/>
        <v>0</v>
      </c>
      <c r="CK29" s="23">
        <f t="shared" si="1"/>
        <v>14</v>
      </c>
      <c r="CL29" s="23">
        <f t="shared" si="1"/>
        <v>0</v>
      </c>
      <c r="CM29" s="23">
        <f t="shared" si="1"/>
        <v>1481</v>
      </c>
      <c r="CN29" s="23">
        <f t="shared" si="1"/>
        <v>0</v>
      </c>
      <c r="CO29" s="23">
        <f t="shared" si="1"/>
        <v>0</v>
      </c>
      <c r="CP29" s="23">
        <f t="shared" si="1"/>
        <v>2018</v>
      </c>
      <c r="CQ29" s="23">
        <f t="shared" si="1"/>
        <v>5088</v>
      </c>
      <c r="CR29" s="23">
        <f t="shared" si="1"/>
        <v>7</v>
      </c>
      <c r="CS29" s="23">
        <f t="shared" si="1"/>
        <v>18</v>
      </c>
      <c r="CT29" s="23">
        <f t="shared" si="1"/>
        <v>32</v>
      </c>
      <c r="CU29" s="23">
        <f t="shared" si="1"/>
        <v>0</v>
      </c>
      <c r="CV29" s="23">
        <f t="shared" si="1"/>
        <v>186</v>
      </c>
      <c r="CW29" s="23">
        <f t="shared" si="1"/>
        <v>67</v>
      </c>
      <c r="CX29" s="23">
        <f t="shared" si="1"/>
        <v>0</v>
      </c>
      <c r="CY29" s="23">
        <f t="shared" si="1"/>
        <v>25</v>
      </c>
      <c r="CZ29" s="23">
        <f t="shared" si="1"/>
        <v>3</v>
      </c>
      <c r="DA29" s="23">
        <f t="shared" si="1"/>
        <v>0</v>
      </c>
      <c r="DB29" s="23">
        <f t="shared" si="1"/>
        <v>0</v>
      </c>
      <c r="DC29" s="23">
        <f t="shared" si="1"/>
        <v>26</v>
      </c>
      <c r="DD29" s="23">
        <f t="shared" si="1"/>
        <v>0</v>
      </c>
      <c r="DE29" s="23">
        <f t="shared" si="1"/>
        <v>0</v>
      </c>
      <c r="DF29" s="23">
        <f>SUM(DF4:DF28)</f>
        <v>824</v>
      </c>
      <c r="DG29" s="23">
        <f t="shared" si="1"/>
        <v>29</v>
      </c>
      <c r="DH29" s="23">
        <f t="shared" si="1"/>
        <v>1343</v>
      </c>
      <c r="DI29" s="23">
        <f t="shared" si="1"/>
        <v>187</v>
      </c>
      <c r="DJ29" s="23">
        <f t="shared" si="1"/>
        <v>0</v>
      </c>
      <c r="DK29" s="23">
        <f t="shared" si="1"/>
        <v>0</v>
      </c>
      <c r="DL29" s="23">
        <f t="shared" si="1"/>
        <v>5</v>
      </c>
      <c r="DM29" s="23">
        <f t="shared" si="1"/>
        <v>2044</v>
      </c>
      <c r="DN29" s="23">
        <f t="shared" si="1"/>
        <v>805</v>
      </c>
      <c r="DO29" s="23">
        <f t="shared" si="1"/>
        <v>654</v>
      </c>
      <c r="DP29" s="23">
        <f t="shared" si="1"/>
        <v>251</v>
      </c>
      <c r="DQ29" s="23">
        <f t="shared" si="1"/>
        <v>0</v>
      </c>
      <c r="DR29" s="93">
        <f t="shared" si="1"/>
        <v>0</v>
      </c>
      <c r="DS29" s="93">
        <f t="shared" si="1"/>
        <v>13</v>
      </c>
      <c r="DT29" s="93">
        <f>SUM(DT4:DT28)</f>
        <v>604</v>
      </c>
    </row>
    <row r="30" spans="1:124" ht="13.5" x14ac:dyDescent="0.15">
      <c r="D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24"/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</row>
    <row r="31" spans="1:124" ht="13.5" x14ac:dyDescent="0.15">
      <c r="D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</row>
    <row r="32" spans="1:124" ht="14.25" x14ac:dyDescent="0.2">
      <c r="D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83" t="s">
        <v>689</v>
      </c>
      <c r="DP32" s="3">
        <v>6</v>
      </c>
    </row>
    <row r="33" spans="4:120" ht="14.25" x14ac:dyDescent="0.2">
      <c r="D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24"/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83" t="s">
        <v>690</v>
      </c>
      <c r="DP33" s="3">
        <v>10</v>
      </c>
    </row>
    <row r="34" spans="4:120" ht="18" customHeight="1" x14ac:dyDescent="0.2">
      <c r="DO34" s="83" t="s">
        <v>691</v>
      </c>
      <c r="DP34" s="3">
        <v>19</v>
      </c>
    </row>
    <row r="35" spans="4:120" ht="18" customHeight="1" x14ac:dyDescent="0.2">
      <c r="DO35" s="83" t="s">
        <v>692</v>
      </c>
      <c r="DP35" s="3">
        <v>11</v>
      </c>
    </row>
    <row r="36" spans="4:120" ht="18" customHeight="1" x14ac:dyDescent="0.2">
      <c r="DO36" s="83" t="s">
        <v>693</v>
      </c>
      <c r="DP36" s="3">
        <v>4</v>
      </c>
    </row>
    <row r="37" spans="4:120" ht="18" customHeight="1" x14ac:dyDescent="0.2">
      <c r="DO37" s="83" t="s">
        <v>694</v>
      </c>
      <c r="DP37" s="3">
        <v>23</v>
      </c>
    </row>
    <row r="38" spans="4:120" ht="18" customHeight="1" x14ac:dyDescent="0.2">
      <c r="DO38" s="83" t="s">
        <v>695</v>
      </c>
      <c r="DP38" s="3">
        <v>5</v>
      </c>
    </row>
    <row r="39" spans="4:120" ht="18" customHeight="1" x14ac:dyDescent="0.2">
      <c r="DO39" s="83" t="s">
        <v>696</v>
      </c>
      <c r="DP39" s="3">
        <v>13</v>
      </c>
    </row>
    <row r="40" spans="4:120" ht="18" customHeight="1" x14ac:dyDescent="0.2">
      <c r="DO40" s="83" t="s">
        <v>697</v>
      </c>
      <c r="DP40" s="3">
        <v>5</v>
      </c>
    </row>
    <row r="41" spans="4:120" ht="18" customHeight="1" x14ac:dyDescent="0.2">
      <c r="DO41" s="83" t="s">
        <v>698</v>
      </c>
      <c r="DP41" s="3">
        <v>13</v>
      </c>
    </row>
    <row r="42" spans="4:120" ht="18" customHeight="1" x14ac:dyDescent="0.2">
      <c r="DO42" s="83" t="s">
        <v>699</v>
      </c>
      <c r="DP42" s="3">
        <v>6</v>
      </c>
    </row>
    <row r="43" spans="4:120" ht="18" customHeight="1" x14ac:dyDescent="0.2">
      <c r="DO43" s="83" t="s">
        <v>700</v>
      </c>
      <c r="DP43" s="3">
        <v>11</v>
      </c>
    </row>
  </sheetData>
  <mergeCells count="2">
    <mergeCell ref="B29:C29"/>
    <mergeCell ref="A1:C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99606-63E4-45D2-A3BF-6E23DDAF7F46}">
  <sheetPr codeName="Sheet4" filterMode="1"/>
  <dimension ref="A1:Y3110"/>
  <sheetViews>
    <sheetView topLeftCell="E1" workbookViewId="0">
      <selection activeCell="G1407" sqref="G1407"/>
    </sheetView>
  </sheetViews>
  <sheetFormatPr defaultRowHeight="14.25" x14ac:dyDescent="0.2"/>
  <cols>
    <col min="1" max="1" width="38" style="83" bestFit="1" customWidth="1"/>
    <col min="2" max="2" width="16.125" style="3" customWidth="1"/>
    <col min="3" max="3" width="11.625" style="3" customWidth="1"/>
    <col min="4" max="4" width="7.5" style="3" customWidth="1"/>
    <col min="5" max="6" width="9" style="3" customWidth="1"/>
    <col min="7" max="7" width="25.5" style="70" bestFit="1" customWidth="1"/>
    <col min="8" max="8" width="9.125" style="3" customWidth="1"/>
    <col min="9" max="9" width="5.25" style="3" customWidth="1"/>
    <col min="10" max="10" width="9.5" style="3" customWidth="1"/>
    <col min="11" max="11" width="8.5" style="3" customWidth="1"/>
    <col min="12" max="12" width="11.625" style="3" bestFit="1" customWidth="1"/>
    <col min="13" max="13" width="9.625" style="3" bestFit="1" customWidth="1"/>
    <col min="14" max="14" width="10.5" style="3" bestFit="1" customWidth="1"/>
    <col min="15" max="15" width="9.5" style="70" bestFit="1" customWidth="1"/>
    <col min="16" max="16" width="9.5" style="3" bestFit="1" customWidth="1"/>
    <col min="17" max="17" width="8" style="3" bestFit="1" customWidth="1"/>
    <col min="18" max="18" width="11.625" style="3" bestFit="1" customWidth="1"/>
    <col min="19" max="19" width="9.5" style="3" bestFit="1" customWidth="1"/>
    <col min="20" max="21" width="9.625" style="3" bestFit="1" customWidth="1"/>
    <col min="22" max="22" width="13" style="70" bestFit="1" customWidth="1"/>
    <col min="23" max="23" width="35.625" style="3" bestFit="1" customWidth="1"/>
    <col min="26" max="256" width="9" style="3"/>
    <col min="257" max="257" width="24.125" style="3" customWidth="1"/>
    <col min="258" max="258" width="13.125" style="3" customWidth="1"/>
    <col min="259" max="259" width="9.625" style="3" bestFit="1" customWidth="1"/>
    <col min="260" max="262" width="10.25" style="3" customWidth="1"/>
    <col min="263" max="263" width="14.25" style="3" customWidth="1"/>
    <col min="264" max="264" width="11.25" style="3" customWidth="1"/>
    <col min="265" max="265" width="10.25" style="3" customWidth="1"/>
    <col min="266" max="266" width="12.25" style="3" customWidth="1"/>
    <col min="267" max="268" width="13.125" style="3" customWidth="1"/>
    <col min="269" max="270" width="12.25" style="3" customWidth="1"/>
    <col min="271" max="272" width="11.375" style="3" customWidth="1"/>
    <col min="273" max="277" width="10.25" style="3" customWidth="1"/>
    <col min="278" max="278" width="11.375" style="3" customWidth="1"/>
    <col min="279" max="279" width="31.5" style="3" customWidth="1"/>
    <col min="280" max="281" width="10.25" style="3" customWidth="1"/>
    <col min="282" max="512" width="9" style="3"/>
    <col min="513" max="513" width="24.125" style="3" customWidth="1"/>
    <col min="514" max="514" width="13.125" style="3" customWidth="1"/>
    <col min="515" max="515" width="9.625" style="3" bestFit="1" customWidth="1"/>
    <col min="516" max="518" width="10.25" style="3" customWidth="1"/>
    <col min="519" max="519" width="14.25" style="3" customWidth="1"/>
    <col min="520" max="520" width="11.25" style="3" customWidth="1"/>
    <col min="521" max="521" width="10.25" style="3" customWidth="1"/>
    <col min="522" max="522" width="12.25" style="3" customWidth="1"/>
    <col min="523" max="524" width="13.125" style="3" customWidth="1"/>
    <col min="525" max="526" width="12.25" style="3" customWidth="1"/>
    <col min="527" max="528" width="11.375" style="3" customWidth="1"/>
    <col min="529" max="533" width="10.25" style="3" customWidth="1"/>
    <col min="534" max="534" width="11.375" style="3" customWidth="1"/>
    <col min="535" max="535" width="31.5" style="3" customWidth="1"/>
    <col min="536" max="537" width="10.25" style="3" customWidth="1"/>
    <col min="538" max="768" width="9" style="3"/>
    <col min="769" max="769" width="24.125" style="3" customWidth="1"/>
    <col min="770" max="770" width="13.125" style="3" customWidth="1"/>
    <col min="771" max="771" width="9.625" style="3" bestFit="1" customWidth="1"/>
    <col min="772" max="774" width="10.25" style="3" customWidth="1"/>
    <col min="775" max="775" width="14.25" style="3" customWidth="1"/>
    <col min="776" max="776" width="11.25" style="3" customWidth="1"/>
    <col min="777" max="777" width="10.25" style="3" customWidth="1"/>
    <col min="778" max="778" width="12.25" style="3" customWidth="1"/>
    <col min="779" max="780" width="13.125" style="3" customWidth="1"/>
    <col min="781" max="782" width="12.25" style="3" customWidth="1"/>
    <col min="783" max="784" width="11.375" style="3" customWidth="1"/>
    <col min="785" max="789" width="10.25" style="3" customWidth="1"/>
    <col min="790" max="790" width="11.375" style="3" customWidth="1"/>
    <col min="791" max="791" width="31.5" style="3" customWidth="1"/>
    <col min="792" max="793" width="10.25" style="3" customWidth="1"/>
    <col min="794" max="1024" width="9" style="3"/>
    <col min="1025" max="1025" width="24.125" style="3" customWidth="1"/>
    <col min="1026" max="1026" width="13.125" style="3" customWidth="1"/>
    <col min="1027" max="1027" width="9.625" style="3" bestFit="1" customWidth="1"/>
    <col min="1028" max="1030" width="10.25" style="3" customWidth="1"/>
    <col min="1031" max="1031" width="14.25" style="3" customWidth="1"/>
    <col min="1032" max="1032" width="11.25" style="3" customWidth="1"/>
    <col min="1033" max="1033" width="10.25" style="3" customWidth="1"/>
    <col min="1034" max="1034" width="12.25" style="3" customWidth="1"/>
    <col min="1035" max="1036" width="13.125" style="3" customWidth="1"/>
    <col min="1037" max="1038" width="12.25" style="3" customWidth="1"/>
    <col min="1039" max="1040" width="11.375" style="3" customWidth="1"/>
    <col min="1041" max="1045" width="10.25" style="3" customWidth="1"/>
    <col min="1046" max="1046" width="11.375" style="3" customWidth="1"/>
    <col min="1047" max="1047" width="31.5" style="3" customWidth="1"/>
    <col min="1048" max="1049" width="10.25" style="3" customWidth="1"/>
    <col min="1050" max="1280" width="9" style="3"/>
    <col min="1281" max="1281" width="24.125" style="3" customWidth="1"/>
    <col min="1282" max="1282" width="13.125" style="3" customWidth="1"/>
    <col min="1283" max="1283" width="9.625" style="3" bestFit="1" customWidth="1"/>
    <col min="1284" max="1286" width="10.25" style="3" customWidth="1"/>
    <col min="1287" max="1287" width="14.25" style="3" customWidth="1"/>
    <col min="1288" max="1288" width="11.25" style="3" customWidth="1"/>
    <col min="1289" max="1289" width="10.25" style="3" customWidth="1"/>
    <col min="1290" max="1290" width="12.25" style="3" customWidth="1"/>
    <col min="1291" max="1292" width="13.125" style="3" customWidth="1"/>
    <col min="1293" max="1294" width="12.25" style="3" customWidth="1"/>
    <col min="1295" max="1296" width="11.375" style="3" customWidth="1"/>
    <col min="1297" max="1301" width="10.25" style="3" customWidth="1"/>
    <col min="1302" max="1302" width="11.375" style="3" customWidth="1"/>
    <col min="1303" max="1303" width="31.5" style="3" customWidth="1"/>
    <col min="1304" max="1305" width="10.25" style="3" customWidth="1"/>
    <col min="1306" max="1536" width="9" style="3"/>
    <col min="1537" max="1537" width="24.125" style="3" customWidth="1"/>
    <col min="1538" max="1538" width="13.125" style="3" customWidth="1"/>
    <col min="1539" max="1539" width="9.625" style="3" bestFit="1" customWidth="1"/>
    <col min="1540" max="1542" width="10.25" style="3" customWidth="1"/>
    <col min="1543" max="1543" width="14.25" style="3" customWidth="1"/>
    <col min="1544" max="1544" width="11.25" style="3" customWidth="1"/>
    <col min="1545" max="1545" width="10.25" style="3" customWidth="1"/>
    <col min="1546" max="1546" width="12.25" style="3" customWidth="1"/>
    <col min="1547" max="1548" width="13.125" style="3" customWidth="1"/>
    <col min="1549" max="1550" width="12.25" style="3" customWidth="1"/>
    <col min="1551" max="1552" width="11.375" style="3" customWidth="1"/>
    <col min="1553" max="1557" width="10.25" style="3" customWidth="1"/>
    <col min="1558" max="1558" width="11.375" style="3" customWidth="1"/>
    <col min="1559" max="1559" width="31.5" style="3" customWidth="1"/>
    <col min="1560" max="1561" width="10.25" style="3" customWidth="1"/>
    <col min="1562" max="1792" width="9" style="3"/>
    <col min="1793" max="1793" width="24.125" style="3" customWidth="1"/>
    <col min="1794" max="1794" width="13.125" style="3" customWidth="1"/>
    <col min="1795" max="1795" width="9.625" style="3" bestFit="1" customWidth="1"/>
    <col min="1796" max="1798" width="10.25" style="3" customWidth="1"/>
    <col min="1799" max="1799" width="14.25" style="3" customWidth="1"/>
    <col min="1800" max="1800" width="11.25" style="3" customWidth="1"/>
    <col min="1801" max="1801" width="10.25" style="3" customWidth="1"/>
    <col min="1802" max="1802" width="12.25" style="3" customWidth="1"/>
    <col min="1803" max="1804" width="13.125" style="3" customWidth="1"/>
    <col min="1805" max="1806" width="12.25" style="3" customWidth="1"/>
    <col min="1807" max="1808" width="11.375" style="3" customWidth="1"/>
    <col min="1809" max="1813" width="10.25" style="3" customWidth="1"/>
    <col min="1814" max="1814" width="11.375" style="3" customWidth="1"/>
    <col min="1815" max="1815" width="31.5" style="3" customWidth="1"/>
    <col min="1816" max="1817" width="10.25" style="3" customWidth="1"/>
    <col min="1818" max="2048" width="9" style="3"/>
    <col min="2049" max="2049" width="24.125" style="3" customWidth="1"/>
    <col min="2050" max="2050" width="13.125" style="3" customWidth="1"/>
    <col min="2051" max="2051" width="9.625" style="3" bestFit="1" customWidth="1"/>
    <col min="2052" max="2054" width="10.25" style="3" customWidth="1"/>
    <col min="2055" max="2055" width="14.25" style="3" customWidth="1"/>
    <col min="2056" max="2056" width="11.25" style="3" customWidth="1"/>
    <col min="2057" max="2057" width="10.25" style="3" customWidth="1"/>
    <col min="2058" max="2058" width="12.25" style="3" customWidth="1"/>
    <col min="2059" max="2060" width="13.125" style="3" customWidth="1"/>
    <col min="2061" max="2062" width="12.25" style="3" customWidth="1"/>
    <col min="2063" max="2064" width="11.375" style="3" customWidth="1"/>
    <col min="2065" max="2069" width="10.25" style="3" customWidth="1"/>
    <col min="2070" max="2070" width="11.375" style="3" customWidth="1"/>
    <col min="2071" max="2071" width="31.5" style="3" customWidth="1"/>
    <col min="2072" max="2073" width="10.25" style="3" customWidth="1"/>
    <col min="2074" max="2304" width="9" style="3"/>
    <col min="2305" max="2305" width="24.125" style="3" customWidth="1"/>
    <col min="2306" max="2306" width="13.125" style="3" customWidth="1"/>
    <col min="2307" max="2307" width="9.625" style="3" bestFit="1" customWidth="1"/>
    <col min="2308" max="2310" width="10.25" style="3" customWidth="1"/>
    <col min="2311" max="2311" width="14.25" style="3" customWidth="1"/>
    <col min="2312" max="2312" width="11.25" style="3" customWidth="1"/>
    <col min="2313" max="2313" width="10.25" style="3" customWidth="1"/>
    <col min="2314" max="2314" width="12.25" style="3" customWidth="1"/>
    <col min="2315" max="2316" width="13.125" style="3" customWidth="1"/>
    <col min="2317" max="2318" width="12.25" style="3" customWidth="1"/>
    <col min="2319" max="2320" width="11.375" style="3" customWidth="1"/>
    <col min="2321" max="2325" width="10.25" style="3" customWidth="1"/>
    <col min="2326" max="2326" width="11.375" style="3" customWidth="1"/>
    <col min="2327" max="2327" width="31.5" style="3" customWidth="1"/>
    <col min="2328" max="2329" width="10.25" style="3" customWidth="1"/>
    <col min="2330" max="2560" width="9" style="3"/>
    <col min="2561" max="2561" width="24.125" style="3" customWidth="1"/>
    <col min="2562" max="2562" width="13.125" style="3" customWidth="1"/>
    <col min="2563" max="2563" width="9.625" style="3" bestFit="1" customWidth="1"/>
    <col min="2564" max="2566" width="10.25" style="3" customWidth="1"/>
    <col min="2567" max="2567" width="14.25" style="3" customWidth="1"/>
    <col min="2568" max="2568" width="11.25" style="3" customWidth="1"/>
    <col min="2569" max="2569" width="10.25" style="3" customWidth="1"/>
    <col min="2570" max="2570" width="12.25" style="3" customWidth="1"/>
    <col min="2571" max="2572" width="13.125" style="3" customWidth="1"/>
    <col min="2573" max="2574" width="12.25" style="3" customWidth="1"/>
    <col min="2575" max="2576" width="11.375" style="3" customWidth="1"/>
    <col min="2577" max="2581" width="10.25" style="3" customWidth="1"/>
    <col min="2582" max="2582" width="11.375" style="3" customWidth="1"/>
    <col min="2583" max="2583" width="31.5" style="3" customWidth="1"/>
    <col min="2584" max="2585" width="10.25" style="3" customWidth="1"/>
    <col min="2586" max="2816" width="9" style="3"/>
    <col min="2817" max="2817" width="24.125" style="3" customWidth="1"/>
    <col min="2818" max="2818" width="13.125" style="3" customWidth="1"/>
    <col min="2819" max="2819" width="9.625" style="3" bestFit="1" customWidth="1"/>
    <col min="2820" max="2822" width="10.25" style="3" customWidth="1"/>
    <col min="2823" max="2823" width="14.25" style="3" customWidth="1"/>
    <col min="2824" max="2824" width="11.25" style="3" customWidth="1"/>
    <col min="2825" max="2825" width="10.25" style="3" customWidth="1"/>
    <col min="2826" max="2826" width="12.25" style="3" customWidth="1"/>
    <col min="2827" max="2828" width="13.125" style="3" customWidth="1"/>
    <col min="2829" max="2830" width="12.25" style="3" customWidth="1"/>
    <col min="2831" max="2832" width="11.375" style="3" customWidth="1"/>
    <col min="2833" max="2837" width="10.25" style="3" customWidth="1"/>
    <col min="2838" max="2838" width="11.375" style="3" customWidth="1"/>
    <col min="2839" max="2839" width="31.5" style="3" customWidth="1"/>
    <col min="2840" max="2841" width="10.25" style="3" customWidth="1"/>
    <col min="2842" max="3072" width="9" style="3"/>
    <col min="3073" max="3073" width="24.125" style="3" customWidth="1"/>
    <col min="3074" max="3074" width="13.125" style="3" customWidth="1"/>
    <col min="3075" max="3075" width="9.625" style="3" bestFit="1" customWidth="1"/>
    <col min="3076" max="3078" width="10.25" style="3" customWidth="1"/>
    <col min="3079" max="3079" width="14.25" style="3" customWidth="1"/>
    <col min="3080" max="3080" width="11.25" style="3" customWidth="1"/>
    <col min="3081" max="3081" width="10.25" style="3" customWidth="1"/>
    <col min="3082" max="3082" width="12.25" style="3" customWidth="1"/>
    <col min="3083" max="3084" width="13.125" style="3" customWidth="1"/>
    <col min="3085" max="3086" width="12.25" style="3" customWidth="1"/>
    <col min="3087" max="3088" width="11.375" style="3" customWidth="1"/>
    <col min="3089" max="3093" width="10.25" style="3" customWidth="1"/>
    <col min="3094" max="3094" width="11.375" style="3" customWidth="1"/>
    <col min="3095" max="3095" width="31.5" style="3" customWidth="1"/>
    <col min="3096" max="3097" width="10.25" style="3" customWidth="1"/>
    <col min="3098" max="3328" width="9" style="3"/>
    <col min="3329" max="3329" width="24.125" style="3" customWidth="1"/>
    <col min="3330" max="3330" width="13.125" style="3" customWidth="1"/>
    <col min="3331" max="3331" width="9.625" style="3" bestFit="1" customWidth="1"/>
    <col min="3332" max="3334" width="10.25" style="3" customWidth="1"/>
    <col min="3335" max="3335" width="14.25" style="3" customWidth="1"/>
    <col min="3336" max="3336" width="11.25" style="3" customWidth="1"/>
    <col min="3337" max="3337" width="10.25" style="3" customWidth="1"/>
    <col min="3338" max="3338" width="12.25" style="3" customWidth="1"/>
    <col min="3339" max="3340" width="13.125" style="3" customWidth="1"/>
    <col min="3341" max="3342" width="12.25" style="3" customWidth="1"/>
    <col min="3343" max="3344" width="11.375" style="3" customWidth="1"/>
    <col min="3345" max="3349" width="10.25" style="3" customWidth="1"/>
    <col min="3350" max="3350" width="11.375" style="3" customWidth="1"/>
    <col min="3351" max="3351" width="31.5" style="3" customWidth="1"/>
    <col min="3352" max="3353" width="10.25" style="3" customWidth="1"/>
    <col min="3354" max="3584" width="9" style="3"/>
    <col min="3585" max="3585" width="24.125" style="3" customWidth="1"/>
    <col min="3586" max="3586" width="13.125" style="3" customWidth="1"/>
    <col min="3587" max="3587" width="9.625" style="3" bestFit="1" customWidth="1"/>
    <col min="3588" max="3590" width="10.25" style="3" customWidth="1"/>
    <col min="3591" max="3591" width="14.25" style="3" customWidth="1"/>
    <col min="3592" max="3592" width="11.25" style="3" customWidth="1"/>
    <col min="3593" max="3593" width="10.25" style="3" customWidth="1"/>
    <col min="3594" max="3594" width="12.25" style="3" customWidth="1"/>
    <col min="3595" max="3596" width="13.125" style="3" customWidth="1"/>
    <col min="3597" max="3598" width="12.25" style="3" customWidth="1"/>
    <col min="3599" max="3600" width="11.375" style="3" customWidth="1"/>
    <col min="3601" max="3605" width="10.25" style="3" customWidth="1"/>
    <col min="3606" max="3606" width="11.375" style="3" customWidth="1"/>
    <col min="3607" max="3607" width="31.5" style="3" customWidth="1"/>
    <col min="3608" max="3609" width="10.25" style="3" customWidth="1"/>
    <col min="3610" max="3840" width="9" style="3"/>
    <col min="3841" max="3841" width="24.125" style="3" customWidth="1"/>
    <col min="3842" max="3842" width="13.125" style="3" customWidth="1"/>
    <col min="3843" max="3843" width="9.625" style="3" bestFit="1" customWidth="1"/>
    <col min="3844" max="3846" width="10.25" style="3" customWidth="1"/>
    <col min="3847" max="3847" width="14.25" style="3" customWidth="1"/>
    <col min="3848" max="3848" width="11.25" style="3" customWidth="1"/>
    <col min="3849" max="3849" width="10.25" style="3" customWidth="1"/>
    <col min="3850" max="3850" width="12.25" style="3" customWidth="1"/>
    <col min="3851" max="3852" width="13.125" style="3" customWidth="1"/>
    <col min="3853" max="3854" width="12.25" style="3" customWidth="1"/>
    <col min="3855" max="3856" width="11.375" style="3" customWidth="1"/>
    <col min="3857" max="3861" width="10.25" style="3" customWidth="1"/>
    <col min="3862" max="3862" width="11.375" style="3" customWidth="1"/>
    <col min="3863" max="3863" width="31.5" style="3" customWidth="1"/>
    <col min="3864" max="3865" width="10.25" style="3" customWidth="1"/>
    <col min="3866" max="4096" width="9" style="3"/>
    <col min="4097" max="4097" width="24.125" style="3" customWidth="1"/>
    <col min="4098" max="4098" width="13.125" style="3" customWidth="1"/>
    <col min="4099" max="4099" width="9.625" style="3" bestFit="1" customWidth="1"/>
    <col min="4100" max="4102" width="10.25" style="3" customWidth="1"/>
    <col min="4103" max="4103" width="14.25" style="3" customWidth="1"/>
    <col min="4104" max="4104" width="11.25" style="3" customWidth="1"/>
    <col min="4105" max="4105" width="10.25" style="3" customWidth="1"/>
    <col min="4106" max="4106" width="12.25" style="3" customWidth="1"/>
    <col min="4107" max="4108" width="13.125" style="3" customWidth="1"/>
    <col min="4109" max="4110" width="12.25" style="3" customWidth="1"/>
    <col min="4111" max="4112" width="11.375" style="3" customWidth="1"/>
    <col min="4113" max="4117" width="10.25" style="3" customWidth="1"/>
    <col min="4118" max="4118" width="11.375" style="3" customWidth="1"/>
    <col min="4119" max="4119" width="31.5" style="3" customWidth="1"/>
    <col min="4120" max="4121" width="10.25" style="3" customWidth="1"/>
    <col min="4122" max="4352" width="9" style="3"/>
    <col min="4353" max="4353" width="24.125" style="3" customWidth="1"/>
    <col min="4354" max="4354" width="13.125" style="3" customWidth="1"/>
    <col min="4355" max="4355" width="9.625" style="3" bestFit="1" customWidth="1"/>
    <col min="4356" max="4358" width="10.25" style="3" customWidth="1"/>
    <col min="4359" max="4359" width="14.25" style="3" customWidth="1"/>
    <col min="4360" max="4360" width="11.25" style="3" customWidth="1"/>
    <col min="4361" max="4361" width="10.25" style="3" customWidth="1"/>
    <col min="4362" max="4362" width="12.25" style="3" customWidth="1"/>
    <col min="4363" max="4364" width="13.125" style="3" customWidth="1"/>
    <col min="4365" max="4366" width="12.25" style="3" customWidth="1"/>
    <col min="4367" max="4368" width="11.375" style="3" customWidth="1"/>
    <col min="4369" max="4373" width="10.25" style="3" customWidth="1"/>
    <col min="4374" max="4374" width="11.375" style="3" customWidth="1"/>
    <col min="4375" max="4375" width="31.5" style="3" customWidth="1"/>
    <col min="4376" max="4377" width="10.25" style="3" customWidth="1"/>
    <col min="4378" max="4608" width="9" style="3"/>
    <col min="4609" max="4609" width="24.125" style="3" customWidth="1"/>
    <col min="4610" max="4610" width="13.125" style="3" customWidth="1"/>
    <col min="4611" max="4611" width="9.625" style="3" bestFit="1" customWidth="1"/>
    <col min="4612" max="4614" width="10.25" style="3" customWidth="1"/>
    <col min="4615" max="4615" width="14.25" style="3" customWidth="1"/>
    <col min="4616" max="4616" width="11.25" style="3" customWidth="1"/>
    <col min="4617" max="4617" width="10.25" style="3" customWidth="1"/>
    <col min="4618" max="4618" width="12.25" style="3" customWidth="1"/>
    <col min="4619" max="4620" width="13.125" style="3" customWidth="1"/>
    <col min="4621" max="4622" width="12.25" style="3" customWidth="1"/>
    <col min="4623" max="4624" width="11.375" style="3" customWidth="1"/>
    <col min="4625" max="4629" width="10.25" style="3" customWidth="1"/>
    <col min="4630" max="4630" width="11.375" style="3" customWidth="1"/>
    <col min="4631" max="4631" width="31.5" style="3" customWidth="1"/>
    <col min="4632" max="4633" width="10.25" style="3" customWidth="1"/>
    <col min="4634" max="4864" width="9" style="3"/>
    <col min="4865" max="4865" width="24.125" style="3" customWidth="1"/>
    <col min="4866" max="4866" width="13.125" style="3" customWidth="1"/>
    <col min="4867" max="4867" width="9.625" style="3" bestFit="1" customWidth="1"/>
    <col min="4868" max="4870" width="10.25" style="3" customWidth="1"/>
    <col min="4871" max="4871" width="14.25" style="3" customWidth="1"/>
    <col min="4872" max="4872" width="11.25" style="3" customWidth="1"/>
    <col min="4873" max="4873" width="10.25" style="3" customWidth="1"/>
    <col min="4874" max="4874" width="12.25" style="3" customWidth="1"/>
    <col min="4875" max="4876" width="13.125" style="3" customWidth="1"/>
    <col min="4877" max="4878" width="12.25" style="3" customWidth="1"/>
    <col min="4879" max="4880" width="11.375" style="3" customWidth="1"/>
    <col min="4881" max="4885" width="10.25" style="3" customWidth="1"/>
    <col min="4886" max="4886" width="11.375" style="3" customWidth="1"/>
    <col min="4887" max="4887" width="31.5" style="3" customWidth="1"/>
    <col min="4888" max="4889" width="10.25" style="3" customWidth="1"/>
    <col min="4890" max="5120" width="9" style="3"/>
    <col min="5121" max="5121" width="24.125" style="3" customWidth="1"/>
    <col min="5122" max="5122" width="13.125" style="3" customWidth="1"/>
    <col min="5123" max="5123" width="9.625" style="3" bestFit="1" customWidth="1"/>
    <col min="5124" max="5126" width="10.25" style="3" customWidth="1"/>
    <col min="5127" max="5127" width="14.25" style="3" customWidth="1"/>
    <col min="5128" max="5128" width="11.25" style="3" customWidth="1"/>
    <col min="5129" max="5129" width="10.25" style="3" customWidth="1"/>
    <col min="5130" max="5130" width="12.25" style="3" customWidth="1"/>
    <col min="5131" max="5132" width="13.125" style="3" customWidth="1"/>
    <col min="5133" max="5134" width="12.25" style="3" customWidth="1"/>
    <col min="5135" max="5136" width="11.375" style="3" customWidth="1"/>
    <col min="5137" max="5141" width="10.25" style="3" customWidth="1"/>
    <col min="5142" max="5142" width="11.375" style="3" customWidth="1"/>
    <col min="5143" max="5143" width="31.5" style="3" customWidth="1"/>
    <col min="5144" max="5145" width="10.25" style="3" customWidth="1"/>
    <col min="5146" max="5376" width="9" style="3"/>
    <col min="5377" max="5377" width="24.125" style="3" customWidth="1"/>
    <col min="5378" max="5378" width="13.125" style="3" customWidth="1"/>
    <col min="5379" max="5379" width="9.625" style="3" bestFit="1" customWidth="1"/>
    <col min="5380" max="5382" width="10.25" style="3" customWidth="1"/>
    <col min="5383" max="5383" width="14.25" style="3" customWidth="1"/>
    <col min="5384" max="5384" width="11.25" style="3" customWidth="1"/>
    <col min="5385" max="5385" width="10.25" style="3" customWidth="1"/>
    <col min="5386" max="5386" width="12.25" style="3" customWidth="1"/>
    <col min="5387" max="5388" width="13.125" style="3" customWidth="1"/>
    <col min="5389" max="5390" width="12.25" style="3" customWidth="1"/>
    <col min="5391" max="5392" width="11.375" style="3" customWidth="1"/>
    <col min="5393" max="5397" width="10.25" style="3" customWidth="1"/>
    <col min="5398" max="5398" width="11.375" style="3" customWidth="1"/>
    <col min="5399" max="5399" width="31.5" style="3" customWidth="1"/>
    <col min="5400" max="5401" width="10.25" style="3" customWidth="1"/>
    <col min="5402" max="5632" width="9" style="3"/>
    <col min="5633" max="5633" width="24.125" style="3" customWidth="1"/>
    <col min="5634" max="5634" width="13.125" style="3" customWidth="1"/>
    <col min="5635" max="5635" width="9.625" style="3" bestFit="1" customWidth="1"/>
    <col min="5636" max="5638" width="10.25" style="3" customWidth="1"/>
    <col min="5639" max="5639" width="14.25" style="3" customWidth="1"/>
    <col min="5640" max="5640" width="11.25" style="3" customWidth="1"/>
    <col min="5641" max="5641" width="10.25" style="3" customWidth="1"/>
    <col min="5642" max="5642" width="12.25" style="3" customWidth="1"/>
    <col min="5643" max="5644" width="13.125" style="3" customWidth="1"/>
    <col min="5645" max="5646" width="12.25" style="3" customWidth="1"/>
    <col min="5647" max="5648" width="11.375" style="3" customWidth="1"/>
    <col min="5649" max="5653" width="10.25" style="3" customWidth="1"/>
    <col min="5654" max="5654" width="11.375" style="3" customWidth="1"/>
    <col min="5655" max="5655" width="31.5" style="3" customWidth="1"/>
    <col min="5656" max="5657" width="10.25" style="3" customWidth="1"/>
    <col min="5658" max="5888" width="9" style="3"/>
    <col min="5889" max="5889" width="24.125" style="3" customWidth="1"/>
    <col min="5890" max="5890" width="13.125" style="3" customWidth="1"/>
    <col min="5891" max="5891" width="9.625" style="3" bestFit="1" customWidth="1"/>
    <col min="5892" max="5894" width="10.25" style="3" customWidth="1"/>
    <col min="5895" max="5895" width="14.25" style="3" customWidth="1"/>
    <col min="5896" max="5896" width="11.25" style="3" customWidth="1"/>
    <col min="5897" max="5897" width="10.25" style="3" customWidth="1"/>
    <col min="5898" max="5898" width="12.25" style="3" customWidth="1"/>
    <col min="5899" max="5900" width="13.125" style="3" customWidth="1"/>
    <col min="5901" max="5902" width="12.25" style="3" customWidth="1"/>
    <col min="5903" max="5904" width="11.375" style="3" customWidth="1"/>
    <col min="5905" max="5909" width="10.25" style="3" customWidth="1"/>
    <col min="5910" max="5910" width="11.375" style="3" customWidth="1"/>
    <col min="5911" max="5911" width="31.5" style="3" customWidth="1"/>
    <col min="5912" max="5913" width="10.25" style="3" customWidth="1"/>
    <col min="5914" max="6144" width="9" style="3"/>
    <col min="6145" max="6145" width="24.125" style="3" customWidth="1"/>
    <col min="6146" max="6146" width="13.125" style="3" customWidth="1"/>
    <col min="6147" max="6147" width="9.625" style="3" bestFit="1" customWidth="1"/>
    <col min="6148" max="6150" width="10.25" style="3" customWidth="1"/>
    <col min="6151" max="6151" width="14.25" style="3" customWidth="1"/>
    <col min="6152" max="6152" width="11.25" style="3" customWidth="1"/>
    <col min="6153" max="6153" width="10.25" style="3" customWidth="1"/>
    <col min="6154" max="6154" width="12.25" style="3" customWidth="1"/>
    <col min="6155" max="6156" width="13.125" style="3" customWidth="1"/>
    <col min="6157" max="6158" width="12.25" style="3" customWidth="1"/>
    <col min="6159" max="6160" width="11.375" style="3" customWidth="1"/>
    <col min="6161" max="6165" width="10.25" style="3" customWidth="1"/>
    <col min="6166" max="6166" width="11.375" style="3" customWidth="1"/>
    <col min="6167" max="6167" width="31.5" style="3" customWidth="1"/>
    <col min="6168" max="6169" width="10.25" style="3" customWidth="1"/>
    <col min="6170" max="6400" width="9" style="3"/>
    <col min="6401" max="6401" width="24.125" style="3" customWidth="1"/>
    <col min="6402" max="6402" width="13.125" style="3" customWidth="1"/>
    <col min="6403" max="6403" width="9.625" style="3" bestFit="1" customWidth="1"/>
    <col min="6404" max="6406" width="10.25" style="3" customWidth="1"/>
    <col min="6407" max="6407" width="14.25" style="3" customWidth="1"/>
    <col min="6408" max="6408" width="11.25" style="3" customWidth="1"/>
    <col min="6409" max="6409" width="10.25" style="3" customWidth="1"/>
    <col min="6410" max="6410" width="12.25" style="3" customWidth="1"/>
    <col min="6411" max="6412" width="13.125" style="3" customWidth="1"/>
    <col min="6413" max="6414" width="12.25" style="3" customWidth="1"/>
    <col min="6415" max="6416" width="11.375" style="3" customWidth="1"/>
    <col min="6417" max="6421" width="10.25" style="3" customWidth="1"/>
    <col min="6422" max="6422" width="11.375" style="3" customWidth="1"/>
    <col min="6423" max="6423" width="31.5" style="3" customWidth="1"/>
    <col min="6424" max="6425" width="10.25" style="3" customWidth="1"/>
    <col min="6426" max="6656" width="9" style="3"/>
    <col min="6657" max="6657" width="24.125" style="3" customWidth="1"/>
    <col min="6658" max="6658" width="13.125" style="3" customWidth="1"/>
    <col min="6659" max="6659" width="9.625" style="3" bestFit="1" customWidth="1"/>
    <col min="6660" max="6662" width="10.25" style="3" customWidth="1"/>
    <col min="6663" max="6663" width="14.25" style="3" customWidth="1"/>
    <col min="6664" max="6664" width="11.25" style="3" customWidth="1"/>
    <col min="6665" max="6665" width="10.25" style="3" customWidth="1"/>
    <col min="6666" max="6666" width="12.25" style="3" customWidth="1"/>
    <col min="6667" max="6668" width="13.125" style="3" customWidth="1"/>
    <col min="6669" max="6670" width="12.25" style="3" customWidth="1"/>
    <col min="6671" max="6672" width="11.375" style="3" customWidth="1"/>
    <col min="6673" max="6677" width="10.25" style="3" customWidth="1"/>
    <col min="6678" max="6678" width="11.375" style="3" customWidth="1"/>
    <col min="6679" max="6679" width="31.5" style="3" customWidth="1"/>
    <col min="6680" max="6681" width="10.25" style="3" customWidth="1"/>
    <col min="6682" max="6912" width="9" style="3"/>
    <col min="6913" max="6913" width="24.125" style="3" customWidth="1"/>
    <col min="6914" max="6914" width="13.125" style="3" customWidth="1"/>
    <col min="6915" max="6915" width="9.625" style="3" bestFit="1" customWidth="1"/>
    <col min="6916" max="6918" width="10.25" style="3" customWidth="1"/>
    <col min="6919" max="6919" width="14.25" style="3" customWidth="1"/>
    <col min="6920" max="6920" width="11.25" style="3" customWidth="1"/>
    <col min="6921" max="6921" width="10.25" style="3" customWidth="1"/>
    <col min="6922" max="6922" width="12.25" style="3" customWidth="1"/>
    <col min="6923" max="6924" width="13.125" style="3" customWidth="1"/>
    <col min="6925" max="6926" width="12.25" style="3" customWidth="1"/>
    <col min="6927" max="6928" width="11.375" style="3" customWidth="1"/>
    <col min="6929" max="6933" width="10.25" style="3" customWidth="1"/>
    <col min="6934" max="6934" width="11.375" style="3" customWidth="1"/>
    <col min="6935" max="6935" width="31.5" style="3" customWidth="1"/>
    <col min="6936" max="6937" width="10.25" style="3" customWidth="1"/>
    <col min="6938" max="7168" width="9" style="3"/>
    <col min="7169" max="7169" width="24.125" style="3" customWidth="1"/>
    <col min="7170" max="7170" width="13.125" style="3" customWidth="1"/>
    <col min="7171" max="7171" width="9.625" style="3" bestFit="1" customWidth="1"/>
    <col min="7172" max="7174" width="10.25" style="3" customWidth="1"/>
    <col min="7175" max="7175" width="14.25" style="3" customWidth="1"/>
    <col min="7176" max="7176" width="11.25" style="3" customWidth="1"/>
    <col min="7177" max="7177" width="10.25" style="3" customWidth="1"/>
    <col min="7178" max="7178" width="12.25" style="3" customWidth="1"/>
    <col min="7179" max="7180" width="13.125" style="3" customWidth="1"/>
    <col min="7181" max="7182" width="12.25" style="3" customWidth="1"/>
    <col min="7183" max="7184" width="11.375" style="3" customWidth="1"/>
    <col min="7185" max="7189" width="10.25" style="3" customWidth="1"/>
    <col min="7190" max="7190" width="11.375" style="3" customWidth="1"/>
    <col min="7191" max="7191" width="31.5" style="3" customWidth="1"/>
    <col min="7192" max="7193" width="10.25" style="3" customWidth="1"/>
    <col min="7194" max="7424" width="9" style="3"/>
    <col min="7425" max="7425" width="24.125" style="3" customWidth="1"/>
    <col min="7426" max="7426" width="13.125" style="3" customWidth="1"/>
    <col min="7427" max="7427" width="9.625" style="3" bestFit="1" customWidth="1"/>
    <col min="7428" max="7430" width="10.25" style="3" customWidth="1"/>
    <col min="7431" max="7431" width="14.25" style="3" customWidth="1"/>
    <col min="7432" max="7432" width="11.25" style="3" customWidth="1"/>
    <col min="7433" max="7433" width="10.25" style="3" customWidth="1"/>
    <col min="7434" max="7434" width="12.25" style="3" customWidth="1"/>
    <col min="7435" max="7436" width="13.125" style="3" customWidth="1"/>
    <col min="7437" max="7438" width="12.25" style="3" customWidth="1"/>
    <col min="7439" max="7440" width="11.375" style="3" customWidth="1"/>
    <col min="7441" max="7445" width="10.25" style="3" customWidth="1"/>
    <col min="7446" max="7446" width="11.375" style="3" customWidth="1"/>
    <col min="7447" max="7447" width="31.5" style="3" customWidth="1"/>
    <col min="7448" max="7449" width="10.25" style="3" customWidth="1"/>
    <col min="7450" max="7680" width="9" style="3"/>
    <col min="7681" max="7681" width="24.125" style="3" customWidth="1"/>
    <col min="7682" max="7682" width="13.125" style="3" customWidth="1"/>
    <col min="7683" max="7683" width="9.625" style="3" bestFit="1" customWidth="1"/>
    <col min="7684" max="7686" width="10.25" style="3" customWidth="1"/>
    <col min="7687" max="7687" width="14.25" style="3" customWidth="1"/>
    <col min="7688" max="7688" width="11.25" style="3" customWidth="1"/>
    <col min="7689" max="7689" width="10.25" style="3" customWidth="1"/>
    <col min="7690" max="7690" width="12.25" style="3" customWidth="1"/>
    <col min="7691" max="7692" width="13.125" style="3" customWidth="1"/>
    <col min="7693" max="7694" width="12.25" style="3" customWidth="1"/>
    <col min="7695" max="7696" width="11.375" style="3" customWidth="1"/>
    <col min="7697" max="7701" width="10.25" style="3" customWidth="1"/>
    <col min="7702" max="7702" width="11.375" style="3" customWidth="1"/>
    <col min="7703" max="7703" width="31.5" style="3" customWidth="1"/>
    <col min="7704" max="7705" width="10.25" style="3" customWidth="1"/>
    <col min="7706" max="7936" width="9" style="3"/>
    <col min="7937" max="7937" width="24.125" style="3" customWidth="1"/>
    <col min="7938" max="7938" width="13.125" style="3" customWidth="1"/>
    <col min="7939" max="7939" width="9.625" style="3" bestFit="1" customWidth="1"/>
    <col min="7940" max="7942" width="10.25" style="3" customWidth="1"/>
    <col min="7943" max="7943" width="14.25" style="3" customWidth="1"/>
    <col min="7944" max="7944" width="11.25" style="3" customWidth="1"/>
    <col min="7945" max="7945" width="10.25" style="3" customWidth="1"/>
    <col min="7946" max="7946" width="12.25" style="3" customWidth="1"/>
    <col min="7947" max="7948" width="13.125" style="3" customWidth="1"/>
    <col min="7949" max="7950" width="12.25" style="3" customWidth="1"/>
    <col min="7951" max="7952" width="11.375" style="3" customWidth="1"/>
    <col min="7953" max="7957" width="10.25" style="3" customWidth="1"/>
    <col min="7958" max="7958" width="11.375" style="3" customWidth="1"/>
    <col min="7959" max="7959" width="31.5" style="3" customWidth="1"/>
    <col min="7960" max="7961" width="10.25" style="3" customWidth="1"/>
    <col min="7962" max="8192" width="9" style="3"/>
    <col min="8193" max="8193" width="24.125" style="3" customWidth="1"/>
    <col min="8194" max="8194" width="13.125" style="3" customWidth="1"/>
    <col min="8195" max="8195" width="9.625" style="3" bestFit="1" customWidth="1"/>
    <col min="8196" max="8198" width="10.25" style="3" customWidth="1"/>
    <col min="8199" max="8199" width="14.25" style="3" customWidth="1"/>
    <col min="8200" max="8200" width="11.25" style="3" customWidth="1"/>
    <col min="8201" max="8201" width="10.25" style="3" customWidth="1"/>
    <col min="8202" max="8202" width="12.25" style="3" customWidth="1"/>
    <col min="8203" max="8204" width="13.125" style="3" customWidth="1"/>
    <col min="8205" max="8206" width="12.25" style="3" customWidth="1"/>
    <col min="8207" max="8208" width="11.375" style="3" customWidth="1"/>
    <col min="8209" max="8213" width="10.25" style="3" customWidth="1"/>
    <col min="8214" max="8214" width="11.375" style="3" customWidth="1"/>
    <col min="8215" max="8215" width="31.5" style="3" customWidth="1"/>
    <col min="8216" max="8217" width="10.25" style="3" customWidth="1"/>
    <col min="8218" max="8448" width="9" style="3"/>
    <col min="8449" max="8449" width="24.125" style="3" customWidth="1"/>
    <col min="8450" max="8450" width="13.125" style="3" customWidth="1"/>
    <col min="8451" max="8451" width="9.625" style="3" bestFit="1" customWidth="1"/>
    <col min="8452" max="8454" width="10.25" style="3" customWidth="1"/>
    <col min="8455" max="8455" width="14.25" style="3" customWidth="1"/>
    <col min="8456" max="8456" width="11.25" style="3" customWidth="1"/>
    <col min="8457" max="8457" width="10.25" style="3" customWidth="1"/>
    <col min="8458" max="8458" width="12.25" style="3" customWidth="1"/>
    <col min="8459" max="8460" width="13.125" style="3" customWidth="1"/>
    <col min="8461" max="8462" width="12.25" style="3" customWidth="1"/>
    <col min="8463" max="8464" width="11.375" style="3" customWidth="1"/>
    <col min="8465" max="8469" width="10.25" style="3" customWidth="1"/>
    <col min="8470" max="8470" width="11.375" style="3" customWidth="1"/>
    <col min="8471" max="8471" width="31.5" style="3" customWidth="1"/>
    <col min="8472" max="8473" width="10.25" style="3" customWidth="1"/>
    <col min="8474" max="8704" width="9" style="3"/>
    <col min="8705" max="8705" width="24.125" style="3" customWidth="1"/>
    <col min="8706" max="8706" width="13.125" style="3" customWidth="1"/>
    <col min="8707" max="8707" width="9.625" style="3" bestFit="1" customWidth="1"/>
    <col min="8708" max="8710" width="10.25" style="3" customWidth="1"/>
    <col min="8711" max="8711" width="14.25" style="3" customWidth="1"/>
    <col min="8712" max="8712" width="11.25" style="3" customWidth="1"/>
    <col min="8713" max="8713" width="10.25" style="3" customWidth="1"/>
    <col min="8714" max="8714" width="12.25" style="3" customWidth="1"/>
    <col min="8715" max="8716" width="13.125" style="3" customWidth="1"/>
    <col min="8717" max="8718" width="12.25" style="3" customWidth="1"/>
    <col min="8719" max="8720" width="11.375" style="3" customWidth="1"/>
    <col min="8721" max="8725" width="10.25" style="3" customWidth="1"/>
    <col min="8726" max="8726" width="11.375" style="3" customWidth="1"/>
    <col min="8727" max="8727" width="31.5" style="3" customWidth="1"/>
    <col min="8728" max="8729" width="10.25" style="3" customWidth="1"/>
    <col min="8730" max="8960" width="9" style="3"/>
    <col min="8961" max="8961" width="24.125" style="3" customWidth="1"/>
    <col min="8962" max="8962" width="13.125" style="3" customWidth="1"/>
    <col min="8963" max="8963" width="9.625" style="3" bestFit="1" customWidth="1"/>
    <col min="8964" max="8966" width="10.25" style="3" customWidth="1"/>
    <col min="8967" max="8967" width="14.25" style="3" customWidth="1"/>
    <col min="8968" max="8968" width="11.25" style="3" customWidth="1"/>
    <col min="8969" max="8969" width="10.25" style="3" customWidth="1"/>
    <col min="8970" max="8970" width="12.25" style="3" customWidth="1"/>
    <col min="8971" max="8972" width="13.125" style="3" customWidth="1"/>
    <col min="8973" max="8974" width="12.25" style="3" customWidth="1"/>
    <col min="8975" max="8976" width="11.375" style="3" customWidth="1"/>
    <col min="8977" max="8981" width="10.25" style="3" customWidth="1"/>
    <col min="8982" max="8982" width="11.375" style="3" customWidth="1"/>
    <col min="8983" max="8983" width="31.5" style="3" customWidth="1"/>
    <col min="8984" max="8985" width="10.25" style="3" customWidth="1"/>
    <col min="8986" max="9216" width="9" style="3"/>
    <col min="9217" max="9217" width="24.125" style="3" customWidth="1"/>
    <col min="9218" max="9218" width="13.125" style="3" customWidth="1"/>
    <col min="9219" max="9219" width="9.625" style="3" bestFit="1" customWidth="1"/>
    <col min="9220" max="9222" width="10.25" style="3" customWidth="1"/>
    <col min="9223" max="9223" width="14.25" style="3" customWidth="1"/>
    <col min="9224" max="9224" width="11.25" style="3" customWidth="1"/>
    <col min="9225" max="9225" width="10.25" style="3" customWidth="1"/>
    <col min="9226" max="9226" width="12.25" style="3" customWidth="1"/>
    <col min="9227" max="9228" width="13.125" style="3" customWidth="1"/>
    <col min="9229" max="9230" width="12.25" style="3" customWidth="1"/>
    <col min="9231" max="9232" width="11.375" style="3" customWidth="1"/>
    <col min="9233" max="9237" width="10.25" style="3" customWidth="1"/>
    <col min="9238" max="9238" width="11.375" style="3" customWidth="1"/>
    <col min="9239" max="9239" width="31.5" style="3" customWidth="1"/>
    <col min="9240" max="9241" width="10.25" style="3" customWidth="1"/>
    <col min="9242" max="9472" width="9" style="3"/>
    <col min="9473" max="9473" width="24.125" style="3" customWidth="1"/>
    <col min="9474" max="9474" width="13.125" style="3" customWidth="1"/>
    <col min="9475" max="9475" width="9.625" style="3" bestFit="1" customWidth="1"/>
    <col min="9476" max="9478" width="10.25" style="3" customWidth="1"/>
    <col min="9479" max="9479" width="14.25" style="3" customWidth="1"/>
    <col min="9480" max="9480" width="11.25" style="3" customWidth="1"/>
    <col min="9481" max="9481" width="10.25" style="3" customWidth="1"/>
    <col min="9482" max="9482" width="12.25" style="3" customWidth="1"/>
    <col min="9483" max="9484" width="13.125" style="3" customWidth="1"/>
    <col min="9485" max="9486" width="12.25" style="3" customWidth="1"/>
    <col min="9487" max="9488" width="11.375" style="3" customWidth="1"/>
    <col min="9489" max="9493" width="10.25" style="3" customWidth="1"/>
    <col min="9494" max="9494" width="11.375" style="3" customWidth="1"/>
    <col min="9495" max="9495" width="31.5" style="3" customWidth="1"/>
    <col min="9496" max="9497" width="10.25" style="3" customWidth="1"/>
    <col min="9498" max="9728" width="9" style="3"/>
    <col min="9729" max="9729" width="24.125" style="3" customWidth="1"/>
    <col min="9730" max="9730" width="13.125" style="3" customWidth="1"/>
    <col min="9731" max="9731" width="9.625" style="3" bestFit="1" customWidth="1"/>
    <col min="9732" max="9734" width="10.25" style="3" customWidth="1"/>
    <col min="9735" max="9735" width="14.25" style="3" customWidth="1"/>
    <col min="9736" max="9736" width="11.25" style="3" customWidth="1"/>
    <col min="9737" max="9737" width="10.25" style="3" customWidth="1"/>
    <col min="9738" max="9738" width="12.25" style="3" customWidth="1"/>
    <col min="9739" max="9740" width="13.125" style="3" customWidth="1"/>
    <col min="9741" max="9742" width="12.25" style="3" customWidth="1"/>
    <col min="9743" max="9744" width="11.375" style="3" customWidth="1"/>
    <col min="9745" max="9749" width="10.25" style="3" customWidth="1"/>
    <col min="9750" max="9750" width="11.375" style="3" customWidth="1"/>
    <col min="9751" max="9751" width="31.5" style="3" customWidth="1"/>
    <col min="9752" max="9753" width="10.25" style="3" customWidth="1"/>
    <col min="9754" max="9984" width="9" style="3"/>
    <col min="9985" max="9985" width="24.125" style="3" customWidth="1"/>
    <col min="9986" max="9986" width="13.125" style="3" customWidth="1"/>
    <col min="9987" max="9987" width="9.625" style="3" bestFit="1" customWidth="1"/>
    <col min="9988" max="9990" width="10.25" style="3" customWidth="1"/>
    <col min="9991" max="9991" width="14.25" style="3" customWidth="1"/>
    <col min="9992" max="9992" width="11.25" style="3" customWidth="1"/>
    <col min="9993" max="9993" width="10.25" style="3" customWidth="1"/>
    <col min="9994" max="9994" width="12.25" style="3" customWidth="1"/>
    <col min="9995" max="9996" width="13.125" style="3" customWidth="1"/>
    <col min="9997" max="9998" width="12.25" style="3" customWidth="1"/>
    <col min="9999" max="10000" width="11.375" style="3" customWidth="1"/>
    <col min="10001" max="10005" width="10.25" style="3" customWidth="1"/>
    <col min="10006" max="10006" width="11.375" style="3" customWidth="1"/>
    <col min="10007" max="10007" width="31.5" style="3" customWidth="1"/>
    <col min="10008" max="10009" width="10.25" style="3" customWidth="1"/>
    <col min="10010" max="10240" width="9" style="3"/>
    <col min="10241" max="10241" width="24.125" style="3" customWidth="1"/>
    <col min="10242" max="10242" width="13.125" style="3" customWidth="1"/>
    <col min="10243" max="10243" width="9.625" style="3" bestFit="1" customWidth="1"/>
    <col min="10244" max="10246" width="10.25" style="3" customWidth="1"/>
    <col min="10247" max="10247" width="14.25" style="3" customWidth="1"/>
    <col min="10248" max="10248" width="11.25" style="3" customWidth="1"/>
    <col min="10249" max="10249" width="10.25" style="3" customWidth="1"/>
    <col min="10250" max="10250" width="12.25" style="3" customWidth="1"/>
    <col min="10251" max="10252" width="13.125" style="3" customWidth="1"/>
    <col min="10253" max="10254" width="12.25" style="3" customWidth="1"/>
    <col min="10255" max="10256" width="11.375" style="3" customWidth="1"/>
    <col min="10257" max="10261" width="10.25" style="3" customWidth="1"/>
    <col min="10262" max="10262" width="11.375" style="3" customWidth="1"/>
    <col min="10263" max="10263" width="31.5" style="3" customWidth="1"/>
    <col min="10264" max="10265" width="10.25" style="3" customWidth="1"/>
    <col min="10266" max="10496" width="9" style="3"/>
    <col min="10497" max="10497" width="24.125" style="3" customWidth="1"/>
    <col min="10498" max="10498" width="13.125" style="3" customWidth="1"/>
    <col min="10499" max="10499" width="9.625" style="3" bestFit="1" customWidth="1"/>
    <col min="10500" max="10502" width="10.25" style="3" customWidth="1"/>
    <col min="10503" max="10503" width="14.25" style="3" customWidth="1"/>
    <col min="10504" max="10504" width="11.25" style="3" customWidth="1"/>
    <col min="10505" max="10505" width="10.25" style="3" customWidth="1"/>
    <col min="10506" max="10506" width="12.25" style="3" customWidth="1"/>
    <col min="10507" max="10508" width="13.125" style="3" customWidth="1"/>
    <col min="10509" max="10510" width="12.25" style="3" customWidth="1"/>
    <col min="10511" max="10512" width="11.375" style="3" customWidth="1"/>
    <col min="10513" max="10517" width="10.25" style="3" customWidth="1"/>
    <col min="10518" max="10518" width="11.375" style="3" customWidth="1"/>
    <col min="10519" max="10519" width="31.5" style="3" customWidth="1"/>
    <col min="10520" max="10521" width="10.25" style="3" customWidth="1"/>
    <col min="10522" max="10752" width="9" style="3"/>
    <col min="10753" max="10753" width="24.125" style="3" customWidth="1"/>
    <col min="10754" max="10754" width="13.125" style="3" customWidth="1"/>
    <col min="10755" max="10755" width="9.625" style="3" bestFit="1" customWidth="1"/>
    <col min="10756" max="10758" width="10.25" style="3" customWidth="1"/>
    <col min="10759" max="10759" width="14.25" style="3" customWidth="1"/>
    <col min="10760" max="10760" width="11.25" style="3" customWidth="1"/>
    <col min="10761" max="10761" width="10.25" style="3" customWidth="1"/>
    <col min="10762" max="10762" width="12.25" style="3" customWidth="1"/>
    <col min="10763" max="10764" width="13.125" style="3" customWidth="1"/>
    <col min="10765" max="10766" width="12.25" style="3" customWidth="1"/>
    <col min="10767" max="10768" width="11.375" style="3" customWidth="1"/>
    <col min="10769" max="10773" width="10.25" style="3" customWidth="1"/>
    <col min="10774" max="10774" width="11.375" style="3" customWidth="1"/>
    <col min="10775" max="10775" width="31.5" style="3" customWidth="1"/>
    <col min="10776" max="10777" width="10.25" style="3" customWidth="1"/>
    <col min="10778" max="11008" width="9" style="3"/>
    <col min="11009" max="11009" width="24.125" style="3" customWidth="1"/>
    <col min="11010" max="11010" width="13.125" style="3" customWidth="1"/>
    <col min="11011" max="11011" width="9.625" style="3" bestFit="1" customWidth="1"/>
    <col min="11012" max="11014" width="10.25" style="3" customWidth="1"/>
    <col min="11015" max="11015" width="14.25" style="3" customWidth="1"/>
    <col min="11016" max="11016" width="11.25" style="3" customWidth="1"/>
    <col min="11017" max="11017" width="10.25" style="3" customWidth="1"/>
    <col min="11018" max="11018" width="12.25" style="3" customWidth="1"/>
    <col min="11019" max="11020" width="13.125" style="3" customWidth="1"/>
    <col min="11021" max="11022" width="12.25" style="3" customWidth="1"/>
    <col min="11023" max="11024" width="11.375" style="3" customWidth="1"/>
    <col min="11025" max="11029" width="10.25" style="3" customWidth="1"/>
    <col min="11030" max="11030" width="11.375" style="3" customWidth="1"/>
    <col min="11031" max="11031" width="31.5" style="3" customWidth="1"/>
    <col min="11032" max="11033" width="10.25" style="3" customWidth="1"/>
    <col min="11034" max="11264" width="9" style="3"/>
    <col min="11265" max="11265" width="24.125" style="3" customWidth="1"/>
    <col min="11266" max="11266" width="13.125" style="3" customWidth="1"/>
    <col min="11267" max="11267" width="9.625" style="3" bestFit="1" customWidth="1"/>
    <col min="11268" max="11270" width="10.25" style="3" customWidth="1"/>
    <col min="11271" max="11271" width="14.25" style="3" customWidth="1"/>
    <col min="11272" max="11272" width="11.25" style="3" customWidth="1"/>
    <col min="11273" max="11273" width="10.25" style="3" customWidth="1"/>
    <col min="11274" max="11274" width="12.25" style="3" customWidth="1"/>
    <col min="11275" max="11276" width="13.125" style="3" customWidth="1"/>
    <col min="11277" max="11278" width="12.25" style="3" customWidth="1"/>
    <col min="11279" max="11280" width="11.375" style="3" customWidth="1"/>
    <col min="11281" max="11285" width="10.25" style="3" customWidth="1"/>
    <col min="11286" max="11286" width="11.375" style="3" customWidth="1"/>
    <col min="11287" max="11287" width="31.5" style="3" customWidth="1"/>
    <col min="11288" max="11289" width="10.25" style="3" customWidth="1"/>
    <col min="11290" max="11520" width="9" style="3"/>
    <col min="11521" max="11521" width="24.125" style="3" customWidth="1"/>
    <col min="11522" max="11522" width="13.125" style="3" customWidth="1"/>
    <col min="11523" max="11523" width="9.625" style="3" bestFit="1" customWidth="1"/>
    <col min="11524" max="11526" width="10.25" style="3" customWidth="1"/>
    <col min="11527" max="11527" width="14.25" style="3" customWidth="1"/>
    <col min="11528" max="11528" width="11.25" style="3" customWidth="1"/>
    <col min="11529" max="11529" width="10.25" style="3" customWidth="1"/>
    <col min="11530" max="11530" width="12.25" style="3" customWidth="1"/>
    <col min="11531" max="11532" width="13.125" style="3" customWidth="1"/>
    <col min="11533" max="11534" width="12.25" style="3" customWidth="1"/>
    <col min="11535" max="11536" width="11.375" style="3" customWidth="1"/>
    <col min="11537" max="11541" width="10.25" style="3" customWidth="1"/>
    <col min="11542" max="11542" width="11.375" style="3" customWidth="1"/>
    <col min="11543" max="11543" width="31.5" style="3" customWidth="1"/>
    <col min="11544" max="11545" width="10.25" style="3" customWidth="1"/>
    <col min="11546" max="11776" width="9" style="3"/>
    <col min="11777" max="11777" width="24.125" style="3" customWidth="1"/>
    <col min="11778" max="11778" width="13.125" style="3" customWidth="1"/>
    <col min="11779" max="11779" width="9.625" style="3" bestFit="1" customWidth="1"/>
    <col min="11780" max="11782" width="10.25" style="3" customWidth="1"/>
    <col min="11783" max="11783" width="14.25" style="3" customWidth="1"/>
    <col min="11784" max="11784" width="11.25" style="3" customWidth="1"/>
    <col min="11785" max="11785" width="10.25" style="3" customWidth="1"/>
    <col min="11786" max="11786" width="12.25" style="3" customWidth="1"/>
    <col min="11787" max="11788" width="13.125" style="3" customWidth="1"/>
    <col min="11789" max="11790" width="12.25" style="3" customWidth="1"/>
    <col min="11791" max="11792" width="11.375" style="3" customWidth="1"/>
    <col min="11793" max="11797" width="10.25" style="3" customWidth="1"/>
    <col min="11798" max="11798" width="11.375" style="3" customWidth="1"/>
    <col min="11799" max="11799" width="31.5" style="3" customWidth="1"/>
    <col min="11800" max="11801" width="10.25" style="3" customWidth="1"/>
    <col min="11802" max="12032" width="9" style="3"/>
    <col min="12033" max="12033" width="24.125" style="3" customWidth="1"/>
    <col min="12034" max="12034" width="13.125" style="3" customWidth="1"/>
    <col min="12035" max="12035" width="9.625" style="3" bestFit="1" customWidth="1"/>
    <col min="12036" max="12038" width="10.25" style="3" customWidth="1"/>
    <col min="12039" max="12039" width="14.25" style="3" customWidth="1"/>
    <col min="12040" max="12040" width="11.25" style="3" customWidth="1"/>
    <col min="12041" max="12041" width="10.25" style="3" customWidth="1"/>
    <col min="12042" max="12042" width="12.25" style="3" customWidth="1"/>
    <col min="12043" max="12044" width="13.125" style="3" customWidth="1"/>
    <col min="12045" max="12046" width="12.25" style="3" customWidth="1"/>
    <col min="12047" max="12048" width="11.375" style="3" customWidth="1"/>
    <col min="12049" max="12053" width="10.25" style="3" customWidth="1"/>
    <col min="12054" max="12054" width="11.375" style="3" customWidth="1"/>
    <col min="12055" max="12055" width="31.5" style="3" customWidth="1"/>
    <col min="12056" max="12057" width="10.25" style="3" customWidth="1"/>
    <col min="12058" max="12288" width="9" style="3"/>
    <col min="12289" max="12289" width="24.125" style="3" customWidth="1"/>
    <col min="12290" max="12290" width="13.125" style="3" customWidth="1"/>
    <col min="12291" max="12291" width="9.625" style="3" bestFit="1" customWidth="1"/>
    <col min="12292" max="12294" width="10.25" style="3" customWidth="1"/>
    <col min="12295" max="12295" width="14.25" style="3" customWidth="1"/>
    <col min="12296" max="12296" width="11.25" style="3" customWidth="1"/>
    <col min="12297" max="12297" width="10.25" style="3" customWidth="1"/>
    <col min="12298" max="12298" width="12.25" style="3" customWidth="1"/>
    <col min="12299" max="12300" width="13.125" style="3" customWidth="1"/>
    <col min="12301" max="12302" width="12.25" style="3" customWidth="1"/>
    <col min="12303" max="12304" width="11.375" style="3" customWidth="1"/>
    <col min="12305" max="12309" width="10.25" style="3" customWidth="1"/>
    <col min="12310" max="12310" width="11.375" style="3" customWidth="1"/>
    <col min="12311" max="12311" width="31.5" style="3" customWidth="1"/>
    <col min="12312" max="12313" width="10.25" style="3" customWidth="1"/>
    <col min="12314" max="12544" width="9" style="3"/>
    <col min="12545" max="12545" width="24.125" style="3" customWidth="1"/>
    <col min="12546" max="12546" width="13.125" style="3" customWidth="1"/>
    <col min="12547" max="12547" width="9.625" style="3" bestFit="1" customWidth="1"/>
    <col min="12548" max="12550" width="10.25" style="3" customWidth="1"/>
    <col min="12551" max="12551" width="14.25" style="3" customWidth="1"/>
    <col min="12552" max="12552" width="11.25" style="3" customWidth="1"/>
    <col min="12553" max="12553" width="10.25" style="3" customWidth="1"/>
    <col min="12554" max="12554" width="12.25" style="3" customWidth="1"/>
    <col min="12555" max="12556" width="13.125" style="3" customWidth="1"/>
    <col min="12557" max="12558" width="12.25" style="3" customWidth="1"/>
    <col min="12559" max="12560" width="11.375" style="3" customWidth="1"/>
    <col min="12561" max="12565" width="10.25" style="3" customWidth="1"/>
    <col min="12566" max="12566" width="11.375" style="3" customWidth="1"/>
    <col min="12567" max="12567" width="31.5" style="3" customWidth="1"/>
    <col min="12568" max="12569" width="10.25" style="3" customWidth="1"/>
    <col min="12570" max="12800" width="9" style="3"/>
    <col min="12801" max="12801" width="24.125" style="3" customWidth="1"/>
    <col min="12802" max="12802" width="13.125" style="3" customWidth="1"/>
    <col min="12803" max="12803" width="9.625" style="3" bestFit="1" customWidth="1"/>
    <col min="12804" max="12806" width="10.25" style="3" customWidth="1"/>
    <col min="12807" max="12807" width="14.25" style="3" customWidth="1"/>
    <col min="12808" max="12808" width="11.25" style="3" customWidth="1"/>
    <col min="12809" max="12809" width="10.25" style="3" customWidth="1"/>
    <col min="12810" max="12810" width="12.25" style="3" customWidth="1"/>
    <col min="12811" max="12812" width="13.125" style="3" customWidth="1"/>
    <col min="12813" max="12814" width="12.25" style="3" customWidth="1"/>
    <col min="12815" max="12816" width="11.375" style="3" customWidth="1"/>
    <col min="12817" max="12821" width="10.25" style="3" customWidth="1"/>
    <col min="12822" max="12822" width="11.375" style="3" customWidth="1"/>
    <col min="12823" max="12823" width="31.5" style="3" customWidth="1"/>
    <col min="12824" max="12825" width="10.25" style="3" customWidth="1"/>
    <col min="12826" max="13056" width="9" style="3"/>
    <col min="13057" max="13057" width="24.125" style="3" customWidth="1"/>
    <col min="13058" max="13058" width="13.125" style="3" customWidth="1"/>
    <col min="13059" max="13059" width="9.625" style="3" bestFit="1" customWidth="1"/>
    <col min="13060" max="13062" width="10.25" style="3" customWidth="1"/>
    <col min="13063" max="13063" width="14.25" style="3" customWidth="1"/>
    <col min="13064" max="13064" width="11.25" style="3" customWidth="1"/>
    <col min="13065" max="13065" width="10.25" style="3" customWidth="1"/>
    <col min="13066" max="13066" width="12.25" style="3" customWidth="1"/>
    <col min="13067" max="13068" width="13.125" style="3" customWidth="1"/>
    <col min="13069" max="13070" width="12.25" style="3" customWidth="1"/>
    <col min="13071" max="13072" width="11.375" style="3" customWidth="1"/>
    <col min="13073" max="13077" width="10.25" style="3" customWidth="1"/>
    <col min="13078" max="13078" width="11.375" style="3" customWidth="1"/>
    <col min="13079" max="13079" width="31.5" style="3" customWidth="1"/>
    <col min="13080" max="13081" width="10.25" style="3" customWidth="1"/>
    <col min="13082" max="13312" width="9" style="3"/>
    <col min="13313" max="13313" width="24.125" style="3" customWidth="1"/>
    <col min="13314" max="13314" width="13.125" style="3" customWidth="1"/>
    <col min="13315" max="13315" width="9.625" style="3" bestFit="1" customWidth="1"/>
    <col min="13316" max="13318" width="10.25" style="3" customWidth="1"/>
    <col min="13319" max="13319" width="14.25" style="3" customWidth="1"/>
    <col min="13320" max="13320" width="11.25" style="3" customWidth="1"/>
    <col min="13321" max="13321" width="10.25" style="3" customWidth="1"/>
    <col min="13322" max="13322" width="12.25" style="3" customWidth="1"/>
    <col min="13323" max="13324" width="13.125" style="3" customWidth="1"/>
    <col min="13325" max="13326" width="12.25" style="3" customWidth="1"/>
    <col min="13327" max="13328" width="11.375" style="3" customWidth="1"/>
    <col min="13329" max="13333" width="10.25" style="3" customWidth="1"/>
    <col min="13334" max="13334" width="11.375" style="3" customWidth="1"/>
    <col min="13335" max="13335" width="31.5" style="3" customWidth="1"/>
    <col min="13336" max="13337" width="10.25" style="3" customWidth="1"/>
    <col min="13338" max="13568" width="9" style="3"/>
    <col min="13569" max="13569" width="24.125" style="3" customWidth="1"/>
    <col min="13570" max="13570" width="13.125" style="3" customWidth="1"/>
    <col min="13571" max="13571" width="9.625" style="3" bestFit="1" customWidth="1"/>
    <col min="13572" max="13574" width="10.25" style="3" customWidth="1"/>
    <col min="13575" max="13575" width="14.25" style="3" customWidth="1"/>
    <col min="13576" max="13576" width="11.25" style="3" customWidth="1"/>
    <col min="13577" max="13577" width="10.25" style="3" customWidth="1"/>
    <col min="13578" max="13578" width="12.25" style="3" customWidth="1"/>
    <col min="13579" max="13580" width="13.125" style="3" customWidth="1"/>
    <col min="13581" max="13582" width="12.25" style="3" customWidth="1"/>
    <col min="13583" max="13584" width="11.375" style="3" customWidth="1"/>
    <col min="13585" max="13589" width="10.25" style="3" customWidth="1"/>
    <col min="13590" max="13590" width="11.375" style="3" customWidth="1"/>
    <col min="13591" max="13591" width="31.5" style="3" customWidth="1"/>
    <col min="13592" max="13593" width="10.25" style="3" customWidth="1"/>
    <col min="13594" max="13824" width="9" style="3"/>
    <col min="13825" max="13825" width="24.125" style="3" customWidth="1"/>
    <col min="13826" max="13826" width="13.125" style="3" customWidth="1"/>
    <col min="13827" max="13827" width="9.625" style="3" bestFit="1" customWidth="1"/>
    <col min="13828" max="13830" width="10.25" style="3" customWidth="1"/>
    <col min="13831" max="13831" width="14.25" style="3" customWidth="1"/>
    <col min="13832" max="13832" width="11.25" style="3" customWidth="1"/>
    <col min="13833" max="13833" width="10.25" style="3" customWidth="1"/>
    <col min="13834" max="13834" width="12.25" style="3" customWidth="1"/>
    <col min="13835" max="13836" width="13.125" style="3" customWidth="1"/>
    <col min="13837" max="13838" width="12.25" style="3" customWidth="1"/>
    <col min="13839" max="13840" width="11.375" style="3" customWidth="1"/>
    <col min="13841" max="13845" width="10.25" style="3" customWidth="1"/>
    <col min="13846" max="13846" width="11.375" style="3" customWidth="1"/>
    <col min="13847" max="13847" width="31.5" style="3" customWidth="1"/>
    <col min="13848" max="13849" width="10.25" style="3" customWidth="1"/>
    <col min="13850" max="14080" width="9" style="3"/>
    <col min="14081" max="14081" width="24.125" style="3" customWidth="1"/>
    <col min="14082" max="14082" width="13.125" style="3" customWidth="1"/>
    <col min="14083" max="14083" width="9.625" style="3" bestFit="1" customWidth="1"/>
    <col min="14084" max="14086" width="10.25" style="3" customWidth="1"/>
    <col min="14087" max="14087" width="14.25" style="3" customWidth="1"/>
    <col min="14088" max="14088" width="11.25" style="3" customWidth="1"/>
    <col min="14089" max="14089" width="10.25" style="3" customWidth="1"/>
    <col min="14090" max="14090" width="12.25" style="3" customWidth="1"/>
    <col min="14091" max="14092" width="13.125" style="3" customWidth="1"/>
    <col min="14093" max="14094" width="12.25" style="3" customWidth="1"/>
    <col min="14095" max="14096" width="11.375" style="3" customWidth="1"/>
    <col min="14097" max="14101" width="10.25" style="3" customWidth="1"/>
    <col min="14102" max="14102" width="11.375" style="3" customWidth="1"/>
    <col min="14103" max="14103" width="31.5" style="3" customWidth="1"/>
    <col min="14104" max="14105" width="10.25" style="3" customWidth="1"/>
    <col min="14106" max="14336" width="9" style="3"/>
    <col min="14337" max="14337" width="24.125" style="3" customWidth="1"/>
    <col min="14338" max="14338" width="13.125" style="3" customWidth="1"/>
    <col min="14339" max="14339" width="9.625" style="3" bestFit="1" customWidth="1"/>
    <col min="14340" max="14342" width="10.25" style="3" customWidth="1"/>
    <col min="14343" max="14343" width="14.25" style="3" customWidth="1"/>
    <col min="14344" max="14344" width="11.25" style="3" customWidth="1"/>
    <col min="14345" max="14345" width="10.25" style="3" customWidth="1"/>
    <col min="14346" max="14346" width="12.25" style="3" customWidth="1"/>
    <col min="14347" max="14348" width="13.125" style="3" customWidth="1"/>
    <col min="14349" max="14350" width="12.25" style="3" customWidth="1"/>
    <col min="14351" max="14352" width="11.375" style="3" customWidth="1"/>
    <col min="14353" max="14357" width="10.25" style="3" customWidth="1"/>
    <col min="14358" max="14358" width="11.375" style="3" customWidth="1"/>
    <col min="14359" max="14359" width="31.5" style="3" customWidth="1"/>
    <col min="14360" max="14361" width="10.25" style="3" customWidth="1"/>
    <col min="14362" max="14592" width="9" style="3"/>
    <col min="14593" max="14593" width="24.125" style="3" customWidth="1"/>
    <col min="14594" max="14594" width="13.125" style="3" customWidth="1"/>
    <col min="14595" max="14595" width="9.625" style="3" bestFit="1" customWidth="1"/>
    <col min="14596" max="14598" width="10.25" style="3" customWidth="1"/>
    <col min="14599" max="14599" width="14.25" style="3" customWidth="1"/>
    <col min="14600" max="14600" width="11.25" style="3" customWidth="1"/>
    <col min="14601" max="14601" width="10.25" style="3" customWidth="1"/>
    <col min="14602" max="14602" width="12.25" style="3" customWidth="1"/>
    <col min="14603" max="14604" width="13.125" style="3" customWidth="1"/>
    <col min="14605" max="14606" width="12.25" style="3" customWidth="1"/>
    <col min="14607" max="14608" width="11.375" style="3" customWidth="1"/>
    <col min="14609" max="14613" width="10.25" style="3" customWidth="1"/>
    <col min="14614" max="14614" width="11.375" style="3" customWidth="1"/>
    <col min="14615" max="14615" width="31.5" style="3" customWidth="1"/>
    <col min="14616" max="14617" width="10.25" style="3" customWidth="1"/>
    <col min="14618" max="14848" width="9" style="3"/>
    <col min="14849" max="14849" width="24.125" style="3" customWidth="1"/>
    <col min="14850" max="14850" width="13.125" style="3" customWidth="1"/>
    <col min="14851" max="14851" width="9.625" style="3" bestFit="1" customWidth="1"/>
    <col min="14852" max="14854" width="10.25" style="3" customWidth="1"/>
    <col min="14855" max="14855" width="14.25" style="3" customWidth="1"/>
    <col min="14856" max="14856" width="11.25" style="3" customWidth="1"/>
    <col min="14857" max="14857" width="10.25" style="3" customWidth="1"/>
    <col min="14858" max="14858" width="12.25" style="3" customWidth="1"/>
    <col min="14859" max="14860" width="13.125" style="3" customWidth="1"/>
    <col min="14861" max="14862" width="12.25" style="3" customWidth="1"/>
    <col min="14863" max="14864" width="11.375" style="3" customWidth="1"/>
    <col min="14865" max="14869" width="10.25" style="3" customWidth="1"/>
    <col min="14870" max="14870" width="11.375" style="3" customWidth="1"/>
    <col min="14871" max="14871" width="31.5" style="3" customWidth="1"/>
    <col min="14872" max="14873" width="10.25" style="3" customWidth="1"/>
    <col min="14874" max="15104" width="9" style="3"/>
    <col min="15105" max="15105" width="24.125" style="3" customWidth="1"/>
    <col min="15106" max="15106" width="13.125" style="3" customWidth="1"/>
    <col min="15107" max="15107" width="9.625" style="3" bestFit="1" customWidth="1"/>
    <col min="15108" max="15110" width="10.25" style="3" customWidth="1"/>
    <col min="15111" max="15111" width="14.25" style="3" customWidth="1"/>
    <col min="15112" max="15112" width="11.25" style="3" customWidth="1"/>
    <col min="15113" max="15113" width="10.25" style="3" customWidth="1"/>
    <col min="15114" max="15114" width="12.25" style="3" customWidth="1"/>
    <col min="15115" max="15116" width="13.125" style="3" customWidth="1"/>
    <col min="15117" max="15118" width="12.25" style="3" customWidth="1"/>
    <col min="15119" max="15120" width="11.375" style="3" customWidth="1"/>
    <col min="15121" max="15125" width="10.25" style="3" customWidth="1"/>
    <col min="15126" max="15126" width="11.375" style="3" customWidth="1"/>
    <col min="15127" max="15127" width="31.5" style="3" customWidth="1"/>
    <col min="15128" max="15129" width="10.25" style="3" customWidth="1"/>
    <col min="15130" max="15360" width="9" style="3"/>
    <col min="15361" max="15361" width="24.125" style="3" customWidth="1"/>
    <col min="15362" max="15362" width="13.125" style="3" customWidth="1"/>
    <col min="15363" max="15363" width="9.625" style="3" bestFit="1" customWidth="1"/>
    <col min="15364" max="15366" width="10.25" style="3" customWidth="1"/>
    <col min="15367" max="15367" width="14.25" style="3" customWidth="1"/>
    <col min="15368" max="15368" width="11.25" style="3" customWidth="1"/>
    <col min="15369" max="15369" width="10.25" style="3" customWidth="1"/>
    <col min="15370" max="15370" width="12.25" style="3" customWidth="1"/>
    <col min="15371" max="15372" width="13.125" style="3" customWidth="1"/>
    <col min="15373" max="15374" width="12.25" style="3" customWidth="1"/>
    <col min="15375" max="15376" width="11.375" style="3" customWidth="1"/>
    <col min="15377" max="15381" width="10.25" style="3" customWidth="1"/>
    <col min="15382" max="15382" width="11.375" style="3" customWidth="1"/>
    <col min="15383" max="15383" width="31.5" style="3" customWidth="1"/>
    <col min="15384" max="15385" width="10.25" style="3" customWidth="1"/>
    <col min="15386" max="15616" width="9" style="3"/>
    <col min="15617" max="15617" width="24.125" style="3" customWidth="1"/>
    <col min="15618" max="15618" width="13.125" style="3" customWidth="1"/>
    <col min="15619" max="15619" width="9.625" style="3" bestFit="1" customWidth="1"/>
    <col min="15620" max="15622" width="10.25" style="3" customWidth="1"/>
    <col min="15623" max="15623" width="14.25" style="3" customWidth="1"/>
    <col min="15624" max="15624" width="11.25" style="3" customWidth="1"/>
    <col min="15625" max="15625" width="10.25" style="3" customWidth="1"/>
    <col min="15626" max="15626" width="12.25" style="3" customWidth="1"/>
    <col min="15627" max="15628" width="13.125" style="3" customWidth="1"/>
    <col min="15629" max="15630" width="12.25" style="3" customWidth="1"/>
    <col min="15631" max="15632" width="11.375" style="3" customWidth="1"/>
    <col min="15633" max="15637" width="10.25" style="3" customWidth="1"/>
    <col min="15638" max="15638" width="11.375" style="3" customWidth="1"/>
    <col min="15639" max="15639" width="31.5" style="3" customWidth="1"/>
    <col min="15640" max="15641" width="10.25" style="3" customWidth="1"/>
    <col min="15642" max="15872" width="9" style="3"/>
    <col min="15873" max="15873" width="24.125" style="3" customWidth="1"/>
    <col min="15874" max="15874" width="13.125" style="3" customWidth="1"/>
    <col min="15875" max="15875" width="9.625" style="3" bestFit="1" customWidth="1"/>
    <col min="15876" max="15878" width="10.25" style="3" customWidth="1"/>
    <col min="15879" max="15879" width="14.25" style="3" customWidth="1"/>
    <col min="15880" max="15880" width="11.25" style="3" customWidth="1"/>
    <col min="15881" max="15881" width="10.25" style="3" customWidth="1"/>
    <col min="15882" max="15882" width="12.25" style="3" customWidth="1"/>
    <col min="15883" max="15884" width="13.125" style="3" customWidth="1"/>
    <col min="15885" max="15886" width="12.25" style="3" customWidth="1"/>
    <col min="15887" max="15888" width="11.375" style="3" customWidth="1"/>
    <col min="15889" max="15893" width="10.25" style="3" customWidth="1"/>
    <col min="15894" max="15894" width="11.375" style="3" customWidth="1"/>
    <col min="15895" max="15895" width="31.5" style="3" customWidth="1"/>
    <col min="15896" max="15897" width="10.25" style="3" customWidth="1"/>
    <col min="15898" max="16128" width="9" style="3"/>
    <col min="16129" max="16129" width="24.125" style="3" customWidth="1"/>
    <col min="16130" max="16130" width="13.125" style="3" customWidth="1"/>
    <col min="16131" max="16131" width="9.625" style="3" bestFit="1" customWidth="1"/>
    <col min="16132" max="16134" width="10.25" style="3" customWidth="1"/>
    <col min="16135" max="16135" width="14.25" style="3" customWidth="1"/>
    <col min="16136" max="16136" width="11.25" style="3" customWidth="1"/>
    <col min="16137" max="16137" width="10.25" style="3" customWidth="1"/>
    <col min="16138" max="16138" width="12.25" style="3" customWidth="1"/>
    <col min="16139" max="16140" width="13.125" style="3" customWidth="1"/>
    <col min="16141" max="16142" width="12.25" style="3" customWidth="1"/>
    <col min="16143" max="16144" width="11.375" style="3" customWidth="1"/>
    <col min="16145" max="16149" width="10.25" style="3" customWidth="1"/>
    <col min="16150" max="16150" width="11.375" style="3" customWidth="1"/>
    <col min="16151" max="16151" width="31.5" style="3" customWidth="1"/>
    <col min="16152" max="16153" width="10.25" style="3" customWidth="1"/>
    <col min="16154" max="16384" width="9" style="3"/>
  </cols>
  <sheetData>
    <row r="1" spans="1:25" s="87" customFormat="1" ht="15.75" x14ac:dyDescent="0.25">
      <c r="A1" s="71" t="s">
        <v>599</v>
      </c>
      <c r="B1" s="85" t="s">
        <v>202</v>
      </c>
      <c r="C1" s="85" t="s">
        <v>203</v>
      </c>
      <c r="D1" s="85" t="s">
        <v>204</v>
      </c>
      <c r="E1" s="85" t="s">
        <v>205</v>
      </c>
      <c r="F1" s="85" t="s">
        <v>206</v>
      </c>
      <c r="G1" s="86" t="s">
        <v>207</v>
      </c>
      <c r="H1" s="98" t="s">
        <v>208</v>
      </c>
      <c r="I1" s="85" t="s">
        <v>209</v>
      </c>
      <c r="J1" s="85" t="s">
        <v>210</v>
      </c>
      <c r="K1" s="85" t="s">
        <v>211</v>
      </c>
      <c r="L1" s="98" t="s">
        <v>722</v>
      </c>
      <c r="M1" s="85" t="s">
        <v>212</v>
      </c>
      <c r="N1" s="85" t="s">
        <v>213</v>
      </c>
      <c r="O1" s="86" t="s">
        <v>214</v>
      </c>
      <c r="P1" s="85" t="s">
        <v>215</v>
      </c>
      <c r="Q1" s="85" t="s">
        <v>216</v>
      </c>
      <c r="R1" s="85" t="s">
        <v>217</v>
      </c>
      <c r="S1" s="85" t="s">
        <v>218</v>
      </c>
      <c r="T1" s="85" t="s">
        <v>219</v>
      </c>
      <c r="U1" s="85" t="s">
        <v>220</v>
      </c>
      <c r="V1" s="86" t="s">
        <v>221</v>
      </c>
      <c r="W1" s="85" t="s">
        <v>600</v>
      </c>
      <c r="X1" s="87" t="s">
        <v>205</v>
      </c>
      <c r="Y1" s="87" t="s">
        <v>206</v>
      </c>
    </row>
    <row r="2" spans="1:25" hidden="1" x14ac:dyDescent="0.2">
      <c r="A2" s="83" t="str">
        <f>V2&amp;G2</f>
        <v>新蔡水韵天街中薯盒</v>
      </c>
      <c r="B2" s="3" t="s">
        <v>703</v>
      </c>
      <c r="C2" s="84">
        <v>44377</v>
      </c>
      <c r="D2" s="3" t="s">
        <v>336</v>
      </c>
      <c r="E2" s="3" t="s">
        <v>337</v>
      </c>
      <c r="F2" s="3" t="s">
        <v>337</v>
      </c>
      <c r="G2" s="70" t="s">
        <v>338</v>
      </c>
      <c r="H2" s="3" t="s">
        <v>339</v>
      </c>
      <c r="I2" s="3" t="s">
        <v>339</v>
      </c>
      <c r="J2" s="3">
        <v>1150</v>
      </c>
      <c r="K2" s="3">
        <v>1000</v>
      </c>
      <c r="L2" s="3">
        <v>718</v>
      </c>
      <c r="M2" s="3">
        <v>1250</v>
      </c>
      <c r="N2" s="3">
        <v>1432</v>
      </c>
      <c r="O2" s="70">
        <v>-182</v>
      </c>
      <c r="P2" s="3">
        <v>0</v>
      </c>
      <c r="Q2" s="3">
        <v>0</v>
      </c>
      <c r="R2" s="3">
        <v>0.12917600000000001</v>
      </c>
      <c r="S2" s="3">
        <v>-23.51</v>
      </c>
      <c r="T2" s="3">
        <v>161.47</v>
      </c>
      <c r="U2" s="3">
        <v>184.98</v>
      </c>
      <c r="V2" s="70" t="s">
        <v>335</v>
      </c>
      <c r="W2" s="3" t="s">
        <v>343</v>
      </c>
      <c r="X2" s="3" t="s">
        <v>337</v>
      </c>
      <c r="Y2" s="3" t="s">
        <v>337</v>
      </c>
    </row>
    <row r="3" spans="1:25" hidden="1" x14ac:dyDescent="0.2">
      <c r="A3" s="83" t="str">
        <f t="shared" ref="A3:A66" si="0">V3&amp;G3</f>
        <v>郑州康复中街中薯盒</v>
      </c>
      <c r="B3" s="3" t="s">
        <v>704</v>
      </c>
      <c r="C3" s="84">
        <v>44377</v>
      </c>
      <c r="D3" s="3" t="s">
        <v>336</v>
      </c>
      <c r="E3" s="3" t="s">
        <v>337</v>
      </c>
      <c r="F3" s="3" t="s">
        <v>337</v>
      </c>
      <c r="G3" s="70" t="s">
        <v>338</v>
      </c>
      <c r="H3" s="3" t="s">
        <v>339</v>
      </c>
      <c r="I3" s="3" t="s">
        <v>339</v>
      </c>
      <c r="J3" s="3">
        <v>120</v>
      </c>
      <c r="K3" s="3">
        <v>2000</v>
      </c>
      <c r="L3" s="3">
        <v>543</v>
      </c>
      <c r="M3" s="3">
        <v>1550</v>
      </c>
      <c r="N3" s="3">
        <v>1577</v>
      </c>
      <c r="O3" s="70">
        <v>-27</v>
      </c>
      <c r="P3" s="3">
        <v>0</v>
      </c>
      <c r="Q3" s="3">
        <v>0</v>
      </c>
      <c r="R3" s="3">
        <v>0.12867700000000001</v>
      </c>
      <c r="S3" s="3">
        <v>-3.47</v>
      </c>
      <c r="T3" s="3">
        <v>199.45</v>
      </c>
      <c r="U3" s="3">
        <v>202.92</v>
      </c>
      <c r="V3" s="70" t="s">
        <v>593</v>
      </c>
      <c r="W3" s="3" t="s">
        <v>343</v>
      </c>
      <c r="X3" s="3" t="s">
        <v>337</v>
      </c>
      <c r="Y3" s="3" t="s">
        <v>337</v>
      </c>
    </row>
    <row r="4" spans="1:25" hidden="1" x14ac:dyDescent="0.2">
      <c r="A4" s="83" t="str">
        <f t="shared" si="0"/>
        <v>华山龙源中薯盒</v>
      </c>
      <c r="B4" s="3" t="s">
        <v>705</v>
      </c>
      <c r="C4" s="84">
        <v>44377</v>
      </c>
      <c r="D4" s="3" t="s">
        <v>336</v>
      </c>
      <c r="E4" s="3" t="s">
        <v>337</v>
      </c>
      <c r="F4" s="3" t="s">
        <v>337</v>
      </c>
      <c r="G4" s="70" t="s">
        <v>338</v>
      </c>
      <c r="H4" s="3" t="s">
        <v>339</v>
      </c>
      <c r="I4" s="3" t="s">
        <v>339</v>
      </c>
      <c r="J4" s="3">
        <v>664</v>
      </c>
      <c r="K4" s="3">
        <v>0</v>
      </c>
      <c r="L4" s="3">
        <v>434</v>
      </c>
      <c r="M4" s="3">
        <v>232</v>
      </c>
      <c r="N4" s="3">
        <v>230</v>
      </c>
      <c r="O4" s="70">
        <v>2</v>
      </c>
      <c r="P4" s="3">
        <v>0</v>
      </c>
      <c r="Q4" s="3">
        <v>0</v>
      </c>
      <c r="R4" s="3">
        <v>0.128664</v>
      </c>
      <c r="S4" s="3">
        <v>0.26</v>
      </c>
      <c r="T4" s="3">
        <v>29.85</v>
      </c>
      <c r="U4" s="3">
        <v>29.59</v>
      </c>
      <c r="V4" s="70" t="s">
        <v>643</v>
      </c>
      <c r="W4" s="3" t="s">
        <v>343</v>
      </c>
      <c r="X4" s="3" t="s">
        <v>337</v>
      </c>
      <c r="Y4" s="3" t="s">
        <v>337</v>
      </c>
    </row>
    <row r="5" spans="1:25" hidden="1" x14ac:dyDescent="0.2">
      <c r="A5" s="83" t="str">
        <f t="shared" si="0"/>
        <v>郑州瀚海海尚中薯盒</v>
      </c>
      <c r="B5" s="3" t="s">
        <v>706</v>
      </c>
      <c r="C5" s="84">
        <v>44377</v>
      </c>
      <c r="D5" s="3" t="s">
        <v>336</v>
      </c>
      <c r="E5" s="3" t="s">
        <v>337</v>
      </c>
      <c r="F5" s="3" t="s">
        <v>337</v>
      </c>
      <c r="G5" s="70" t="s">
        <v>338</v>
      </c>
      <c r="H5" s="3" t="s">
        <v>339</v>
      </c>
      <c r="I5" s="3" t="s">
        <v>339</v>
      </c>
      <c r="J5" s="3">
        <v>1550</v>
      </c>
      <c r="K5" s="3">
        <v>1000</v>
      </c>
      <c r="L5" s="3">
        <v>762</v>
      </c>
      <c r="M5" s="3">
        <v>1370</v>
      </c>
      <c r="N5" s="3">
        <v>1788</v>
      </c>
      <c r="O5" s="70">
        <v>-418</v>
      </c>
      <c r="P5" s="3">
        <v>0</v>
      </c>
      <c r="Q5" s="3">
        <v>0</v>
      </c>
      <c r="R5" s="3">
        <v>0.13015299999999999</v>
      </c>
      <c r="S5" s="3">
        <v>-54.4</v>
      </c>
      <c r="T5" s="3">
        <v>178.31</v>
      </c>
      <c r="U5" s="3">
        <v>232.71</v>
      </c>
      <c r="V5" s="70" t="s">
        <v>333</v>
      </c>
      <c r="W5" s="3" t="s">
        <v>343</v>
      </c>
      <c r="X5" s="3" t="s">
        <v>337</v>
      </c>
      <c r="Y5" s="3" t="s">
        <v>337</v>
      </c>
    </row>
    <row r="6" spans="1:25" hidden="1" x14ac:dyDescent="0.2">
      <c r="A6" s="83" t="str">
        <f t="shared" si="0"/>
        <v>郑州铁英街中薯盒</v>
      </c>
      <c r="B6" s="3" t="s">
        <v>707</v>
      </c>
      <c r="C6" s="84">
        <v>44377</v>
      </c>
      <c r="D6" s="3" t="s">
        <v>336</v>
      </c>
      <c r="E6" s="3" t="s">
        <v>337</v>
      </c>
      <c r="F6" s="3" t="s">
        <v>337</v>
      </c>
      <c r="G6" s="70" t="s">
        <v>338</v>
      </c>
      <c r="H6" s="3" t="s">
        <v>339</v>
      </c>
      <c r="I6" s="3" t="s">
        <v>339</v>
      </c>
      <c r="J6" s="3">
        <v>1008</v>
      </c>
      <c r="K6" s="3">
        <v>0</v>
      </c>
      <c r="L6" s="3">
        <v>544</v>
      </c>
      <c r="M6" s="3">
        <v>303</v>
      </c>
      <c r="N6" s="3">
        <v>464</v>
      </c>
      <c r="O6" s="70">
        <v>-161</v>
      </c>
      <c r="P6" s="3">
        <v>0</v>
      </c>
      <c r="Q6" s="3">
        <v>0</v>
      </c>
      <c r="R6" s="3">
        <v>0.131749</v>
      </c>
      <c r="S6" s="3">
        <v>-21.21</v>
      </c>
      <c r="T6" s="3">
        <v>39.92</v>
      </c>
      <c r="U6" s="3">
        <v>61.13</v>
      </c>
      <c r="V6" s="70" t="s">
        <v>592</v>
      </c>
      <c r="W6" s="3" t="s">
        <v>343</v>
      </c>
      <c r="X6" s="3" t="s">
        <v>337</v>
      </c>
      <c r="Y6" s="3" t="s">
        <v>337</v>
      </c>
    </row>
    <row r="7" spans="1:25" hidden="1" x14ac:dyDescent="0.2">
      <c r="A7" s="83" t="str">
        <f t="shared" si="0"/>
        <v>郑州西悦城中薯盒</v>
      </c>
      <c r="B7" s="3" t="s">
        <v>708</v>
      </c>
      <c r="C7" s="84">
        <v>44377</v>
      </c>
      <c r="D7" s="3" t="s">
        <v>336</v>
      </c>
      <c r="E7" s="3" t="s">
        <v>337</v>
      </c>
      <c r="F7" s="3" t="s">
        <v>337</v>
      </c>
      <c r="G7" s="70" t="s">
        <v>338</v>
      </c>
      <c r="H7" s="3" t="s">
        <v>339</v>
      </c>
      <c r="I7" s="3" t="s">
        <v>339</v>
      </c>
      <c r="J7" s="3">
        <v>1000</v>
      </c>
      <c r="K7" s="3">
        <v>1000</v>
      </c>
      <c r="L7" s="3">
        <v>633</v>
      </c>
      <c r="M7" s="3">
        <v>470</v>
      </c>
      <c r="N7" s="3">
        <v>1367</v>
      </c>
      <c r="O7" s="70">
        <v>-897</v>
      </c>
      <c r="P7" s="3">
        <v>0</v>
      </c>
      <c r="Q7" s="3">
        <v>0</v>
      </c>
      <c r="R7" s="3">
        <v>0.12951099999999999</v>
      </c>
      <c r="S7" s="3">
        <v>-116.17</v>
      </c>
      <c r="T7" s="3">
        <v>60.87</v>
      </c>
      <c r="U7" s="3">
        <v>177.04</v>
      </c>
      <c r="V7" s="70" t="s">
        <v>332</v>
      </c>
      <c r="W7" s="3" t="s">
        <v>723</v>
      </c>
      <c r="X7" s="3" t="s">
        <v>337</v>
      </c>
      <c r="Y7" s="3" t="s">
        <v>337</v>
      </c>
    </row>
    <row r="8" spans="1:25" hidden="1" x14ac:dyDescent="0.2">
      <c r="A8" s="83" t="str">
        <f t="shared" si="0"/>
        <v>郑州盛华里中薯盒</v>
      </c>
      <c r="B8" s="3" t="s">
        <v>709</v>
      </c>
      <c r="C8" s="84">
        <v>44377</v>
      </c>
      <c r="D8" s="3" t="s">
        <v>336</v>
      </c>
      <c r="E8" s="3" t="s">
        <v>337</v>
      </c>
      <c r="F8" s="3" t="s">
        <v>337</v>
      </c>
      <c r="G8" s="70" t="s">
        <v>338</v>
      </c>
      <c r="H8" s="3" t="s">
        <v>339</v>
      </c>
      <c r="I8" s="3" t="s">
        <v>339</v>
      </c>
      <c r="J8" s="3">
        <v>710</v>
      </c>
      <c r="K8" s="3">
        <v>0</v>
      </c>
      <c r="L8" s="3">
        <v>192</v>
      </c>
      <c r="M8" s="3">
        <v>200</v>
      </c>
      <c r="N8" s="3">
        <v>518</v>
      </c>
      <c r="O8" s="70">
        <v>-318</v>
      </c>
      <c r="P8" s="3">
        <v>0</v>
      </c>
      <c r="Q8" s="3">
        <v>0</v>
      </c>
      <c r="R8" s="3">
        <v>0.1285</v>
      </c>
      <c r="S8" s="3">
        <v>-40.86</v>
      </c>
      <c r="T8" s="3">
        <v>25.7</v>
      </c>
      <c r="U8" s="3">
        <v>66.56</v>
      </c>
      <c r="V8" s="70" t="s">
        <v>637</v>
      </c>
      <c r="W8" s="3" t="s">
        <v>343</v>
      </c>
      <c r="X8" s="3" t="s">
        <v>337</v>
      </c>
      <c r="Y8" s="3" t="s">
        <v>337</v>
      </c>
    </row>
    <row r="9" spans="1:25" hidden="1" x14ac:dyDescent="0.2">
      <c r="A9" s="83" t="str">
        <f t="shared" si="0"/>
        <v>滑县滑台中薯盒</v>
      </c>
      <c r="B9" s="3" t="s">
        <v>710</v>
      </c>
      <c r="C9" s="84">
        <v>44377</v>
      </c>
      <c r="D9" s="3" t="s">
        <v>336</v>
      </c>
      <c r="E9" s="3" t="s">
        <v>337</v>
      </c>
      <c r="F9" s="3" t="s">
        <v>337</v>
      </c>
      <c r="G9" s="70" t="s">
        <v>338</v>
      </c>
      <c r="H9" s="3" t="s">
        <v>339</v>
      </c>
      <c r="I9" s="3" t="s">
        <v>339</v>
      </c>
      <c r="J9" s="3">
        <v>342</v>
      </c>
      <c r="K9" s="3">
        <v>1000</v>
      </c>
      <c r="L9" s="3">
        <v>464</v>
      </c>
      <c r="M9" s="3">
        <v>448</v>
      </c>
      <c r="N9" s="3">
        <v>878</v>
      </c>
      <c r="O9" s="70">
        <v>-430</v>
      </c>
      <c r="P9" s="3">
        <v>0</v>
      </c>
      <c r="Q9" s="3">
        <v>0</v>
      </c>
      <c r="R9" s="3">
        <v>0.12917400000000001</v>
      </c>
      <c r="S9" s="3">
        <v>-55.54</v>
      </c>
      <c r="T9" s="3">
        <v>57.87</v>
      </c>
      <c r="U9" s="3">
        <v>113.41</v>
      </c>
      <c r="V9" s="70" t="s">
        <v>639</v>
      </c>
      <c r="W9" s="3" t="s">
        <v>343</v>
      </c>
      <c r="X9" s="3" t="s">
        <v>337</v>
      </c>
      <c r="Y9" s="3" t="s">
        <v>337</v>
      </c>
    </row>
    <row r="10" spans="1:25" hidden="1" x14ac:dyDescent="0.2">
      <c r="A10" s="83" t="str">
        <f t="shared" si="0"/>
        <v>郑州裕华中薯盒</v>
      </c>
      <c r="B10" s="3" t="s">
        <v>711</v>
      </c>
      <c r="C10" s="84">
        <v>44377</v>
      </c>
      <c r="D10" s="3" t="s">
        <v>336</v>
      </c>
      <c r="E10" s="3" t="s">
        <v>337</v>
      </c>
      <c r="F10" s="3" t="s">
        <v>337</v>
      </c>
      <c r="G10" s="70" t="s">
        <v>338</v>
      </c>
      <c r="H10" s="3" t="s">
        <v>339</v>
      </c>
      <c r="I10" s="3" t="s">
        <v>339</v>
      </c>
      <c r="J10" s="3">
        <v>1500</v>
      </c>
      <c r="K10" s="3">
        <v>0</v>
      </c>
      <c r="L10" s="3">
        <v>513</v>
      </c>
      <c r="M10" s="3">
        <v>700</v>
      </c>
      <c r="N10" s="3">
        <v>987</v>
      </c>
      <c r="O10" s="70">
        <v>-287</v>
      </c>
      <c r="P10" s="3">
        <v>0</v>
      </c>
      <c r="Q10" s="3">
        <v>0</v>
      </c>
      <c r="R10" s="3">
        <v>0.12904299999999999</v>
      </c>
      <c r="S10" s="3">
        <v>-37.04</v>
      </c>
      <c r="T10" s="3">
        <v>90.33</v>
      </c>
      <c r="U10" s="3">
        <v>127.37</v>
      </c>
      <c r="V10" s="70" t="s">
        <v>641</v>
      </c>
      <c r="W10" s="3" t="s">
        <v>343</v>
      </c>
      <c r="X10" s="3" t="s">
        <v>337</v>
      </c>
      <c r="Y10" s="3" t="s">
        <v>337</v>
      </c>
    </row>
    <row r="11" spans="1:25" hidden="1" x14ac:dyDescent="0.2">
      <c r="A11" s="83" t="str">
        <f t="shared" si="0"/>
        <v>方城锦城国际中薯盒</v>
      </c>
      <c r="B11" s="3" t="s">
        <v>712</v>
      </c>
      <c r="C11" s="84">
        <v>44377</v>
      </c>
      <c r="D11" s="3" t="s">
        <v>336</v>
      </c>
      <c r="E11" s="3" t="s">
        <v>337</v>
      </c>
      <c r="F11" s="3" t="s">
        <v>337</v>
      </c>
      <c r="G11" s="70" t="s">
        <v>338</v>
      </c>
      <c r="H11" s="3" t="s">
        <v>339</v>
      </c>
      <c r="I11" s="3" t="s">
        <v>339</v>
      </c>
      <c r="J11" s="3">
        <v>1140</v>
      </c>
      <c r="K11" s="3">
        <v>0</v>
      </c>
      <c r="L11" s="3">
        <v>741</v>
      </c>
      <c r="M11" s="3">
        <v>270</v>
      </c>
      <c r="N11" s="3">
        <v>399</v>
      </c>
      <c r="O11" s="70">
        <v>-129</v>
      </c>
      <c r="P11" s="3">
        <v>0</v>
      </c>
      <c r="Q11" s="3">
        <v>0</v>
      </c>
      <c r="R11" s="3">
        <v>0.13014800000000001</v>
      </c>
      <c r="S11" s="3">
        <v>-16.79</v>
      </c>
      <c r="T11" s="3">
        <v>35.14</v>
      </c>
      <c r="U11" s="3">
        <v>51.93</v>
      </c>
      <c r="V11" s="70" t="s">
        <v>594</v>
      </c>
      <c r="W11" s="3" t="s">
        <v>343</v>
      </c>
      <c r="X11" s="3" t="s">
        <v>337</v>
      </c>
      <c r="Y11" s="3" t="s">
        <v>337</v>
      </c>
    </row>
    <row r="12" spans="1:25" hidden="1" x14ac:dyDescent="0.2">
      <c r="A12" s="83" t="str">
        <f t="shared" si="0"/>
        <v>清丰凤鸣中薯盒</v>
      </c>
      <c r="B12" s="3" t="s">
        <v>713</v>
      </c>
      <c r="C12" s="84">
        <v>44377</v>
      </c>
      <c r="D12" s="3" t="s">
        <v>336</v>
      </c>
      <c r="E12" s="3" t="s">
        <v>337</v>
      </c>
      <c r="F12" s="3" t="s">
        <v>337</v>
      </c>
      <c r="G12" s="70" t="s">
        <v>338</v>
      </c>
      <c r="H12" s="3" t="s">
        <v>339</v>
      </c>
      <c r="I12" s="3" t="s">
        <v>339</v>
      </c>
      <c r="J12" s="3">
        <v>882</v>
      </c>
      <c r="K12" s="3">
        <v>1000</v>
      </c>
      <c r="L12" s="3">
        <v>605</v>
      </c>
      <c r="M12" s="3">
        <v>1140</v>
      </c>
      <c r="N12" s="3">
        <v>1277</v>
      </c>
      <c r="O12" s="70">
        <v>-137</v>
      </c>
      <c r="P12" s="3">
        <v>0</v>
      </c>
      <c r="Q12" s="3">
        <v>0</v>
      </c>
      <c r="R12" s="3">
        <v>0.12878100000000001</v>
      </c>
      <c r="S12" s="3">
        <v>-17.64</v>
      </c>
      <c r="T12" s="3">
        <v>146.81</v>
      </c>
      <c r="U12" s="3">
        <v>164.45</v>
      </c>
      <c r="V12" s="70" t="s">
        <v>334</v>
      </c>
      <c r="W12" s="3" t="s">
        <v>343</v>
      </c>
      <c r="X12" s="3" t="s">
        <v>337</v>
      </c>
      <c r="Y12" s="3" t="s">
        <v>337</v>
      </c>
    </row>
    <row r="13" spans="1:25" hidden="1" x14ac:dyDescent="0.2">
      <c r="A13" s="83" t="str">
        <f t="shared" si="0"/>
        <v>郑州政六街中薯盒</v>
      </c>
      <c r="B13" s="3" t="s">
        <v>714</v>
      </c>
      <c r="C13" s="84">
        <v>44377</v>
      </c>
      <c r="D13" s="3" t="s">
        <v>336</v>
      </c>
      <c r="E13" s="3" t="s">
        <v>337</v>
      </c>
      <c r="F13" s="3" t="s">
        <v>337</v>
      </c>
      <c r="G13" s="70" t="s">
        <v>338</v>
      </c>
      <c r="H13" s="3" t="s">
        <v>339</v>
      </c>
      <c r="I13" s="3" t="s">
        <v>339</v>
      </c>
      <c r="J13" s="3">
        <v>1644</v>
      </c>
      <c r="K13" s="3">
        <v>1000</v>
      </c>
      <c r="L13" s="3">
        <v>363</v>
      </c>
      <c r="M13" s="3">
        <v>821</v>
      </c>
      <c r="N13" s="3">
        <v>2281</v>
      </c>
      <c r="O13" s="70">
        <v>-1460</v>
      </c>
      <c r="P13" s="3">
        <v>0</v>
      </c>
      <c r="Q13" s="3">
        <v>0</v>
      </c>
      <c r="R13" s="3">
        <v>0.12953700000000001</v>
      </c>
      <c r="S13" s="3">
        <v>-189.12</v>
      </c>
      <c r="T13" s="3">
        <v>106.35</v>
      </c>
      <c r="U13" s="3">
        <v>295.47000000000003</v>
      </c>
      <c r="V13" s="70" t="s">
        <v>591</v>
      </c>
      <c r="W13" s="3" t="s">
        <v>724</v>
      </c>
      <c r="X13" s="3" t="s">
        <v>337</v>
      </c>
      <c r="Y13" s="3" t="s">
        <v>337</v>
      </c>
    </row>
    <row r="14" spans="1:25" hidden="1" x14ac:dyDescent="0.2">
      <c r="A14" s="83" t="str">
        <f t="shared" si="0"/>
        <v>郑州政六街鸡排粉</v>
      </c>
      <c r="B14" s="3" t="s">
        <v>714</v>
      </c>
      <c r="C14" s="84">
        <v>44377</v>
      </c>
      <c r="D14" s="3" t="s">
        <v>340</v>
      </c>
      <c r="E14" s="3" t="s">
        <v>337</v>
      </c>
      <c r="F14" s="3" t="s">
        <v>337</v>
      </c>
      <c r="G14" s="70" t="s">
        <v>63</v>
      </c>
      <c r="H14" s="3" t="s">
        <v>341</v>
      </c>
      <c r="I14" s="3" t="s">
        <v>89</v>
      </c>
      <c r="J14" s="3">
        <v>8500</v>
      </c>
      <c r="K14" s="3">
        <v>0</v>
      </c>
      <c r="L14" s="3">
        <v>5149.8</v>
      </c>
      <c r="M14" s="3">
        <v>3300</v>
      </c>
      <c r="N14" s="3">
        <v>3350.2</v>
      </c>
      <c r="O14" s="70">
        <v>-50.2</v>
      </c>
      <c r="P14" s="3">
        <v>0</v>
      </c>
      <c r="Q14" s="3">
        <v>0</v>
      </c>
      <c r="R14" s="3">
        <v>1.5973000000000001E-2</v>
      </c>
      <c r="S14" s="3">
        <v>-0.8</v>
      </c>
      <c r="T14" s="3">
        <v>52.71</v>
      </c>
      <c r="U14" s="3">
        <v>53.51</v>
      </c>
      <c r="V14" s="70" t="s">
        <v>591</v>
      </c>
      <c r="W14" s="3" t="s">
        <v>343</v>
      </c>
      <c r="X14" s="3" t="s">
        <v>337</v>
      </c>
      <c r="Y14" s="3" t="s">
        <v>337</v>
      </c>
    </row>
    <row r="15" spans="1:25" hidden="1" x14ac:dyDescent="0.2">
      <c r="A15" s="83" t="str">
        <f t="shared" si="0"/>
        <v>清丰凤鸣鸡排粉</v>
      </c>
      <c r="B15" s="3" t="s">
        <v>713</v>
      </c>
      <c r="C15" s="84">
        <v>44377</v>
      </c>
      <c r="D15" s="3" t="s">
        <v>340</v>
      </c>
      <c r="E15" s="3" t="s">
        <v>337</v>
      </c>
      <c r="F15" s="3" t="s">
        <v>337</v>
      </c>
      <c r="G15" s="70" t="s">
        <v>63</v>
      </c>
      <c r="H15" s="3" t="s">
        <v>341</v>
      </c>
      <c r="I15" s="3" t="s">
        <v>89</v>
      </c>
      <c r="J15" s="3">
        <v>13100</v>
      </c>
      <c r="K15" s="3">
        <v>0</v>
      </c>
      <c r="L15" s="3">
        <v>2421.8000000000002</v>
      </c>
      <c r="M15" s="3">
        <v>11000</v>
      </c>
      <c r="N15" s="3">
        <v>10678.2</v>
      </c>
      <c r="O15" s="70">
        <v>321.8</v>
      </c>
      <c r="P15" s="3">
        <v>0</v>
      </c>
      <c r="Q15" s="3">
        <v>0</v>
      </c>
      <c r="R15" s="3">
        <v>1.6150999999999999E-2</v>
      </c>
      <c r="S15" s="3">
        <v>5.2</v>
      </c>
      <c r="T15" s="3">
        <v>177.66</v>
      </c>
      <c r="U15" s="3">
        <v>172.46</v>
      </c>
      <c r="V15" s="70" t="s">
        <v>334</v>
      </c>
      <c r="W15" s="3" t="s">
        <v>343</v>
      </c>
      <c r="X15" s="3" t="s">
        <v>337</v>
      </c>
      <c r="Y15" s="3" t="s">
        <v>337</v>
      </c>
    </row>
    <row r="16" spans="1:25" hidden="1" x14ac:dyDescent="0.2">
      <c r="A16" s="83" t="str">
        <f t="shared" si="0"/>
        <v>方城锦城国际鸡排粉</v>
      </c>
      <c r="B16" s="3" t="s">
        <v>712</v>
      </c>
      <c r="C16" s="84">
        <v>44377</v>
      </c>
      <c r="D16" s="3" t="s">
        <v>340</v>
      </c>
      <c r="E16" s="3" t="s">
        <v>337</v>
      </c>
      <c r="F16" s="3" t="s">
        <v>337</v>
      </c>
      <c r="G16" s="70" t="s">
        <v>63</v>
      </c>
      <c r="H16" s="3" t="s">
        <v>341</v>
      </c>
      <c r="I16" s="3" t="s">
        <v>89</v>
      </c>
      <c r="J16" s="3">
        <v>16000</v>
      </c>
      <c r="K16" s="3">
        <v>0</v>
      </c>
      <c r="L16" s="3">
        <v>4855.1000000000004</v>
      </c>
      <c r="M16" s="3">
        <v>12000</v>
      </c>
      <c r="N16" s="3">
        <v>11144.9</v>
      </c>
      <c r="O16" s="70">
        <v>855.1</v>
      </c>
      <c r="P16" s="3">
        <v>6</v>
      </c>
      <c r="Q16" s="3">
        <v>0</v>
      </c>
      <c r="R16" s="3">
        <v>1.6463999999999999E-2</v>
      </c>
      <c r="S16" s="3">
        <v>14.08</v>
      </c>
      <c r="T16" s="3">
        <v>197.57</v>
      </c>
      <c r="U16" s="3">
        <v>183.49</v>
      </c>
      <c r="V16" s="70" t="s">
        <v>594</v>
      </c>
      <c r="W16" s="3" t="s">
        <v>343</v>
      </c>
      <c r="X16" s="3" t="s">
        <v>337</v>
      </c>
      <c r="Y16" s="3" t="s">
        <v>337</v>
      </c>
    </row>
    <row r="17" spans="1:25" hidden="1" x14ac:dyDescent="0.2">
      <c r="A17" s="83" t="str">
        <f t="shared" si="0"/>
        <v>郑州裕华鸡排粉</v>
      </c>
      <c r="B17" s="3" t="s">
        <v>711</v>
      </c>
      <c r="C17" s="84">
        <v>44377</v>
      </c>
      <c r="D17" s="3" t="s">
        <v>340</v>
      </c>
      <c r="E17" s="3" t="s">
        <v>337</v>
      </c>
      <c r="F17" s="3" t="s">
        <v>337</v>
      </c>
      <c r="G17" s="70" t="s">
        <v>63</v>
      </c>
      <c r="H17" s="3" t="s">
        <v>341</v>
      </c>
      <c r="I17" s="3" t="s">
        <v>89</v>
      </c>
      <c r="J17" s="3">
        <v>7800</v>
      </c>
      <c r="K17" s="3">
        <v>0</v>
      </c>
      <c r="L17" s="3">
        <v>2956.2</v>
      </c>
      <c r="M17" s="3">
        <v>4000</v>
      </c>
      <c r="N17" s="3">
        <v>4843.8</v>
      </c>
      <c r="O17" s="70">
        <v>-843.8</v>
      </c>
      <c r="P17" s="3">
        <v>12</v>
      </c>
      <c r="Q17" s="3">
        <v>0</v>
      </c>
      <c r="R17" s="3">
        <v>1.6428000000000002E-2</v>
      </c>
      <c r="S17" s="3">
        <v>-13.86</v>
      </c>
      <c r="T17" s="3">
        <v>65.709999999999994</v>
      </c>
      <c r="U17" s="3">
        <v>79.569999999999993</v>
      </c>
      <c r="V17" s="70" t="s">
        <v>641</v>
      </c>
      <c r="W17" s="3" t="s">
        <v>343</v>
      </c>
      <c r="X17" s="3" t="s">
        <v>337</v>
      </c>
      <c r="Y17" s="3" t="s">
        <v>337</v>
      </c>
    </row>
    <row r="18" spans="1:25" hidden="1" x14ac:dyDescent="0.2">
      <c r="A18" s="83" t="str">
        <f t="shared" si="0"/>
        <v>滑县滑台鸡排粉</v>
      </c>
      <c r="B18" s="3" t="s">
        <v>710</v>
      </c>
      <c r="C18" s="84">
        <v>44377</v>
      </c>
      <c r="D18" s="3" t="s">
        <v>340</v>
      </c>
      <c r="E18" s="3" t="s">
        <v>337</v>
      </c>
      <c r="F18" s="3" t="s">
        <v>337</v>
      </c>
      <c r="G18" s="70" t="s">
        <v>63</v>
      </c>
      <c r="H18" s="3" t="s">
        <v>341</v>
      </c>
      <c r="I18" s="3" t="s">
        <v>89</v>
      </c>
      <c r="J18" s="3">
        <v>18000</v>
      </c>
      <c r="K18" s="3">
        <v>0</v>
      </c>
      <c r="L18" s="3">
        <v>4538.6000000000004</v>
      </c>
      <c r="M18" s="3">
        <v>14000</v>
      </c>
      <c r="N18" s="3">
        <v>13461.4</v>
      </c>
      <c r="O18" s="70">
        <v>538.6</v>
      </c>
      <c r="P18" s="3">
        <v>9</v>
      </c>
      <c r="Q18" s="3">
        <v>0</v>
      </c>
      <c r="R18" s="3">
        <v>1.6438999999999999E-2</v>
      </c>
      <c r="S18" s="3">
        <v>8.85</v>
      </c>
      <c r="T18" s="3">
        <v>230.14</v>
      </c>
      <c r="U18" s="3">
        <v>221.29</v>
      </c>
      <c r="V18" s="70" t="s">
        <v>639</v>
      </c>
      <c r="W18" s="3" t="s">
        <v>343</v>
      </c>
      <c r="X18" s="3" t="s">
        <v>337</v>
      </c>
      <c r="Y18" s="3" t="s">
        <v>337</v>
      </c>
    </row>
    <row r="19" spans="1:25" hidden="1" x14ac:dyDescent="0.2">
      <c r="A19" s="83" t="str">
        <f t="shared" si="0"/>
        <v>郑州盛华里鸡排粉</v>
      </c>
      <c r="B19" s="3" t="s">
        <v>709</v>
      </c>
      <c r="C19" s="84">
        <v>44377</v>
      </c>
      <c r="D19" s="3" t="s">
        <v>340</v>
      </c>
      <c r="E19" s="3" t="s">
        <v>337</v>
      </c>
      <c r="F19" s="3" t="s">
        <v>337</v>
      </c>
      <c r="G19" s="70" t="s">
        <v>63</v>
      </c>
      <c r="H19" s="3" t="s">
        <v>341</v>
      </c>
      <c r="I19" s="3" t="s">
        <v>89</v>
      </c>
      <c r="J19" s="3">
        <v>8540</v>
      </c>
      <c r="K19" s="3">
        <v>0</v>
      </c>
      <c r="L19" s="3">
        <v>1616.4</v>
      </c>
      <c r="M19" s="3">
        <v>7000</v>
      </c>
      <c r="N19" s="3">
        <v>6923.6</v>
      </c>
      <c r="O19" s="70">
        <v>76.400000000000006</v>
      </c>
      <c r="P19" s="3">
        <v>1</v>
      </c>
      <c r="Q19" s="3">
        <v>0</v>
      </c>
      <c r="R19" s="3">
        <v>1.6279999999999999E-2</v>
      </c>
      <c r="S19" s="3">
        <v>1.24</v>
      </c>
      <c r="T19" s="3">
        <v>113.96</v>
      </c>
      <c r="U19" s="3">
        <v>112.72</v>
      </c>
      <c r="V19" s="70" t="s">
        <v>637</v>
      </c>
      <c r="W19" s="3" t="s">
        <v>343</v>
      </c>
      <c r="X19" s="3" t="s">
        <v>337</v>
      </c>
      <c r="Y19" s="3" t="s">
        <v>337</v>
      </c>
    </row>
    <row r="20" spans="1:25" hidden="1" x14ac:dyDescent="0.2">
      <c r="A20" s="83" t="str">
        <f t="shared" si="0"/>
        <v>郑州西悦城鸡排粉</v>
      </c>
      <c r="B20" s="3" t="s">
        <v>708</v>
      </c>
      <c r="C20" s="84">
        <v>44377</v>
      </c>
      <c r="D20" s="3" t="s">
        <v>340</v>
      </c>
      <c r="E20" s="3" t="s">
        <v>337</v>
      </c>
      <c r="F20" s="3" t="s">
        <v>337</v>
      </c>
      <c r="G20" s="70" t="s">
        <v>63</v>
      </c>
      <c r="H20" s="3" t="s">
        <v>341</v>
      </c>
      <c r="I20" s="3" t="s">
        <v>89</v>
      </c>
      <c r="J20" s="3">
        <v>6000</v>
      </c>
      <c r="K20" s="3">
        <v>10000</v>
      </c>
      <c r="L20" s="3">
        <v>6469.5</v>
      </c>
      <c r="M20" s="3">
        <v>10000</v>
      </c>
      <c r="N20" s="3">
        <v>9530.5</v>
      </c>
      <c r="O20" s="70">
        <v>469.5</v>
      </c>
      <c r="P20" s="3">
        <v>13</v>
      </c>
      <c r="Q20" s="3">
        <v>0</v>
      </c>
      <c r="R20" s="3">
        <v>1.6458E-2</v>
      </c>
      <c r="S20" s="3">
        <v>7.73</v>
      </c>
      <c r="T20" s="3">
        <v>164.58</v>
      </c>
      <c r="U20" s="3">
        <v>156.85</v>
      </c>
      <c r="V20" s="70" t="s">
        <v>332</v>
      </c>
      <c r="W20" s="3" t="s">
        <v>343</v>
      </c>
      <c r="X20" s="3" t="s">
        <v>337</v>
      </c>
      <c r="Y20" s="3" t="s">
        <v>337</v>
      </c>
    </row>
    <row r="21" spans="1:25" hidden="1" x14ac:dyDescent="0.2">
      <c r="A21" s="83" t="str">
        <f t="shared" si="0"/>
        <v>郑州铁英街鸡排粉</v>
      </c>
      <c r="B21" s="3" t="s">
        <v>707</v>
      </c>
      <c r="C21" s="84">
        <v>44377</v>
      </c>
      <c r="D21" s="3" t="s">
        <v>340</v>
      </c>
      <c r="E21" s="3" t="s">
        <v>337</v>
      </c>
      <c r="F21" s="3" t="s">
        <v>337</v>
      </c>
      <c r="G21" s="70" t="s">
        <v>63</v>
      </c>
      <c r="H21" s="3" t="s">
        <v>341</v>
      </c>
      <c r="I21" s="3" t="s">
        <v>89</v>
      </c>
      <c r="J21" s="3">
        <v>5100</v>
      </c>
      <c r="K21" s="3">
        <v>0</v>
      </c>
      <c r="L21" s="3">
        <v>3221.4</v>
      </c>
      <c r="M21" s="3">
        <v>2200</v>
      </c>
      <c r="N21" s="3">
        <v>1878.6</v>
      </c>
      <c r="O21" s="70">
        <v>321.39999999999998</v>
      </c>
      <c r="P21" s="3">
        <v>16</v>
      </c>
      <c r="Q21" s="3">
        <v>0</v>
      </c>
      <c r="R21" s="3">
        <v>1.5986E-2</v>
      </c>
      <c r="S21" s="3">
        <v>5.14</v>
      </c>
      <c r="T21" s="3">
        <v>35.17</v>
      </c>
      <c r="U21" s="3">
        <v>30.03</v>
      </c>
      <c r="V21" s="70" t="s">
        <v>592</v>
      </c>
      <c r="W21" s="3" t="s">
        <v>343</v>
      </c>
      <c r="X21" s="3" t="s">
        <v>337</v>
      </c>
      <c r="Y21" s="3" t="s">
        <v>337</v>
      </c>
    </row>
    <row r="22" spans="1:25" hidden="1" x14ac:dyDescent="0.2">
      <c r="A22" s="83" t="str">
        <f t="shared" si="0"/>
        <v>郑州瀚海海尚鸡排粉</v>
      </c>
      <c r="B22" s="3" t="s">
        <v>706</v>
      </c>
      <c r="C22" s="84">
        <v>44377</v>
      </c>
      <c r="D22" s="3" t="s">
        <v>340</v>
      </c>
      <c r="E22" s="3" t="s">
        <v>337</v>
      </c>
      <c r="F22" s="3" t="s">
        <v>337</v>
      </c>
      <c r="G22" s="70" t="s">
        <v>63</v>
      </c>
      <c r="H22" s="3" t="s">
        <v>341</v>
      </c>
      <c r="I22" s="3" t="s">
        <v>89</v>
      </c>
      <c r="J22" s="3">
        <v>6000</v>
      </c>
      <c r="K22" s="3">
        <v>0</v>
      </c>
      <c r="L22" s="3">
        <v>3763.4</v>
      </c>
      <c r="M22" s="3">
        <v>4000</v>
      </c>
      <c r="N22" s="3">
        <v>2236.6</v>
      </c>
      <c r="O22" s="70">
        <v>1763.4</v>
      </c>
      <c r="P22" s="3">
        <v>6</v>
      </c>
      <c r="Q22" s="3">
        <v>0</v>
      </c>
      <c r="R22" s="3">
        <v>1.5923E-2</v>
      </c>
      <c r="S22" s="3">
        <v>28.08</v>
      </c>
      <c r="T22" s="3">
        <v>63.69</v>
      </c>
      <c r="U22" s="3">
        <v>35.61</v>
      </c>
      <c r="V22" s="70" t="s">
        <v>333</v>
      </c>
      <c r="W22" s="3" t="s">
        <v>343</v>
      </c>
      <c r="X22" s="3" t="s">
        <v>337</v>
      </c>
      <c r="Y22" s="3" t="s">
        <v>337</v>
      </c>
    </row>
    <row r="23" spans="1:25" hidden="1" x14ac:dyDescent="0.2">
      <c r="A23" s="83" t="str">
        <f t="shared" si="0"/>
        <v>华山龙源鸡排粉</v>
      </c>
      <c r="B23" s="3" t="s">
        <v>705</v>
      </c>
      <c r="C23" s="84">
        <v>44377</v>
      </c>
      <c r="D23" s="3" t="s">
        <v>340</v>
      </c>
      <c r="E23" s="3" t="s">
        <v>337</v>
      </c>
      <c r="F23" s="3" t="s">
        <v>337</v>
      </c>
      <c r="G23" s="70" t="s">
        <v>63</v>
      </c>
      <c r="H23" s="3" t="s">
        <v>341</v>
      </c>
      <c r="I23" s="3" t="s">
        <v>89</v>
      </c>
      <c r="J23" s="3">
        <v>9828</v>
      </c>
      <c r="K23" s="3">
        <v>0</v>
      </c>
      <c r="L23" s="3">
        <v>2467.4</v>
      </c>
      <c r="M23" s="3">
        <v>8796</v>
      </c>
      <c r="N23" s="3">
        <v>7360.6</v>
      </c>
      <c r="O23" s="70">
        <v>1435.4</v>
      </c>
      <c r="P23" s="3">
        <v>0</v>
      </c>
      <c r="Q23" s="3">
        <v>0</v>
      </c>
      <c r="R23" s="3">
        <v>1.6417000000000001E-2</v>
      </c>
      <c r="S23" s="3">
        <v>23.56</v>
      </c>
      <c r="T23" s="3">
        <v>144.4</v>
      </c>
      <c r="U23" s="3">
        <v>120.84</v>
      </c>
      <c r="V23" s="70" t="s">
        <v>643</v>
      </c>
      <c r="W23" s="3" t="s">
        <v>343</v>
      </c>
      <c r="X23" s="3" t="s">
        <v>337</v>
      </c>
      <c r="Y23" s="3" t="s">
        <v>337</v>
      </c>
    </row>
    <row r="24" spans="1:25" hidden="1" x14ac:dyDescent="0.2">
      <c r="A24" s="83" t="str">
        <f t="shared" si="0"/>
        <v>郑州康复中街鸡排粉</v>
      </c>
      <c r="B24" s="3" t="s">
        <v>704</v>
      </c>
      <c r="C24" s="84">
        <v>44377</v>
      </c>
      <c r="D24" s="3" t="s">
        <v>340</v>
      </c>
      <c r="E24" s="3" t="s">
        <v>337</v>
      </c>
      <c r="F24" s="3" t="s">
        <v>337</v>
      </c>
      <c r="G24" s="70" t="s">
        <v>63</v>
      </c>
      <c r="H24" s="3" t="s">
        <v>341</v>
      </c>
      <c r="I24" s="3" t="s">
        <v>89</v>
      </c>
      <c r="J24" s="3">
        <v>2900</v>
      </c>
      <c r="K24" s="3">
        <v>0</v>
      </c>
      <c r="L24" s="3">
        <v>4732.8999999999996</v>
      </c>
      <c r="M24" s="3">
        <v>0</v>
      </c>
      <c r="N24" s="3">
        <v>-1832.9</v>
      </c>
      <c r="O24" s="70">
        <v>1832.9</v>
      </c>
      <c r="P24" s="3">
        <v>18</v>
      </c>
      <c r="Q24" s="3">
        <v>0</v>
      </c>
      <c r="R24" s="3">
        <v>1.5979E-2</v>
      </c>
      <c r="S24" s="3">
        <v>29.29</v>
      </c>
      <c r="T24" s="3">
        <v>0</v>
      </c>
      <c r="U24" s="3">
        <v>-29.29</v>
      </c>
      <c r="V24" s="70" t="s">
        <v>593</v>
      </c>
      <c r="W24" s="3" t="s">
        <v>343</v>
      </c>
      <c r="X24" s="3" t="s">
        <v>337</v>
      </c>
      <c r="Y24" s="3" t="s">
        <v>337</v>
      </c>
    </row>
    <row r="25" spans="1:25" hidden="1" x14ac:dyDescent="0.2">
      <c r="A25" s="83" t="str">
        <f t="shared" si="0"/>
        <v>新蔡水韵天街鸡排粉</v>
      </c>
      <c r="B25" s="3" t="s">
        <v>703</v>
      </c>
      <c r="C25" s="84">
        <v>44377</v>
      </c>
      <c r="D25" s="3" t="s">
        <v>340</v>
      </c>
      <c r="E25" s="3" t="s">
        <v>337</v>
      </c>
      <c r="F25" s="3" t="s">
        <v>337</v>
      </c>
      <c r="G25" s="70" t="s">
        <v>63</v>
      </c>
      <c r="H25" s="3" t="s">
        <v>341</v>
      </c>
      <c r="I25" s="3" t="s">
        <v>89</v>
      </c>
      <c r="J25" s="3">
        <v>2000</v>
      </c>
      <c r="K25" s="3">
        <v>10000</v>
      </c>
      <c r="L25" s="3">
        <v>3359.7</v>
      </c>
      <c r="M25" s="3">
        <v>9000</v>
      </c>
      <c r="N25" s="3">
        <v>8640.2999999999993</v>
      </c>
      <c r="O25" s="70">
        <v>359.7</v>
      </c>
      <c r="P25" s="3">
        <v>43</v>
      </c>
      <c r="Q25" s="3">
        <v>0</v>
      </c>
      <c r="R25" s="3">
        <v>1.6459999999999999E-2</v>
      </c>
      <c r="S25" s="3">
        <v>5.92</v>
      </c>
      <c r="T25" s="3">
        <v>148.13999999999999</v>
      </c>
      <c r="U25" s="3">
        <v>142.22</v>
      </c>
      <c r="V25" s="70" t="s">
        <v>335</v>
      </c>
      <c r="W25" s="3" t="s">
        <v>343</v>
      </c>
      <c r="X25" s="3" t="s">
        <v>337</v>
      </c>
      <c r="Y25" s="3" t="s">
        <v>337</v>
      </c>
    </row>
    <row r="26" spans="1:25" hidden="1" x14ac:dyDescent="0.2">
      <c r="A26" s="83" t="str">
        <f t="shared" si="0"/>
        <v>新蔡水韵天街蕃茄沙司（前台）</v>
      </c>
      <c r="B26" s="3" t="s">
        <v>703</v>
      </c>
      <c r="C26" s="84">
        <v>44377</v>
      </c>
      <c r="D26" s="3" t="s">
        <v>342</v>
      </c>
      <c r="E26" s="3" t="s">
        <v>337</v>
      </c>
      <c r="F26" s="3" t="s">
        <v>337</v>
      </c>
      <c r="G26" s="70" t="s">
        <v>175</v>
      </c>
      <c r="H26" s="3" t="s">
        <v>343</v>
      </c>
      <c r="I26" s="3" t="s">
        <v>105</v>
      </c>
      <c r="J26" s="3">
        <v>375</v>
      </c>
      <c r="K26" s="3">
        <v>2400</v>
      </c>
      <c r="L26" s="3">
        <v>2867</v>
      </c>
      <c r="M26" s="3">
        <v>0</v>
      </c>
      <c r="N26" s="3">
        <v>-92</v>
      </c>
      <c r="O26" s="70">
        <v>92</v>
      </c>
      <c r="P26" s="3">
        <v>0</v>
      </c>
      <c r="Q26" s="3">
        <v>0</v>
      </c>
      <c r="R26" s="3">
        <v>8.8489999999999999E-2</v>
      </c>
      <c r="S26" s="3">
        <v>8.14</v>
      </c>
      <c r="T26" s="3">
        <v>0</v>
      </c>
      <c r="U26" s="3">
        <v>-8.14</v>
      </c>
      <c r="V26" s="70" t="s">
        <v>335</v>
      </c>
      <c r="W26" s="3" t="s">
        <v>343</v>
      </c>
      <c r="X26" s="3" t="s">
        <v>337</v>
      </c>
      <c r="Y26" s="3" t="s">
        <v>337</v>
      </c>
    </row>
    <row r="27" spans="1:25" hidden="1" x14ac:dyDescent="0.2">
      <c r="A27" s="83" t="str">
        <f t="shared" si="0"/>
        <v>郑州康复中街蕃茄沙司（前台）</v>
      </c>
      <c r="B27" s="3" t="s">
        <v>704</v>
      </c>
      <c r="C27" s="84">
        <v>44377</v>
      </c>
      <c r="D27" s="3" t="s">
        <v>342</v>
      </c>
      <c r="E27" s="3" t="s">
        <v>337</v>
      </c>
      <c r="F27" s="3" t="s">
        <v>337</v>
      </c>
      <c r="G27" s="70" t="s">
        <v>175</v>
      </c>
      <c r="H27" s="3" t="s">
        <v>343</v>
      </c>
      <c r="I27" s="3" t="s">
        <v>105</v>
      </c>
      <c r="J27" s="3">
        <v>978</v>
      </c>
      <c r="K27" s="3">
        <v>4200</v>
      </c>
      <c r="L27" s="3">
        <v>4910</v>
      </c>
      <c r="M27" s="3">
        <v>260</v>
      </c>
      <c r="N27" s="3">
        <v>268</v>
      </c>
      <c r="O27" s="70">
        <v>-8</v>
      </c>
      <c r="P27" s="3">
        <v>0</v>
      </c>
      <c r="Q27" s="3">
        <v>0</v>
      </c>
      <c r="R27" s="3">
        <v>8.8538000000000006E-2</v>
      </c>
      <c r="S27" s="3">
        <v>-0.71</v>
      </c>
      <c r="T27" s="3">
        <v>23.02</v>
      </c>
      <c r="U27" s="3">
        <v>23.73</v>
      </c>
      <c r="V27" s="70" t="s">
        <v>593</v>
      </c>
      <c r="W27" s="3" t="s">
        <v>343</v>
      </c>
      <c r="X27" s="3" t="s">
        <v>337</v>
      </c>
      <c r="Y27" s="3" t="s">
        <v>337</v>
      </c>
    </row>
    <row r="28" spans="1:25" hidden="1" x14ac:dyDescent="0.2">
      <c r="A28" s="83" t="str">
        <f t="shared" si="0"/>
        <v>郑州瀚海海尚蕃茄沙司（前台）</v>
      </c>
      <c r="B28" s="3" t="s">
        <v>706</v>
      </c>
      <c r="C28" s="84">
        <v>44377</v>
      </c>
      <c r="D28" s="3" t="s">
        <v>342</v>
      </c>
      <c r="E28" s="3" t="s">
        <v>337</v>
      </c>
      <c r="F28" s="3" t="s">
        <v>337</v>
      </c>
      <c r="G28" s="70" t="s">
        <v>175</v>
      </c>
      <c r="H28" s="3" t="s">
        <v>343</v>
      </c>
      <c r="I28" s="3" t="s">
        <v>105</v>
      </c>
      <c r="J28" s="3">
        <v>1810</v>
      </c>
      <c r="K28" s="3">
        <v>2400</v>
      </c>
      <c r="L28" s="3">
        <v>3386</v>
      </c>
      <c r="M28" s="3">
        <v>693</v>
      </c>
      <c r="N28" s="3">
        <v>824</v>
      </c>
      <c r="O28" s="70">
        <v>-131</v>
      </c>
      <c r="P28" s="3">
        <v>0</v>
      </c>
      <c r="Q28" s="3">
        <v>0</v>
      </c>
      <c r="R28" s="3">
        <v>8.8442000000000007E-2</v>
      </c>
      <c r="S28" s="3">
        <v>-11.59</v>
      </c>
      <c r="T28" s="3">
        <v>61.29</v>
      </c>
      <c r="U28" s="3">
        <v>72.88</v>
      </c>
      <c r="V28" s="70" t="s">
        <v>333</v>
      </c>
      <c r="W28" s="3" t="s">
        <v>343</v>
      </c>
      <c r="X28" s="3" t="s">
        <v>337</v>
      </c>
      <c r="Y28" s="3" t="s">
        <v>337</v>
      </c>
    </row>
    <row r="29" spans="1:25" hidden="1" x14ac:dyDescent="0.2">
      <c r="A29" s="83" t="str">
        <f t="shared" si="0"/>
        <v>华山龙源蕃茄沙司（前台）</v>
      </c>
      <c r="B29" s="3" t="s">
        <v>705</v>
      </c>
      <c r="C29" s="84">
        <v>44377</v>
      </c>
      <c r="D29" s="3" t="s">
        <v>342</v>
      </c>
      <c r="E29" s="3" t="s">
        <v>337</v>
      </c>
      <c r="F29" s="3" t="s">
        <v>337</v>
      </c>
      <c r="G29" s="70" t="s">
        <v>175</v>
      </c>
      <c r="H29" s="3" t="s">
        <v>343</v>
      </c>
      <c r="I29" s="3" t="s">
        <v>105</v>
      </c>
      <c r="J29" s="3">
        <v>2056</v>
      </c>
      <c r="K29" s="3">
        <v>600</v>
      </c>
      <c r="L29" s="3">
        <v>1822</v>
      </c>
      <c r="M29" s="3">
        <v>1188</v>
      </c>
      <c r="N29" s="3">
        <v>834</v>
      </c>
      <c r="O29" s="70">
        <v>354</v>
      </c>
      <c r="P29" s="3">
        <v>0</v>
      </c>
      <c r="Q29" s="3">
        <v>0</v>
      </c>
      <c r="R29" s="3">
        <v>8.8510000000000005E-2</v>
      </c>
      <c r="S29" s="3">
        <v>31.33</v>
      </c>
      <c r="T29" s="3">
        <v>105.15</v>
      </c>
      <c r="U29" s="3">
        <v>73.819999999999993</v>
      </c>
      <c r="V29" s="70" t="s">
        <v>643</v>
      </c>
      <c r="W29" s="3" t="s">
        <v>343</v>
      </c>
      <c r="X29" s="3" t="s">
        <v>337</v>
      </c>
      <c r="Y29" s="3" t="s">
        <v>337</v>
      </c>
    </row>
    <row r="30" spans="1:25" hidden="1" x14ac:dyDescent="0.2">
      <c r="A30" s="83" t="str">
        <f t="shared" si="0"/>
        <v>郑州西悦城蕃茄沙司（前台）</v>
      </c>
      <c r="B30" s="3" t="s">
        <v>708</v>
      </c>
      <c r="C30" s="84">
        <v>44377</v>
      </c>
      <c r="D30" s="3" t="s">
        <v>342</v>
      </c>
      <c r="E30" s="3" t="s">
        <v>337</v>
      </c>
      <c r="F30" s="3" t="s">
        <v>337</v>
      </c>
      <c r="G30" s="70" t="s">
        <v>175</v>
      </c>
      <c r="H30" s="3" t="s">
        <v>343</v>
      </c>
      <c r="I30" s="3" t="s">
        <v>105</v>
      </c>
      <c r="J30" s="3">
        <v>2900</v>
      </c>
      <c r="K30" s="3">
        <v>3600</v>
      </c>
      <c r="L30" s="3">
        <v>4918</v>
      </c>
      <c r="M30" s="3">
        <v>1500</v>
      </c>
      <c r="N30" s="3">
        <v>1582</v>
      </c>
      <c r="O30" s="70">
        <v>-82</v>
      </c>
      <c r="P30" s="3">
        <v>0</v>
      </c>
      <c r="Q30" s="3">
        <v>0</v>
      </c>
      <c r="R30" s="3">
        <v>8.8480000000000003E-2</v>
      </c>
      <c r="S30" s="3">
        <v>-7.26</v>
      </c>
      <c r="T30" s="3">
        <v>132.72</v>
      </c>
      <c r="U30" s="3">
        <v>139.97999999999999</v>
      </c>
      <c r="V30" s="70" t="s">
        <v>332</v>
      </c>
      <c r="W30" s="3" t="s">
        <v>343</v>
      </c>
      <c r="X30" s="3" t="s">
        <v>337</v>
      </c>
      <c r="Y30" s="3" t="s">
        <v>337</v>
      </c>
    </row>
    <row r="31" spans="1:25" hidden="1" x14ac:dyDescent="0.2">
      <c r="A31" s="83" t="str">
        <f t="shared" si="0"/>
        <v>郑州铁英街蕃茄沙司（前台）</v>
      </c>
      <c r="B31" s="3" t="s">
        <v>707</v>
      </c>
      <c r="C31" s="84">
        <v>44377</v>
      </c>
      <c r="D31" s="3" t="s">
        <v>342</v>
      </c>
      <c r="E31" s="3" t="s">
        <v>337</v>
      </c>
      <c r="F31" s="3" t="s">
        <v>337</v>
      </c>
      <c r="G31" s="70" t="s">
        <v>175</v>
      </c>
      <c r="H31" s="3" t="s">
        <v>343</v>
      </c>
      <c r="I31" s="3" t="s">
        <v>105</v>
      </c>
      <c r="J31" s="3">
        <v>813</v>
      </c>
      <c r="K31" s="3">
        <v>3600</v>
      </c>
      <c r="L31" s="3">
        <v>2844</v>
      </c>
      <c r="M31" s="3">
        <v>1430</v>
      </c>
      <c r="N31" s="3">
        <v>1569</v>
      </c>
      <c r="O31" s="70">
        <v>-139</v>
      </c>
      <c r="P31" s="3">
        <v>0</v>
      </c>
      <c r="Q31" s="3">
        <v>0</v>
      </c>
      <c r="R31" s="3">
        <v>8.8502999999999998E-2</v>
      </c>
      <c r="S31" s="3">
        <v>-12.3</v>
      </c>
      <c r="T31" s="3">
        <v>126.56</v>
      </c>
      <c r="U31" s="3">
        <v>138.86000000000001</v>
      </c>
      <c r="V31" s="70" t="s">
        <v>592</v>
      </c>
      <c r="W31" s="3" t="s">
        <v>343</v>
      </c>
      <c r="X31" s="3" t="s">
        <v>337</v>
      </c>
      <c r="Y31" s="3" t="s">
        <v>337</v>
      </c>
    </row>
    <row r="32" spans="1:25" hidden="1" x14ac:dyDescent="0.2">
      <c r="A32" s="83" t="str">
        <f t="shared" si="0"/>
        <v>郑州盛华里蕃茄沙司（前台）</v>
      </c>
      <c r="B32" s="3" t="s">
        <v>709</v>
      </c>
      <c r="C32" s="84">
        <v>44377</v>
      </c>
      <c r="D32" s="3" t="s">
        <v>342</v>
      </c>
      <c r="E32" s="3" t="s">
        <v>337</v>
      </c>
      <c r="F32" s="3" t="s">
        <v>337</v>
      </c>
      <c r="G32" s="70" t="s">
        <v>175</v>
      </c>
      <c r="H32" s="3" t="s">
        <v>343</v>
      </c>
      <c r="I32" s="3" t="s">
        <v>105</v>
      </c>
      <c r="J32" s="3">
        <v>300</v>
      </c>
      <c r="K32" s="3">
        <v>3000</v>
      </c>
      <c r="L32" s="3">
        <v>1605</v>
      </c>
      <c r="M32" s="3">
        <v>1500</v>
      </c>
      <c r="N32" s="3">
        <v>1695</v>
      </c>
      <c r="O32" s="70">
        <v>-195</v>
      </c>
      <c r="P32" s="3">
        <v>0</v>
      </c>
      <c r="Q32" s="3">
        <v>0</v>
      </c>
      <c r="R32" s="3">
        <v>8.8486999999999996E-2</v>
      </c>
      <c r="S32" s="3">
        <v>-17.25</v>
      </c>
      <c r="T32" s="3">
        <v>132.72999999999999</v>
      </c>
      <c r="U32" s="3">
        <v>149.99</v>
      </c>
      <c r="V32" s="70" t="s">
        <v>637</v>
      </c>
      <c r="W32" s="3" t="s">
        <v>343</v>
      </c>
      <c r="X32" s="3" t="s">
        <v>337</v>
      </c>
      <c r="Y32" s="3" t="s">
        <v>337</v>
      </c>
    </row>
    <row r="33" spans="1:25" hidden="1" x14ac:dyDescent="0.2">
      <c r="A33" s="83" t="str">
        <f t="shared" si="0"/>
        <v>滑县滑台蕃茄沙司（前台）</v>
      </c>
      <c r="B33" s="3" t="s">
        <v>710</v>
      </c>
      <c r="C33" s="84">
        <v>44377</v>
      </c>
      <c r="D33" s="3" t="s">
        <v>342</v>
      </c>
      <c r="E33" s="3" t="s">
        <v>337</v>
      </c>
      <c r="F33" s="3" t="s">
        <v>337</v>
      </c>
      <c r="G33" s="70" t="s">
        <v>175</v>
      </c>
      <c r="H33" s="3" t="s">
        <v>343</v>
      </c>
      <c r="I33" s="3" t="s">
        <v>105</v>
      </c>
      <c r="J33" s="3">
        <v>100</v>
      </c>
      <c r="K33" s="3">
        <v>4800</v>
      </c>
      <c r="L33" s="3">
        <v>3115</v>
      </c>
      <c r="M33" s="3">
        <v>2085</v>
      </c>
      <c r="N33" s="3">
        <v>1785</v>
      </c>
      <c r="O33" s="70">
        <v>300</v>
      </c>
      <c r="P33" s="3">
        <v>0</v>
      </c>
      <c r="Q33" s="3">
        <v>0</v>
      </c>
      <c r="R33" s="3">
        <v>8.8469999999999993E-2</v>
      </c>
      <c r="S33" s="3">
        <v>26.54</v>
      </c>
      <c r="T33" s="3">
        <v>184.46</v>
      </c>
      <c r="U33" s="3">
        <v>157.91999999999999</v>
      </c>
      <c r="V33" s="70" t="s">
        <v>639</v>
      </c>
      <c r="W33" s="3" t="s">
        <v>343</v>
      </c>
      <c r="X33" s="3" t="s">
        <v>337</v>
      </c>
      <c r="Y33" s="3" t="s">
        <v>337</v>
      </c>
    </row>
    <row r="34" spans="1:25" hidden="1" x14ac:dyDescent="0.2">
      <c r="A34" s="83" t="str">
        <f t="shared" si="0"/>
        <v>郑州裕华蕃茄沙司（前台）</v>
      </c>
      <c r="B34" s="3" t="s">
        <v>711</v>
      </c>
      <c r="C34" s="84">
        <v>44377</v>
      </c>
      <c r="D34" s="3" t="s">
        <v>342</v>
      </c>
      <c r="E34" s="3" t="s">
        <v>337</v>
      </c>
      <c r="F34" s="3" t="s">
        <v>337</v>
      </c>
      <c r="G34" s="70" t="s">
        <v>175</v>
      </c>
      <c r="H34" s="3" t="s">
        <v>343</v>
      </c>
      <c r="I34" s="3" t="s">
        <v>105</v>
      </c>
      <c r="J34" s="3">
        <v>1625</v>
      </c>
      <c r="K34" s="3">
        <v>600</v>
      </c>
      <c r="L34" s="3">
        <v>2342</v>
      </c>
      <c r="M34" s="3">
        <v>150</v>
      </c>
      <c r="N34" s="3">
        <v>-117</v>
      </c>
      <c r="O34" s="70">
        <v>267</v>
      </c>
      <c r="P34" s="3">
        <v>0</v>
      </c>
      <c r="Q34" s="3">
        <v>0</v>
      </c>
      <c r="R34" s="3">
        <v>8.8533000000000001E-2</v>
      </c>
      <c r="S34" s="3">
        <v>23.64</v>
      </c>
      <c r="T34" s="3">
        <v>13.28</v>
      </c>
      <c r="U34" s="3">
        <v>-10.36</v>
      </c>
      <c r="V34" s="70" t="s">
        <v>641</v>
      </c>
      <c r="W34" s="3" t="s">
        <v>343</v>
      </c>
      <c r="X34" s="3" t="s">
        <v>337</v>
      </c>
      <c r="Y34" s="3" t="s">
        <v>337</v>
      </c>
    </row>
    <row r="35" spans="1:25" hidden="1" x14ac:dyDescent="0.2">
      <c r="A35" s="83" t="str">
        <f t="shared" si="0"/>
        <v>清丰凤鸣蕃茄沙司（前台）</v>
      </c>
      <c r="B35" s="3" t="s">
        <v>713</v>
      </c>
      <c r="C35" s="84">
        <v>44377</v>
      </c>
      <c r="D35" s="3" t="s">
        <v>342</v>
      </c>
      <c r="E35" s="3" t="s">
        <v>337</v>
      </c>
      <c r="F35" s="3" t="s">
        <v>337</v>
      </c>
      <c r="G35" s="70" t="s">
        <v>175</v>
      </c>
      <c r="H35" s="3" t="s">
        <v>343</v>
      </c>
      <c r="I35" s="3" t="s">
        <v>105</v>
      </c>
      <c r="J35" s="3">
        <v>900</v>
      </c>
      <c r="K35" s="3">
        <v>1800</v>
      </c>
      <c r="L35" s="3">
        <v>1836</v>
      </c>
      <c r="M35" s="3">
        <v>910</v>
      </c>
      <c r="N35" s="3">
        <v>864</v>
      </c>
      <c r="O35" s="70">
        <v>46</v>
      </c>
      <c r="P35" s="3">
        <v>0</v>
      </c>
      <c r="Q35" s="3">
        <v>0</v>
      </c>
      <c r="R35" s="3">
        <v>8.8495000000000004E-2</v>
      </c>
      <c r="S35" s="3">
        <v>4.07</v>
      </c>
      <c r="T35" s="3">
        <v>80.53</v>
      </c>
      <c r="U35" s="3">
        <v>76.459999999999994</v>
      </c>
      <c r="V35" s="70" t="s">
        <v>334</v>
      </c>
      <c r="W35" s="3" t="s">
        <v>343</v>
      </c>
      <c r="X35" s="3" t="s">
        <v>337</v>
      </c>
      <c r="Y35" s="3" t="s">
        <v>337</v>
      </c>
    </row>
    <row r="36" spans="1:25" hidden="1" x14ac:dyDescent="0.2">
      <c r="A36" s="83" t="str">
        <f t="shared" si="0"/>
        <v>方城锦城国际蕃茄沙司（前台）</v>
      </c>
      <c r="B36" s="3" t="s">
        <v>712</v>
      </c>
      <c r="C36" s="84">
        <v>44377</v>
      </c>
      <c r="D36" s="3" t="s">
        <v>342</v>
      </c>
      <c r="E36" s="3" t="s">
        <v>337</v>
      </c>
      <c r="F36" s="3" t="s">
        <v>337</v>
      </c>
      <c r="G36" s="70" t="s">
        <v>175</v>
      </c>
      <c r="H36" s="3" t="s">
        <v>343</v>
      </c>
      <c r="I36" s="3" t="s">
        <v>105</v>
      </c>
      <c r="J36" s="3">
        <v>400</v>
      </c>
      <c r="K36" s="3">
        <v>5400</v>
      </c>
      <c r="L36" s="3">
        <v>2999</v>
      </c>
      <c r="M36" s="3">
        <v>2500</v>
      </c>
      <c r="N36" s="3">
        <v>2801</v>
      </c>
      <c r="O36" s="70">
        <v>-301</v>
      </c>
      <c r="P36" s="3">
        <v>0</v>
      </c>
      <c r="Q36" s="3">
        <v>0</v>
      </c>
      <c r="R36" s="3">
        <v>8.7471999999999994E-2</v>
      </c>
      <c r="S36" s="3">
        <v>-26.33</v>
      </c>
      <c r="T36" s="3">
        <v>218.68</v>
      </c>
      <c r="U36" s="3">
        <v>245.01</v>
      </c>
      <c r="V36" s="70" t="s">
        <v>594</v>
      </c>
      <c r="W36" s="3" t="s">
        <v>343</v>
      </c>
      <c r="X36" s="3" t="s">
        <v>337</v>
      </c>
      <c r="Y36" s="3" t="s">
        <v>337</v>
      </c>
    </row>
    <row r="37" spans="1:25" hidden="1" x14ac:dyDescent="0.2">
      <c r="A37" s="83" t="str">
        <f t="shared" si="0"/>
        <v>郑州政六街蕃茄沙司（前台）</v>
      </c>
      <c r="B37" s="3" t="s">
        <v>714</v>
      </c>
      <c r="C37" s="84">
        <v>44377</v>
      </c>
      <c r="D37" s="3" t="s">
        <v>342</v>
      </c>
      <c r="E37" s="3" t="s">
        <v>337</v>
      </c>
      <c r="F37" s="3" t="s">
        <v>337</v>
      </c>
      <c r="G37" s="70" t="s">
        <v>175</v>
      </c>
      <c r="H37" s="3" t="s">
        <v>343</v>
      </c>
      <c r="I37" s="3" t="s">
        <v>105</v>
      </c>
      <c r="J37" s="3">
        <v>197</v>
      </c>
      <c r="K37" s="3">
        <v>4800</v>
      </c>
      <c r="L37" s="3">
        <v>4801</v>
      </c>
      <c r="M37" s="3">
        <v>150</v>
      </c>
      <c r="N37" s="3">
        <v>196</v>
      </c>
      <c r="O37" s="70">
        <v>-46</v>
      </c>
      <c r="P37" s="3">
        <v>0</v>
      </c>
      <c r="Q37" s="3">
        <v>0</v>
      </c>
      <c r="R37" s="3">
        <v>8.8666999999999996E-2</v>
      </c>
      <c r="S37" s="3">
        <v>-4.08</v>
      </c>
      <c r="T37" s="3">
        <v>13.3</v>
      </c>
      <c r="U37" s="3">
        <v>17.38</v>
      </c>
      <c r="V37" s="70" t="s">
        <v>591</v>
      </c>
      <c r="W37" s="3" t="s">
        <v>343</v>
      </c>
      <c r="X37" s="3" t="s">
        <v>337</v>
      </c>
      <c r="Y37" s="3" t="s">
        <v>337</v>
      </c>
    </row>
    <row r="38" spans="1:25" hidden="1" x14ac:dyDescent="0.2">
      <c r="A38" s="83" t="str">
        <f t="shared" si="0"/>
        <v>郑州政六街盐（自购）</v>
      </c>
      <c r="B38" s="3" t="s">
        <v>714</v>
      </c>
      <c r="C38" s="84">
        <v>44377</v>
      </c>
      <c r="D38" s="3" t="s">
        <v>344</v>
      </c>
      <c r="E38" s="3" t="s">
        <v>337</v>
      </c>
      <c r="F38" s="3" t="s">
        <v>337</v>
      </c>
      <c r="G38" s="70" t="s">
        <v>345</v>
      </c>
      <c r="H38" s="3" t="s">
        <v>346</v>
      </c>
      <c r="I38" s="3" t="s">
        <v>89</v>
      </c>
      <c r="J38" s="3">
        <v>1000</v>
      </c>
      <c r="K38" s="3">
        <v>400</v>
      </c>
      <c r="L38" s="3">
        <v>1463.33</v>
      </c>
      <c r="M38" s="3">
        <v>0</v>
      </c>
      <c r="N38" s="3">
        <v>-63.33</v>
      </c>
      <c r="O38" s="70">
        <v>63.33</v>
      </c>
      <c r="P38" s="3">
        <v>0</v>
      </c>
      <c r="Q38" s="3">
        <v>0</v>
      </c>
      <c r="R38" s="3">
        <v>3.571E-3</v>
      </c>
      <c r="S38" s="3">
        <v>0.23</v>
      </c>
      <c r="T38" s="3">
        <v>0</v>
      </c>
      <c r="U38" s="3">
        <v>-0.23</v>
      </c>
      <c r="V38" s="70" t="s">
        <v>591</v>
      </c>
      <c r="W38" s="3" t="s">
        <v>343</v>
      </c>
      <c r="X38" s="3" t="s">
        <v>337</v>
      </c>
      <c r="Y38" s="3" t="s">
        <v>337</v>
      </c>
    </row>
    <row r="39" spans="1:25" hidden="1" x14ac:dyDescent="0.2">
      <c r="A39" s="83" t="str">
        <f t="shared" si="0"/>
        <v>方城锦城国际盐（自购）</v>
      </c>
      <c r="B39" s="3" t="s">
        <v>712</v>
      </c>
      <c r="C39" s="84">
        <v>44377</v>
      </c>
      <c r="D39" s="3" t="s">
        <v>344</v>
      </c>
      <c r="E39" s="3" t="s">
        <v>337</v>
      </c>
      <c r="F39" s="3" t="s">
        <v>337</v>
      </c>
      <c r="G39" s="70" t="s">
        <v>345</v>
      </c>
      <c r="H39" s="3" t="s">
        <v>346</v>
      </c>
      <c r="I39" s="3" t="s">
        <v>89</v>
      </c>
      <c r="J39" s="3">
        <v>1600</v>
      </c>
      <c r="K39" s="3">
        <v>0</v>
      </c>
      <c r="L39" s="3">
        <v>815.31</v>
      </c>
      <c r="M39" s="3">
        <v>400</v>
      </c>
      <c r="N39" s="3">
        <v>784.69</v>
      </c>
      <c r="O39" s="70">
        <v>-384.69</v>
      </c>
      <c r="P39" s="3">
        <v>0</v>
      </c>
      <c r="Q39" s="3">
        <v>0</v>
      </c>
      <c r="R39" s="3">
        <v>4.9750000000000003E-3</v>
      </c>
      <c r="S39" s="3">
        <v>-1.91</v>
      </c>
      <c r="T39" s="3">
        <v>1.99</v>
      </c>
      <c r="U39" s="3">
        <v>3.9</v>
      </c>
      <c r="V39" s="70" t="s">
        <v>594</v>
      </c>
      <c r="W39" s="3" t="s">
        <v>343</v>
      </c>
      <c r="X39" s="3" t="s">
        <v>337</v>
      </c>
      <c r="Y39" s="3" t="s">
        <v>337</v>
      </c>
    </row>
    <row r="40" spans="1:25" hidden="1" x14ac:dyDescent="0.2">
      <c r="A40" s="83" t="str">
        <f t="shared" si="0"/>
        <v>清丰凤鸣盐（自购）</v>
      </c>
      <c r="B40" s="3" t="s">
        <v>713</v>
      </c>
      <c r="C40" s="84">
        <v>44377</v>
      </c>
      <c r="D40" s="3" t="s">
        <v>344</v>
      </c>
      <c r="E40" s="3" t="s">
        <v>337</v>
      </c>
      <c r="F40" s="3" t="s">
        <v>337</v>
      </c>
      <c r="G40" s="70" t="s">
        <v>345</v>
      </c>
      <c r="H40" s="3" t="s">
        <v>346</v>
      </c>
      <c r="I40" s="3" t="s">
        <v>89</v>
      </c>
      <c r="J40" s="3">
        <v>0</v>
      </c>
      <c r="K40" s="3">
        <v>0</v>
      </c>
      <c r="L40" s="3">
        <v>530.42999999999995</v>
      </c>
      <c r="M40" s="3">
        <v>0</v>
      </c>
      <c r="N40" s="3">
        <v>-530.42999999999995</v>
      </c>
      <c r="O40" s="70">
        <v>530.42999999999995</v>
      </c>
      <c r="P40" s="3">
        <v>0</v>
      </c>
      <c r="Q40" s="3">
        <v>0</v>
      </c>
      <c r="R40" s="3">
        <v>2.947E-3</v>
      </c>
      <c r="S40" s="3">
        <v>1.56</v>
      </c>
      <c r="T40" s="3">
        <v>0</v>
      </c>
      <c r="U40" s="3">
        <v>-1.56</v>
      </c>
      <c r="V40" s="70" t="s">
        <v>334</v>
      </c>
      <c r="W40" s="3" t="s">
        <v>343</v>
      </c>
      <c r="X40" s="3" t="s">
        <v>337</v>
      </c>
      <c r="Y40" s="3" t="s">
        <v>337</v>
      </c>
    </row>
    <row r="41" spans="1:25" hidden="1" x14ac:dyDescent="0.2">
      <c r="A41" s="83" t="str">
        <f t="shared" si="0"/>
        <v>郑州裕华盐（自购）</v>
      </c>
      <c r="B41" s="3" t="s">
        <v>711</v>
      </c>
      <c r="C41" s="84">
        <v>44377</v>
      </c>
      <c r="D41" s="3" t="s">
        <v>344</v>
      </c>
      <c r="E41" s="3" t="s">
        <v>337</v>
      </c>
      <c r="F41" s="3" t="s">
        <v>337</v>
      </c>
      <c r="G41" s="70" t="s">
        <v>345</v>
      </c>
      <c r="H41" s="3" t="s">
        <v>346</v>
      </c>
      <c r="I41" s="3" t="s">
        <v>89</v>
      </c>
      <c r="J41" s="3">
        <v>0</v>
      </c>
      <c r="K41" s="3">
        <v>0</v>
      </c>
      <c r="L41" s="3">
        <v>700.62</v>
      </c>
      <c r="M41" s="3">
        <v>0</v>
      </c>
      <c r="N41" s="3">
        <v>-700.62</v>
      </c>
      <c r="O41" s="70">
        <v>700.62</v>
      </c>
      <c r="P41" s="3">
        <v>0</v>
      </c>
      <c r="Q41" s="3">
        <v>0</v>
      </c>
      <c r="R41" s="3">
        <v>2.947E-3</v>
      </c>
      <c r="S41" s="3">
        <v>2.06</v>
      </c>
      <c r="T41" s="3">
        <v>0</v>
      </c>
      <c r="U41" s="3">
        <v>-2.06</v>
      </c>
      <c r="V41" s="70" t="s">
        <v>641</v>
      </c>
      <c r="W41" s="3" t="s">
        <v>343</v>
      </c>
      <c r="X41" s="3" t="s">
        <v>337</v>
      </c>
      <c r="Y41" s="3" t="s">
        <v>337</v>
      </c>
    </row>
    <row r="42" spans="1:25" hidden="1" x14ac:dyDescent="0.2">
      <c r="A42" s="83" t="str">
        <f t="shared" si="0"/>
        <v>滑县滑台盐（自购）</v>
      </c>
      <c r="B42" s="3" t="s">
        <v>710</v>
      </c>
      <c r="C42" s="84">
        <v>44377</v>
      </c>
      <c r="D42" s="3" t="s">
        <v>344</v>
      </c>
      <c r="E42" s="3" t="s">
        <v>337</v>
      </c>
      <c r="F42" s="3" t="s">
        <v>337</v>
      </c>
      <c r="G42" s="70" t="s">
        <v>345</v>
      </c>
      <c r="H42" s="3" t="s">
        <v>346</v>
      </c>
      <c r="I42" s="3" t="s">
        <v>89</v>
      </c>
      <c r="J42" s="3">
        <v>0</v>
      </c>
      <c r="K42" s="3">
        <v>2000</v>
      </c>
      <c r="L42" s="3">
        <v>1063.77</v>
      </c>
      <c r="M42" s="3">
        <v>1200</v>
      </c>
      <c r="N42" s="3">
        <v>936.23</v>
      </c>
      <c r="O42" s="70">
        <v>263.77</v>
      </c>
      <c r="P42" s="3">
        <v>0</v>
      </c>
      <c r="Q42" s="3">
        <v>0</v>
      </c>
      <c r="R42" s="3">
        <v>2.4919999999999999E-3</v>
      </c>
      <c r="S42" s="3">
        <v>0.66</v>
      </c>
      <c r="T42" s="3">
        <v>2.99</v>
      </c>
      <c r="U42" s="3">
        <v>2.33</v>
      </c>
      <c r="V42" s="70" t="s">
        <v>639</v>
      </c>
      <c r="W42" s="3" t="s">
        <v>343</v>
      </c>
      <c r="X42" s="3" t="s">
        <v>337</v>
      </c>
      <c r="Y42" s="3" t="s">
        <v>337</v>
      </c>
    </row>
    <row r="43" spans="1:25" hidden="1" x14ac:dyDescent="0.2">
      <c r="A43" s="83" t="str">
        <f t="shared" si="0"/>
        <v>郑州盛华里盐（自购）</v>
      </c>
      <c r="B43" s="3" t="s">
        <v>709</v>
      </c>
      <c r="C43" s="84">
        <v>44377</v>
      </c>
      <c r="D43" s="3" t="s">
        <v>344</v>
      </c>
      <c r="E43" s="3" t="s">
        <v>337</v>
      </c>
      <c r="F43" s="3" t="s">
        <v>337</v>
      </c>
      <c r="G43" s="70" t="s">
        <v>345</v>
      </c>
      <c r="H43" s="3" t="s">
        <v>346</v>
      </c>
      <c r="I43" s="3" t="s">
        <v>89</v>
      </c>
      <c r="J43" s="3">
        <v>70</v>
      </c>
      <c r="K43" s="3">
        <v>0</v>
      </c>
      <c r="L43" s="3">
        <v>434.13</v>
      </c>
      <c r="M43" s="3">
        <v>0</v>
      </c>
      <c r="N43" s="3">
        <v>-364.13</v>
      </c>
      <c r="O43" s="70">
        <v>364.13</v>
      </c>
      <c r="P43" s="3">
        <v>0</v>
      </c>
      <c r="Q43" s="3">
        <v>0</v>
      </c>
      <c r="R43" s="3">
        <v>3.0000000000000001E-3</v>
      </c>
      <c r="S43" s="3">
        <v>1.0900000000000001</v>
      </c>
      <c r="T43" s="3">
        <v>0</v>
      </c>
      <c r="U43" s="3">
        <v>-1.0900000000000001</v>
      </c>
      <c r="V43" s="70" t="s">
        <v>637</v>
      </c>
      <c r="W43" s="3" t="s">
        <v>343</v>
      </c>
      <c r="X43" s="3" t="s">
        <v>337</v>
      </c>
      <c r="Y43" s="3" t="s">
        <v>337</v>
      </c>
    </row>
    <row r="44" spans="1:25" hidden="1" x14ac:dyDescent="0.2">
      <c r="A44" s="83" t="str">
        <f t="shared" si="0"/>
        <v>郑州西悦城盐（自购）</v>
      </c>
      <c r="B44" s="3" t="s">
        <v>708</v>
      </c>
      <c r="C44" s="84">
        <v>44377</v>
      </c>
      <c r="D44" s="3" t="s">
        <v>344</v>
      </c>
      <c r="E44" s="3" t="s">
        <v>337</v>
      </c>
      <c r="F44" s="3" t="s">
        <v>337</v>
      </c>
      <c r="G44" s="70" t="s">
        <v>345</v>
      </c>
      <c r="H44" s="3" t="s">
        <v>346</v>
      </c>
      <c r="I44" s="3" t="s">
        <v>89</v>
      </c>
      <c r="J44" s="3">
        <v>4400</v>
      </c>
      <c r="K44" s="3">
        <v>4000</v>
      </c>
      <c r="L44" s="3">
        <v>1857.7</v>
      </c>
      <c r="M44" s="3">
        <v>6500</v>
      </c>
      <c r="N44" s="3">
        <v>6542.3</v>
      </c>
      <c r="O44" s="70">
        <v>-42.3</v>
      </c>
      <c r="P44" s="3">
        <v>0</v>
      </c>
      <c r="Q44" s="3">
        <v>0</v>
      </c>
      <c r="R44" s="3">
        <v>2.4940000000000001E-3</v>
      </c>
      <c r="S44" s="3">
        <v>-0.11</v>
      </c>
      <c r="T44" s="3">
        <v>16.21</v>
      </c>
      <c r="U44" s="3">
        <v>16.32</v>
      </c>
      <c r="V44" s="70" t="s">
        <v>332</v>
      </c>
      <c r="W44" s="3" t="s">
        <v>343</v>
      </c>
      <c r="X44" s="3" t="s">
        <v>337</v>
      </c>
      <c r="Y44" s="3" t="s">
        <v>337</v>
      </c>
    </row>
    <row r="45" spans="1:25" hidden="1" x14ac:dyDescent="0.2">
      <c r="A45" s="83" t="str">
        <f t="shared" si="0"/>
        <v>郑州铁英街盐（自购）</v>
      </c>
      <c r="B45" s="3" t="s">
        <v>707</v>
      </c>
      <c r="C45" s="84">
        <v>44377</v>
      </c>
      <c r="D45" s="3" t="s">
        <v>344</v>
      </c>
      <c r="E45" s="3" t="s">
        <v>337</v>
      </c>
      <c r="F45" s="3" t="s">
        <v>337</v>
      </c>
      <c r="G45" s="70" t="s">
        <v>345</v>
      </c>
      <c r="H45" s="3" t="s">
        <v>346</v>
      </c>
      <c r="I45" s="3" t="s">
        <v>89</v>
      </c>
      <c r="J45" s="3">
        <v>100</v>
      </c>
      <c r="K45" s="3">
        <v>0</v>
      </c>
      <c r="L45" s="3">
        <v>802.91</v>
      </c>
      <c r="M45" s="3">
        <v>200</v>
      </c>
      <c r="N45" s="3">
        <v>-702.91</v>
      </c>
      <c r="O45" s="70">
        <v>902.91</v>
      </c>
      <c r="P45" s="3">
        <v>0</v>
      </c>
      <c r="Q45" s="3">
        <v>0</v>
      </c>
      <c r="R45" s="3">
        <v>5.0000000000000001E-3</v>
      </c>
      <c r="S45" s="3">
        <v>4.51</v>
      </c>
      <c r="T45" s="3">
        <v>1</v>
      </c>
      <c r="U45" s="3">
        <v>-3.51</v>
      </c>
      <c r="V45" s="70" t="s">
        <v>592</v>
      </c>
      <c r="W45" s="3" t="s">
        <v>343</v>
      </c>
      <c r="X45" s="3" t="s">
        <v>337</v>
      </c>
      <c r="Y45" s="3" t="s">
        <v>337</v>
      </c>
    </row>
    <row r="46" spans="1:25" hidden="1" x14ac:dyDescent="0.2">
      <c r="A46" s="83" t="str">
        <f t="shared" si="0"/>
        <v>郑州瀚海海尚盐（自购）</v>
      </c>
      <c r="B46" s="3" t="s">
        <v>706</v>
      </c>
      <c r="C46" s="84">
        <v>44377</v>
      </c>
      <c r="D46" s="3" t="s">
        <v>344</v>
      </c>
      <c r="E46" s="3" t="s">
        <v>337</v>
      </c>
      <c r="F46" s="3" t="s">
        <v>337</v>
      </c>
      <c r="G46" s="70" t="s">
        <v>345</v>
      </c>
      <c r="H46" s="3" t="s">
        <v>346</v>
      </c>
      <c r="I46" s="3" t="s">
        <v>89</v>
      </c>
      <c r="J46" s="3">
        <v>0</v>
      </c>
      <c r="K46" s="3">
        <v>0</v>
      </c>
      <c r="L46" s="3">
        <v>847.71</v>
      </c>
      <c r="M46" s="3">
        <v>0</v>
      </c>
      <c r="N46" s="3">
        <v>-847.71</v>
      </c>
      <c r="O46" s="70">
        <v>847.71</v>
      </c>
      <c r="P46" s="3">
        <v>0</v>
      </c>
      <c r="Q46" s="3">
        <v>0</v>
      </c>
      <c r="R46" s="3">
        <v>2.947E-3</v>
      </c>
      <c r="S46" s="3">
        <v>2.5</v>
      </c>
      <c r="T46" s="3">
        <v>0</v>
      </c>
      <c r="U46" s="3">
        <v>-2.5</v>
      </c>
      <c r="V46" s="70" t="s">
        <v>333</v>
      </c>
      <c r="W46" s="3" t="s">
        <v>343</v>
      </c>
      <c r="X46" s="3" t="s">
        <v>337</v>
      </c>
      <c r="Y46" s="3" t="s">
        <v>337</v>
      </c>
    </row>
    <row r="47" spans="1:25" hidden="1" x14ac:dyDescent="0.2">
      <c r="A47" s="83" t="str">
        <f t="shared" si="0"/>
        <v>华山龙源盐（自购）</v>
      </c>
      <c r="B47" s="3" t="s">
        <v>705</v>
      </c>
      <c r="C47" s="84">
        <v>44377</v>
      </c>
      <c r="D47" s="3" t="s">
        <v>344</v>
      </c>
      <c r="E47" s="3" t="s">
        <v>337</v>
      </c>
      <c r="F47" s="3" t="s">
        <v>337</v>
      </c>
      <c r="G47" s="70" t="s">
        <v>345</v>
      </c>
      <c r="H47" s="3" t="s">
        <v>346</v>
      </c>
      <c r="I47" s="3" t="s">
        <v>89</v>
      </c>
      <c r="J47" s="3">
        <v>590</v>
      </c>
      <c r="K47" s="3">
        <v>0</v>
      </c>
      <c r="L47" s="3">
        <v>537.99</v>
      </c>
      <c r="M47" s="3">
        <v>0</v>
      </c>
      <c r="N47" s="3">
        <v>52.01</v>
      </c>
      <c r="O47" s="70">
        <v>-52.01</v>
      </c>
      <c r="P47" s="3">
        <v>0</v>
      </c>
      <c r="Q47" s="3">
        <v>0</v>
      </c>
      <c r="R47" s="3">
        <v>4.9490000000000003E-3</v>
      </c>
      <c r="S47" s="3">
        <v>-0.26</v>
      </c>
      <c r="T47" s="3">
        <v>0</v>
      </c>
      <c r="U47" s="3">
        <v>0.26</v>
      </c>
      <c r="V47" s="70" t="s">
        <v>643</v>
      </c>
      <c r="W47" s="3" t="s">
        <v>343</v>
      </c>
      <c r="X47" s="3" t="s">
        <v>337</v>
      </c>
      <c r="Y47" s="3" t="s">
        <v>337</v>
      </c>
    </row>
    <row r="48" spans="1:25" hidden="1" x14ac:dyDescent="0.2">
      <c r="A48" s="83" t="str">
        <f t="shared" si="0"/>
        <v>郑州康复中街盐（自购）</v>
      </c>
      <c r="B48" s="3" t="s">
        <v>704</v>
      </c>
      <c r="C48" s="84">
        <v>44377</v>
      </c>
      <c r="D48" s="3" t="s">
        <v>344</v>
      </c>
      <c r="E48" s="3" t="s">
        <v>337</v>
      </c>
      <c r="F48" s="3" t="s">
        <v>337</v>
      </c>
      <c r="G48" s="70" t="s">
        <v>345</v>
      </c>
      <c r="H48" s="3" t="s">
        <v>346</v>
      </c>
      <c r="I48" s="3" t="s">
        <v>89</v>
      </c>
      <c r="J48" s="3">
        <v>18800</v>
      </c>
      <c r="K48" s="3">
        <v>0</v>
      </c>
      <c r="L48" s="3">
        <v>1299.72</v>
      </c>
      <c r="M48" s="3">
        <v>17500</v>
      </c>
      <c r="N48" s="3">
        <v>17500.28</v>
      </c>
      <c r="O48" s="70">
        <v>-0.28000000000000003</v>
      </c>
      <c r="P48" s="3">
        <v>0</v>
      </c>
      <c r="Q48" s="3">
        <v>0</v>
      </c>
      <c r="R48" s="3">
        <v>2.0010000000000002E-3</v>
      </c>
      <c r="S48" s="3">
        <v>0</v>
      </c>
      <c r="T48" s="3">
        <v>35.01</v>
      </c>
      <c r="U48" s="3">
        <v>35.020000000000003</v>
      </c>
      <c r="V48" s="70" t="s">
        <v>593</v>
      </c>
      <c r="W48" s="3" t="s">
        <v>343</v>
      </c>
      <c r="X48" s="3" t="s">
        <v>337</v>
      </c>
      <c r="Y48" s="3" t="s">
        <v>337</v>
      </c>
    </row>
    <row r="49" spans="1:25" hidden="1" x14ac:dyDescent="0.2">
      <c r="A49" s="83" t="str">
        <f t="shared" si="0"/>
        <v>新蔡水韵天街盐（自购）</v>
      </c>
      <c r="B49" s="3" t="s">
        <v>703</v>
      </c>
      <c r="C49" s="84">
        <v>44377</v>
      </c>
      <c r="D49" s="3" t="s">
        <v>344</v>
      </c>
      <c r="E49" s="3" t="s">
        <v>337</v>
      </c>
      <c r="F49" s="3" t="s">
        <v>337</v>
      </c>
      <c r="G49" s="70" t="s">
        <v>345</v>
      </c>
      <c r="H49" s="3" t="s">
        <v>346</v>
      </c>
      <c r="I49" s="3" t="s">
        <v>89</v>
      </c>
      <c r="J49" s="3">
        <v>400</v>
      </c>
      <c r="K49" s="3">
        <v>0</v>
      </c>
      <c r="L49" s="3">
        <v>895.53</v>
      </c>
      <c r="M49" s="3">
        <v>0</v>
      </c>
      <c r="N49" s="3">
        <v>-495.53</v>
      </c>
      <c r="O49" s="70">
        <v>495.53</v>
      </c>
      <c r="P49" s="3">
        <v>0</v>
      </c>
      <c r="Q49" s="3">
        <v>0</v>
      </c>
      <c r="R49" s="3">
        <v>4.9750000000000003E-3</v>
      </c>
      <c r="S49" s="3">
        <v>2.4700000000000002</v>
      </c>
      <c r="T49" s="3">
        <v>0</v>
      </c>
      <c r="U49" s="3">
        <v>-2.4700000000000002</v>
      </c>
      <c r="V49" s="70" t="s">
        <v>335</v>
      </c>
      <c r="W49" s="3" t="s">
        <v>343</v>
      </c>
      <c r="X49" s="3" t="s">
        <v>337</v>
      </c>
      <c r="Y49" s="3" t="s">
        <v>337</v>
      </c>
    </row>
    <row r="50" spans="1:25" hidden="1" x14ac:dyDescent="0.2">
      <c r="A50" s="83" t="str">
        <f t="shared" si="0"/>
        <v>新蔡水韵天街25号专用粉</v>
      </c>
      <c r="B50" s="3" t="s">
        <v>703</v>
      </c>
      <c r="C50" s="84">
        <v>44377</v>
      </c>
      <c r="D50" s="3" t="s">
        <v>347</v>
      </c>
      <c r="E50" s="3" t="s">
        <v>337</v>
      </c>
      <c r="F50" s="3" t="s">
        <v>337</v>
      </c>
      <c r="G50" s="70" t="s">
        <v>170</v>
      </c>
      <c r="H50" s="3" t="s">
        <v>348</v>
      </c>
      <c r="I50" s="3" t="s">
        <v>89</v>
      </c>
      <c r="J50" s="3">
        <v>20000</v>
      </c>
      <c r="K50" s="3">
        <v>175000</v>
      </c>
      <c r="L50" s="3">
        <v>179291.4</v>
      </c>
      <c r="M50" s="3">
        <v>20000</v>
      </c>
      <c r="N50" s="3">
        <v>15708.6</v>
      </c>
      <c r="O50" s="70">
        <v>4291.3999999999996</v>
      </c>
      <c r="P50" s="3">
        <v>0</v>
      </c>
      <c r="Q50" s="3">
        <v>0</v>
      </c>
      <c r="R50" s="3">
        <v>4.5779999999999996E-3</v>
      </c>
      <c r="S50" s="3">
        <v>19.649999999999999</v>
      </c>
      <c r="T50" s="3">
        <v>91.56</v>
      </c>
      <c r="U50" s="3">
        <v>71.91</v>
      </c>
      <c r="V50" s="70" t="s">
        <v>335</v>
      </c>
      <c r="W50" s="3" t="s">
        <v>343</v>
      </c>
      <c r="X50" s="3" t="s">
        <v>337</v>
      </c>
      <c r="Y50" s="3" t="s">
        <v>337</v>
      </c>
    </row>
    <row r="51" spans="1:25" hidden="1" x14ac:dyDescent="0.2">
      <c r="A51" s="83" t="str">
        <f t="shared" si="0"/>
        <v>郑州康复中街25号专用粉</v>
      </c>
      <c r="B51" s="3" t="s">
        <v>704</v>
      </c>
      <c r="C51" s="84">
        <v>44377</v>
      </c>
      <c r="D51" s="3" t="s">
        <v>347</v>
      </c>
      <c r="E51" s="3" t="s">
        <v>337</v>
      </c>
      <c r="F51" s="3" t="s">
        <v>337</v>
      </c>
      <c r="G51" s="70" t="s">
        <v>170</v>
      </c>
      <c r="H51" s="3" t="s">
        <v>348</v>
      </c>
      <c r="I51" s="3" t="s">
        <v>89</v>
      </c>
      <c r="J51" s="3">
        <v>2500</v>
      </c>
      <c r="K51" s="3">
        <v>300000</v>
      </c>
      <c r="L51" s="3">
        <v>339264.2</v>
      </c>
      <c r="M51" s="3">
        <v>0</v>
      </c>
      <c r="N51" s="3">
        <v>-36764.199999999997</v>
      </c>
      <c r="O51" s="70">
        <v>36764.199999999997</v>
      </c>
      <c r="P51" s="3">
        <v>0</v>
      </c>
      <c r="Q51" s="3">
        <v>0</v>
      </c>
      <c r="R51" s="3">
        <v>4.5799999999999999E-3</v>
      </c>
      <c r="S51" s="3">
        <v>168.38</v>
      </c>
      <c r="T51" s="3">
        <v>0</v>
      </c>
      <c r="U51" s="3">
        <v>-168.38</v>
      </c>
      <c r="V51" s="70" t="s">
        <v>593</v>
      </c>
      <c r="W51" s="3" t="s">
        <v>343</v>
      </c>
      <c r="X51" s="3" t="s">
        <v>337</v>
      </c>
      <c r="Y51" s="3" t="s">
        <v>337</v>
      </c>
    </row>
    <row r="52" spans="1:25" hidden="1" x14ac:dyDescent="0.2">
      <c r="A52" s="83" t="str">
        <f t="shared" si="0"/>
        <v>郑州瀚海海尚25号专用粉</v>
      </c>
      <c r="B52" s="3" t="s">
        <v>706</v>
      </c>
      <c r="C52" s="84">
        <v>44377</v>
      </c>
      <c r="D52" s="3" t="s">
        <v>347</v>
      </c>
      <c r="E52" s="3" t="s">
        <v>337</v>
      </c>
      <c r="F52" s="3" t="s">
        <v>337</v>
      </c>
      <c r="G52" s="70" t="s">
        <v>170</v>
      </c>
      <c r="H52" s="3" t="s">
        <v>348</v>
      </c>
      <c r="I52" s="3" t="s">
        <v>89</v>
      </c>
      <c r="J52" s="3">
        <v>50000</v>
      </c>
      <c r="K52" s="3">
        <v>175000</v>
      </c>
      <c r="L52" s="3">
        <v>261120.2</v>
      </c>
      <c r="M52" s="3">
        <v>0</v>
      </c>
      <c r="N52" s="3">
        <v>-36120.199999999997</v>
      </c>
      <c r="O52" s="70">
        <v>36120.199999999997</v>
      </c>
      <c r="P52" s="3">
        <v>0</v>
      </c>
      <c r="Q52" s="3">
        <v>0</v>
      </c>
      <c r="R52" s="3">
        <v>4.5799999999999999E-3</v>
      </c>
      <c r="S52" s="3">
        <v>165.43</v>
      </c>
      <c r="T52" s="3">
        <v>0</v>
      </c>
      <c r="U52" s="3">
        <v>-165.43</v>
      </c>
      <c r="V52" s="70" t="s">
        <v>333</v>
      </c>
      <c r="W52" s="3" t="s">
        <v>343</v>
      </c>
      <c r="X52" s="3" t="s">
        <v>337</v>
      </c>
      <c r="Y52" s="3" t="s">
        <v>337</v>
      </c>
    </row>
    <row r="53" spans="1:25" hidden="1" x14ac:dyDescent="0.2">
      <c r="A53" s="83" t="str">
        <f t="shared" si="0"/>
        <v>华山龙源25号专用粉</v>
      </c>
      <c r="B53" s="3" t="s">
        <v>705</v>
      </c>
      <c r="C53" s="84">
        <v>44377</v>
      </c>
      <c r="D53" s="3" t="s">
        <v>347</v>
      </c>
      <c r="E53" s="3" t="s">
        <v>337</v>
      </c>
      <c r="F53" s="3" t="s">
        <v>337</v>
      </c>
      <c r="G53" s="70" t="s">
        <v>170</v>
      </c>
      <c r="H53" s="3" t="s">
        <v>348</v>
      </c>
      <c r="I53" s="3" t="s">
        <v>89</v>
      </c>
      <c r="J53" s="3">
        <v>25000</v>
      </c>
      <c r="K53" s="3">
        <v>125000</v>
      </c>
      <c r="L53" s="3">
        <v>140347.9</v>
      </c>
      <c r="M53" s="3">
        <v>5000</v>
      </c>
      <c r="N53" s="3">
        <v>9652.1</v>
      </c>
      <c r="O53" s="70">
        <v>-4652.1000000000004</v>
      </c>
      <c r="P53" s="3">
        <v>0</v>
      </c>
      <c r="Q53" s="3">
        <v>0</v>
      </c>
      <c r="R53" s="3">
        <v>4.5779999999999996E-3</v>
      </c>
      <c r="S53" s="3">
        <v>-21.3</v>
      </c>
      <c r="T53" s="3">
        <v>22.89</v>
      </c>
      <c r="U53" s="3">
        <v>44.19</v>
      </c>
      <c r="V53" s="70" t="s">
        <v>643</v>
      </c>
      <c r="W53" s="3" t="s">
        <v>343</v>
      </c>
      <c r="X53" s="3" t="s">
        <v>337</v>
      </c>
      <c r="Y53" s="3" t="s">
        <v>337</v>
      </c>
    </row>
    <row r="54" spans="1:25" hidden="1" x14ac:dyDescent="0.2">
      <c r="A54" s="83" t="str">
        <f t="shared" si="0"/>
        <v>郑州西悦城25号专用粉</v>
      </c>
      <c r="B54" s="3" t="s">
        <v>708</v>
      </c>
      <c r="C54" s="84">
        <v>44377</v>
      </c>
      <c r="D54" s="3" t="s">
        <v>347</v>
      </c>
      <c r="E54" s="3" t="s">
        <v>337</v>
      </c>
      <c r="F54" s="3" t="s">
        <v>337</v>
      </c>
      <c r="G54" s="70" t="s">
        <v>170</v>
      </c>
      <c r="H54" s="3" t="s">
        <v>348</v>
      </c>
      <c r="I54" s="3" t="s">
        <v>89</v>
      </c>
      <c r="J54" s="3">
        <v>25000</v>
      </c>
      <c r="K54" s="3">
        <v>250000</v>
      </c>
      <c r="L54" s="3">
        <v>421025.85</v>
      </c>
      <c r="M54" s="3">
        <v>10000</v>
      </c>
      <c r="N54" s="3">
        <v>-146025.85</v>
      </c>
      <c r="O54" s="70">
        <v>156025.85</v>
      </c>
      <c r="P54" s="3">
        <v>0</v>
      </c>
      <c r="Q54" s="3">
        <v>0</v>
      </c>
      <c r="R54" s="3">
        <v>4.5760000000000002E-3</v>
      </c>
      <c r="S54" s="3">
        <v>713.97</v>
      </c>
      <c r="T54" s="3">
        <v>45.76</v>
      </c>
      <c r="U54" s="3">
        <v>-668.21</v>
      </c>
      <c r="V54" s="70" t="s">
        <v>332</v>
      </c>
      <c r="W54" s="3" t="s">
        <v>343</v>
      </c>
      <c r="X54" s="3" t="s">
        <v>337</v>
      </c>
      <c r="Y54" s="3" t="s">
        <v>337</v>
      </c>
    </row>
    <row r="55" spans="1:25" hidden="1" x14ac:dyDescent="0.2">
      <c r="A55" s="83" t="str">
        <f t="shared" si="0"/>
        <v>郑州铁英街25号专用粉</v>
      </c>
      <c r="B55" s="3" t="s">
        <v>707</v>
      </c>
      <c r="C55" s="84">
        <v>44377</v>
      </c>
      <c r="D55" s="3" t="s">
        <v>347</v>
      </c>
      <c r="E55" s="3" t="s">
        <v>337</v>
      </c>
      <c r="F55" s="3" t="s">
        <v>337</v>
      </c>
      <c r="G55" s="70" t="s">
        <v>170</v>
      </c>
      <c r="H55" s="3" t="s">
        <v>348</v>
      </c>
      <c r="I55" s="3" t="s">
        <v>89</v>
      </c>
      <c r="J55" s="3">
        <v>4000</v>
      </c>
      <c r="K55" s="3">
        <v>175000</v>
      </c>
      <c r="L55" s="3">
        <v>218403.85</v>
      </c>
      <c r="M55" s="3">
        <v>25000</v>
      </c>
      <c r="N55" s="3">
        <v>-39403.85</v>
      </c>
      <c r="O55" s="70">
        <v>64403.85</v>
      </c>
      <c r="P55" s="3">
        <v>0</v>
      </c>
      <c r="Q55" s="3">
        <v>0</v>
      </c>
      <c r="R55" s="3">
        <v>4.5789999999999997E-3</v>
      </c>
      <c r="S55" s="3">
        <v>294.91000000000003</v>
      </c>
      <c r="T55" s="3">
        <v>114.48</v>
      </c>
      <c r="U55" s="3">
        <v>-180.43</v>
      </c>
      <c r="V55" s="70" t="s">
        <v>592</v>
      </c>
      <c r="W55" s="3" t="s">
        <v>343</v>
      </c>
      <c r="X55" s="3" t="s">
        <v>337</v>
      </c>
      <c r="Y55" s="3" t="s">
        <v>337</v>
      </c>
    </row>
    <row r="56" spans="1:25" hidden="1" x14ac:dyDescent="0.2">
      <c r="A56" s="83" t="str">
        <f t="shared" si="0"/>
        <v>郑州盛华里25号专用粉</v>
      </c>
      <c r="B56" s="3" t="s">
        <v>709</v>
      </c>
      <c r="C56" s="84">
        <v>44377</v>
      </c>
      <c r="D56" s="3" t="s">
        <v>347</v>
      </c>
      <c r="E56" s="3" t="s">
        <v>337</v>
      </c>
      <c r="F56" s="3" t="s">
        <v>337</v>
      </c>
      <c r="G56" s="70" t="s">
        <v>170</v>
      </c>
      <c r="H56" s="3" t="s">
        <v>348</v>
      </c>
      <c r="I56" s="3" t="s">
        <v>89</v>
      </c>
      <c r="J56" s="3">
        <v>80000</v>
      </c>
      <c r="K56" s="3">
        <v>50000</v>
      </c>
      <c r="L56" s="3">
        <v>133509.4</v>
      </c>
      <c r="M56" s="3">
        <v>25000</v>
      </c>
      <c r="N56" s="3">
        <v>-3509.4</v>
      </c>
      <c r="O56" s="70">
        <v>28509.4</v>
      </c>
      <c r="P56" s="3">
        <v>0</v>
      </c>
      <c r="Q56" s="3">
        <v>0</v>
      </c>
      <c r="R56" s="3">
        <v>4.5789999999999997E-3</v>
      </c>
      <c r="S56" s="3">
        <v>130.54</v>
      </c>
      <c r="T56" s="3">
        <v>114.47</v>
      </c>
      <c r="U56" s="3">
        <v>-16.07</v>
      </c>
      <c r="V56" s="70" t="s">
        <v>637</v>
      </c>
      <c r="W56" s="3" t="s">
        <v>343</v>
      </c>
      <c r="X56" s="3" t="s">
        <v>337</v>
      </c>
      <c r="Y56" s="3" t="s">
        <v>337</v>
      </c>
    </row>
    <row r="57" spans="1:25" hidden="1" x14ac:dyDescent="0.2">
      <c r="A57" s="83" t="str">
        <f t="shared" si="0"/>
        <v>滑县滑台25号专用粉</v>
      </c>
      <c r="B57" s="3" t="s">
        <v>710</v>
      </c>
      <c r="C57" s="84">
        <v>44377</v>
      </c>
      <c r="D57" s="3" t="s">
        <v>347</v>
      </c>
      <c r="E57" s="3" t="s">
        <v>337</v>
      </c>
      <c r="F57" s="3" t="s">
        <v>337</v>
      </c>
      <c r="G57" s="70" t="s">
        <v>170</v>
      </c>
      <c r="H57" s="3" t="s">
        <v>348</v>
      </c>
      <c r="I57" s="3" t="s">
        <v>89</v>
      </c>
      <c r="J57" s="3">
        <v>90000</v>
      </c>
      <c r="K57" s="3">
        <v>175000</v>
      </c>
      <c r="L57" s="3">
        <v>292627.45</v>
      </c>
      <c r="M57" s="3">
        <v>25000</v>
      </c>
      <c r="N57" s="3">
        <v>-27627.45</v>
      </c>
      <c r="O57" s="70">
        <v>52627.45</v>
      </c>
      <c r="P57" s="3">
        <v>0</v>
      </c>
      <c r="Q57" s="3">
        <v>0</v>
      </c>
      <c r="R57" s="3">
        <v>4.581E-3</v>
      </c>
      <c r="S57" s="3">
        <v>241.09</v>
      </c>
      <c r="T57" s="3">
        <v>114.52</v>
      </c>
      <c r="U57" s="3">
        <v>-126.56</v>
      </c>
      <c r="V57" s="70" t="s">
        <v>639</v>
      </c>
      <c r="W57" s="3" t="s">
        <v>343</v>
      </c>
      <c r="X57" s="3" t="s">
        <v>337</v>
      </c>
      <c r="Y57" s="3" t="s">
        <v>337</v>
      </c>
    </row>
    <row r="58" spans="1:25" hidden="1" x14ac:dyDescent="0.2">
      <c r="A58" s="83" t="str">
        <f t="shared" si="0"/>
        <v>郑州裕华25号专用粉</v>
      </c>
      <c r="B58" s="3" t="s">
        <v>711</v>
      </c>
      <c r="C58" s="84">
        <v>44377</v>
      </c>
      <c r="D58" s="3" t="s">
        <v>347</v>
      </c>
      <c r="E58" s="3" t="s">
        <v>337</v>
      </c>
      <c r="F58" s="3" t="s">
        <v>337</v>
      </c>
      <c r="G58" s="70" t="s">
        <v>170</v>
      </c>
      <c r="H58" s="3" t="s">
        <v>348</v>
      </c>
      <c r="I58" s="3" t="s">
        <v>89</v>
      </c>
      <c r="J58" s="3">
        <v>68000</v>
      </c>
      <c r="K58" s="3">
        <v>125000</v>
      </c>
      <c r="L58" s="3">
        <v>156424.79999999999</v>
      </c>
      <c r="M58" s="3">
        <v>20000</v>
      </c>
      <c r="N58" s="3">
        <v>36575.199999999997</v>
      </c>
      <c r="O58" s="70">
        <v>-16575.2</v>
      </c>
      <c r="P58" s="3">
        <v>0</v>
      </c>
      <c r="Q58" s="3">
        <v>0</v>
      </c>
      <c r="R58" s="3">
        <v>4.5789999999999997E-3</v>
      </c>
      <c r="S58" s="3">
        <v>-75.900000000000006</v>
      </c>
      <c r="T58" s="3">
        <v>91.58</v>
      </c>
      <c r="U58" s="3">
        <v>167.48</v>
      </c>
      <c r="V58" s="70" t="s">
        <v>641</v>
      </c>
      <c r="W58" s="3" t="s">
        <v>343</v>
      </c>
      <c r="X58" s="3" t="s">
        <v>337</v>
      </c>
      <c r="Y58" s="3" t="s">
        <v>337</v>
      </c>
    </row>
    <row r="59" spans="1:25" hidden="1" x14ac:dyDescent="0.2">
      <c r="A59" s="83" t="str">
        <f t="shared" si="0"/>
        <v>清丰凤鸣25号专用粉</v>
      </c>
      <c r="B59" s="3" t="s">
        <v>713</v>
      </c>
      <c r="C59" s="84">
        <v>44377</v>
      </c>
      <c r="D59" s="3" t="s">
        <v>347</v>
      </c>
      <c r="E59" s="3" t="s">
        <v>337</v>
      </c>
      <c r="F59" s="3" t="s">
        <v>337</v>
      </c>
      <c r="G59" s="70" t="s">
        <v>170</v>
      </c>
      <c r="H59" s="3" t="s">
        <v>348</v>
      </c>
      <c r="I59" s="3" t="s">
        <v>89</v>
      </c>
      <c r="J59" s="3">
        <v>125000</v>
      </c>
      <c r="K59" s="3">
        <v>75000</v>
      </c>
      <c r="L59" s="3">
        <v>137913.15</v>
      </c>
      <c r="M59" s="3">
        <v>61800</v>
      </c>
      <c r="N59" s="3">
        <v>62086.85</v>
      </c>
      <c r="O59" s="70">
        <v>-286.85000000000002</v>
      </c>
      <c r="P59" s="3">
        <v>0</v>
      </c>
      <c r="Q59" s="3">
        <v>0</v>
      </c>
      <c r="R59" s="3">
        <v>4.5779999999999996E-3</v>
      </c>
      <c r="S59" s="3">
        <v>-1.31</v>
      </c>
      <c r="T59" s="3">
        <v>282.95</v>
      </c>
      <c r="U59" s="3">
        <v>284.23</v>
      </c>
      <c r="V59" s="70" t="s">
        <v>334</v>
      </c>
      <c r="W59" s="3" t="s">
        <v>343</v>
      </c>
      <c r="X59" s="3" t="s">
        <v>337</v>
      </c>
      <c r="Y59" s="3" t="s">
        <v>337</v>
      </c>
    </row>
    <row r="60" spans="1:25" hidden="1" x14ac:dyDescent="0.2">
      <c r="A60" s="83" t="str">
        <f t="shared" si="0"/>
        <v>方城锦城国际25号专用粉</v>
      </c>
      <c r="B60" s="3" t="s">
        <v>712</v>
      </c>
      <c r="C60" s="84">
        <v>44377</v>
      </c>
      <c r="D60" s="3" t="s">
        <v>347</v>
      </c>
      <c r="E60" s="3" t="s">
        <v>337</v>
      </c>
      <c r="F60" s="3" t="s">
        <v>337</v>
      </c>
      <c r="G60" s="70" t="s">
        <v>170</v>
      </c>
      <c r="H60" s="3" t="s">
        <v>348</v>
      </c>
      <c r="I60" s="3" t="s">
        <v>89</v>
      </c>
      <c r="J60" s="3">
        <v>25000</v>
      </c>
      <c r="K60" s="3">
        <v>275000</v>
      </c>
      <c r="L60" s="3">
        <v>280690.90000000002</v>
      </c>
      <c r="M60" s="3">
        <v>40000</v>
      </c>
      <c r="N60" s="3">
        <v>19309.099999999999</v>
      </c>
      <c r="O60" s="70">
        <v>20690.900000000001</v>
      </c>
      <c r="P60" s="3">
        <v>0</v>
      </c>
      <c r="Q60" s="3">
        <v>0</v>
      </c>
      <c r="R60" s="3">
        <v>4.5799999999999999E-3</v>
      </c>
      <c r="S60" s="3">
        <v>94.76</v>
      </c>
      <c r="T60" s="3">
        <v>183.21</v>
      </c>
      <c r="U60" s="3">
        <v>88.44</v>
      </c>
      <c r="V60" s="70" t="s">
        <v>594</v>
      </c>
      <c r="W60" s="3" t="s">
        <v>343</v>
      </c>
      <c r="X60" s="3" t="s">
        <v>337</v>
      </c>
      <c r="Y60" s="3" t="s">
        <v>337</v>
      </c>
    </row>
    <row r="61" spans="1:25" hidden="1" x14ac:dyDescent="0.2">
      <c r="A61" s="83" t="str">
        <f t="shared" si="0"/>
        <v>郑州政六街25号专用粉</v>
      </c>
      <c r="B61" s="3" t="s">
        <v>714</v>
      </c>
      <c r="C61" s="84">
        <v>44377</v>
      </c>
      <c r="D61" s="3" t="s">
        <v>347</v>
      </c>
      <c r="E61" s="3" t="s">
        <v>337</v>
      </c>
      <c r="F61" s="3" t="s">
        <v>337</v>
      </c>
      <c r="G61" s="70" t="s">
        <v>170</v>
      </c>
      <c r="H61" s="3" t="s">
        <v>348</v>
      </c>
      <c r="I61" s="3" t="s">
        <v>89</v>
      </c>
      <c r="J61" s="3">
        <v>2500</v>
      </c>
      <c r="K61" s="3">
        <v>300000</v>
      </c>
      <c r="L61" s="3">
        <v>370640.4</v>
      </c>
      <c r="M61" s="3">
        <v>500</v>
      </c>
      <c r="N61" s="3">
        <v>-68140.399999999994</v>
      </c>
      <c r="O61" s="70">
        <v>68640.399999999994</v>
      </c>
      <c r="P61" s="3">
        <v>0</v>
      </c>
      <c r="Q61" s="3">
        <v>0</v>
      </c>
      <c r="R61" s="3">
        <v>4.5999999999999999E-3</v>
      </c>
      <c r="S61" s="3">
        <v>315.75</v>
      </c>
      <c r="T61" s="3">
        <v>2.2999999999999998</v>
      </c>
      <c r="U61" s="3">
        <v>-313.45</v>
      </c>
      <c r="V61" s="70" t="s">
        <v>591</v>
      </c>
      <c r="W61" s="3" t="s">
        <v>343</v>
      </c>
      <c r="X61" s="3" t="s">
        <v>337</v>
      </c>
      <c r="Y61" s="3" t="s">
        <v>337</v>
      </c>
    </row>
    <row r="62" spans="1:25" hidden="1" x14ac:dyDescent="0.2">
      <c r="A62" s="83" t="str">
        <f t="shared" si="0"/>
        <v>郑州政六街起酥油</v>
      </c>
      <c r="B62" s="3" t="s">
        <v>714</v>
      </c>
      <c r="C62" s="84">
        <v>44377</v>
      </c>
      <c r="D62" s="3" t="s">
        <v>349</v>
      </c>
      <c r="E62" s="3" t="s">
        <v>337</v>
      </c>
      <c r="F62" s="3" t="s">
        <v>337</v>
      </c>
      <c r="G62" s="70" t="s">
        <v>30</v>
      </c>
      <c r="H62" s="3" t="s">
        <v>350</v>
      </c>
      <c r="I62" s="3" t="s">
        <v>350</v>
      </c>
      <c r="J62" s="3">
        <v>7</v>
      </c>
      <c r="K62" s="3">
        <v>13</v>
      </c>
      <c r="L62" s="3">
        <v>0</v>
      </c>
      <c r="M62" s="3">
        <v>1</v>
      </c>
      <c r="N62" s="3">
        <v>20</v>
      </c>
      <c r="O62" s="70">
        <v>-19</v>
      </c>
      <c r="P62" s="3">
        <v>0</v>
      </c>
      <c r="Q62" s="3">
        <v>0</v>
      </c>
      <c r="R62" s="3">
        <v>154.62</v>
      </c>
      <c r="S62" s="3">
        <v>-2937.78</v>
      </c>
      <c r="T62" s="3">
        <v>154.62</v>
      </c>
      <c r="U62" s="3">
        <v>3092.4</v>
      </c>
      <c r="V62" s="70" t="s">
        <v>591</v>
      </c>
      <c r="W62" s="3" t="s">
        <v>343</v>
      </c>
      <c r="X62" s="3" t="s">
        <v>337</v>
      </c>
      <c r="Y62" s="3" t="s">
        <v>337</v>
      </c>
    </row>
    <row r="63" spans="1:25" hidden="1" x14ac:dyDescent="0.2">
      <c r="A63" s="83" t="str">
        <f t="shared" si="0"/>
        <v>方城锦城国际起酥油</v>
      </c>
      <c r="B63" s="3" t="s">
        <v>712</v>
      </c>
      <c r="C63" s="84">
        <v>44377</v>
      </c>
      <c r="D63" s="3" t="s">
        <v>349</v>
      </c>
      <c r="E63" s="3" t="s">
        <v>337</v>
      </c>
      <c r="F63" s="3" t="s">
        <v>337</v>
      </c>
      <c r="G63" s="70" t="s">
        <v>30</v>
      </c>
      <c r="H63" s="3" t="s">
        <v>350</v>
      </c>
      <c r="I63" s="3" t="s">
        <v>350</v>
      </c>
      <c r="J63" s="3">
        <v>1</v>
      </c>
      <c r="K63" s="3">
        <v>17</v>
      </c>
      <c r="L63" s="3">
        <v>0</v>
      </c>
      <c r="M63" s="3">
        <v>3</v>
      </c>
      <c r="N63" s="3">
        <v>18</v>
      </c>
      <c r="O63" s="70">
        <v>-15</v>
      </c>
      <c r="P63" s="3">
        <v>0</v>
      </c>
      <c r="Q63" s="3">
        <v>0</v>
      </c>
      <c r="R63" s="3">
        <v>155.83000000000001</v>
      </c>
      <c r="S63" s="3">
        <v>-2337.4499999999998</v>
      </c>
      <c r="T63" s="3">
        <v>467.49</v>
      </c>
      <c r="U63" s="3">
        <v>2804.94</v>
      </c>
      <c r="V63" s="70" t="s">
        <v>594</v>
      </c>
      <c r="W63" s="3" t="s">
        <v>343</v>
      </c>
      <c r="X63" s="3" t="s">
        <v>337</v>
      </c>
      <c r="Y63" s="3" t="s">
        <v>337</v>
      </c>
    </row>
    <row r="64" spans="1:25" hidden="1" x14ac:dyDescent="0.2">
      <c r="A64" s="83" t="str">
        <f t="shared" si="0"/>
        <v>清丰凤鸣起酥油</v>
      </c>
      <c r="B64" s="3" t="s">
        <v>713</v>
      </c>
      <c r="C64" s="84">
        <v>44377</v>
      </c>
      <c r="D64" s="3" t="s">
        <v>349</v>
      </c>
      <c r="E64" s="3" t="s">
        <v>337</v>
      </c>
      <c r="F64" s="3" t="s">
        <v>337</v>
      </c>
      <c r="G64" s="70" t="s">
        <v>30</v>
      </c>
      <c r="H64" s="3" t="s">
        <v>350</v>
      </c>
      <c r="I64" s="3" t="s">
        <v>350</v>
      </c>
      <c r="J64" s="3">
        <v>3</v>
      </c>
      <c r="K64" s="3">
        <v>10</v>
      </c>
      <c r="L64" s="3">
        <v>0</v>
      </c>
      <c r="M64" s="3">
        <v>1</v>
      </c>
      <c r="N64" s="3">
        <v>13</v>
      </c>
      <c r="O64" s="70">
        <v>-12</v>
      </c>
      <c r="P64" s="3">
        <v>0</v>
      </c>
      <c r="Q64" s="3">
        <v>0</v>
      </c>
      <c r="R64" s="3">
        <v>155.58000000000001</v>
      </c>
      <c r="S64" s="3">
        <v>-1866.96</v>
      </c>
      <c r="T64" s="3">
        <v>155.58000000000001</v>
      </c>
      <c r="U64" s="3">
        <v>2022.54</v>
      </c>
      <c r="V64" s="70" t="s">
        <v>334</v>
      </c>
      <c r="W64" s="3" t="s">
        <v>343</v>
      </c>
      <c r="X64" s="3" t="s">
        <v>337</v>
      </c>
      <c r="Y64" s="3" t="s">
        <v>337</v>
      </c>
    </row>
    <row r="65" spans="1:25" hidden="1" x14ac:dyDescent="0.2">
      <c r="A65" s="83" t="str">
        <f t="shared" si="0"/>
        <v>郑州裕华起酥油</v>
      </c>
      <c r="B65" s="3" t="s">
        <v>711</v>
      </c>
      <c r="C65" s="84">
        <v>44377</v>
      </c>
      <c r="D65" s="3" t="s">
        <v>349</v>
      </c>
      <c r="E65" s="3" t="s">
        <v>337</v>
      </c>
      <c r="F65" s="3" t="s">
        <v>337</v>
      </c>
      <c r="G65" s="70" t="s">
        <v>30</v>
      </c>
      <c r="H65" s="3" t="s">
        <v>350</v>
      </c>
      <c r="I65" s="3" t="s">
        <v>350</v>
      </c>
      <c r="J65" s="3">
        <v>1</v>
      </c>
      <c r="K65" s="3">
        <v>17</v>
      </c>
      <c r="L65" s="3">
        <v>0</v>
      </c>
      <c r="M65" s="3">
        <v>3</v>
      </c>
      <c r="N65" s="3">
        <v>18</v>
      </c>
      <c r="O65" s="70">
        <v>-15</v>
      </c>
      <c r="P65" s="3">
        <v>0</v>
      </c>
      <c r="Q65" s="3">
        <v>0</v>
      </c>
      <c r="R65" s="3">
        <v>155.83333300000001</v>
      </c>
      <c r="S65" s="3">
        <v>-2337.5</v>
      </c>
      <c r="T65" s="3">
        <v>467.5</v>
      </c>
      <c r="U65" s="3">
        <v>2805</v>
      </c>
      <c r="V65" s="70" t="s">
        <v>641</v>
      </c>
      <c r="W65" s="3" t="s">
        <v>343</v>
      </c>
      <c r="X65" s="3" t="s">
        <v>337</v>
      </c>
      <c r="Y65" s="3" t="s">
        <v>337</v>
      </c>
    </row>
    <row r="66" spans="1:25" hidden="1" x14ac:dyDescent="0.2">
      <c r="A66" s="83" t="str">
        <f t="shared" si="0"/>
        <v>滑县滑台起酥油</v>
      </c>
      <c r="B66" s="3" t="s">
        <v>710</v>
      </c>
      <c r="C66" s="84">
        <v>44377</v>
      </c>
      <c r="D66" s="3" t="s">
        <v>349</v>
      </c>
      <c r="E66" s="3" t="s">
        <v>337</v>
      </c>
      <c r="F66" s="3" t="s">
        <v>337</v>
      </c>
      <c r="G66" s="70" t="s">
        <v>30</v>
      </c>
      <c r="H66" s="3" t="s">
        <v>350</v>
      </c>
      <c r="I66" s="3" t="s">
        <v>350</v>
      </c>
      <c r="J66" s="3">
        <v>5</v>
      </c>
      <c r="K66" s="3">
        <v>17</v>
      </c>
      <c r="L66" s="3">
        <v>0</v>
      </c>
      <c r="M66" s="3">
        <v>4</v>
      </c>
      <c r="N66" s="3">
        <v>22</v>
      </c>
      <c r="O66" s="70">
        <v>-18</v>
      </c>
      <c r="P66" s="3">
        <v>0</v>
      </c>
      <c r="Q66" s="3">
        <v>0</v>
      </c>
      <c r="R66" s="3">
        <v>155.1525</v>
      </c>
      <c r="S66" s="3">
        <v>-2792.75</v>
      </c>
      <c r="T66" s="3">
        <v>620.61</v>
      </c>
      <c r="U66" s="3">
        <v>3413.36</v>
      </c>
      <c r="V66" s="70" t="s">
        <v>639</v>
      </c>
      <c r="W66" s="3" t="s">
        <v>343</v>
      </c>
      <c r="X66" s="3" t="s">
        <v>337</v>
      </c>
      <c r="Y66" s="3" t="s">
        <v>337</v>
      </c>
    </row>
    <row r="67" spans="1:25" hidden="1" x14ac:dyDescent="0.2">
      <c r="A67" s="83" t="str">
        <f t="shared" ref="A67:A130" si="1">V67&amp;G67</f>
        <v>郑州盛华里起酥油</v>
      </c>
      <c r="B67" s="3" t="s">
        <v>709</v>
      </c>
      <c r="C67" s="84">
        <v>44377</v>
      </c>
      <c r="D67" s="3" t="s">
        <v>349</v>
      </c>
      <c r="E67" s="3" t="s">
        <v>337</v>
      </c>
      <c r="F67" s="3" t="s">
        <v>337</v>
      </c>
      <c r="G67" s="70" t="s">
        <v>30</v>
      </c>
      <c r="H67" s="3" t="s">
        <v>350</v>
      </c>
      <c r="I67" s="3" t="s">
        <v>350</v>
      </c>
      <c r="J67" s="3">
        <v>3</v>
      </c>
      <c r="K67" s="3">
        <v>7</v>
      </c>
      <c r="L67" s="3">
        <v>0</v>
      </c>
      <c r="M67" s="3">
        <v>2</v>
      </c>
      <c r="N67" s="3">
        <v>10</v>
      </c>
      <c r="O67" s="70">
        <v>-8</v>
      </c>
      <c r="P67" s="3">
        <v>0</v>
      </c>
      <c r="Q67" s="3">
        <v>0</v>
      </c>
      <c r="R67" s="3">
        <v>150.30000000000001</v>
      </c>
      <c r="S67" s="3">
        <v>-1202.4000000000001</v>
      </c>
      <c r="T67" s="3">
        <v>300.60000000000002</v>
      </c>
      <c r="U67" s="3">
        <v>1503</v>
      </c>
      <c r="V67" s="70" t="s">
        <v>637</v>
      </c>
      <c r="W67" s="3" t="s">
        <v>343</v>
      </c>
      <c r="X67" s="3" t="s">
        <v>337</v>
      </c>
      <c r="Y67" s="3" t="s">
        <v>337</v>
      </c>
    </row>
    <row r="68" spans="1:25" hidden="1" x14ac:dyDescent="0.2">
      <c r="A68" s="83" t="str">
        <f t="shared" si="1"/>
        <v>郑州铁英街起酥油</v>
      </c>
      <c r="B68" s="3" t="s">
        <v>707</v>
      </c>
      <c r="C68" s="84">
        <v>44377</v>
      </c>
      <c r="D68" s="3" t="s">
        <v>349</v>
      </c>
      <c r="E68" s="3" t="s">
        <v>337</v>
      </c>
      <c r="F68" s="3" t="s">
        <v>337</v>
      </c>
      <c r="G68" s="70" t="s">
        <v>30</v>
      </c>
      <c r="H68" s="3" t="s">
        <v>350</v>
      </c>
      <c r="I68" s="3" t="s">
        <v>350</v>
      </c>
      <c r="J68" s="3">
        <v>1</v>
      </c>
      <c r="K68" s="3">
        <v>16</v>
      </c>
      <c r="L68" s="3">
        <v>0</v>
      </c>
      <c r="M68" s="3">
        <v>2</v>
      </c>
      <c r="N68" s="3">
        <v>17</v>
      </c>
      <c r="O68" s="70">
        <v>-15</v>
      </c>
      <c r="P68" s="3">
        <v>0</v>
      </c>
      <c r="Q68" s="3">
        <v>0</v>
      </c>
      <c r="R68" s="3">
        <v>156.76</v>
      </c>
      <c r="S68" s="3">
        <v>-2351.4</v>
      </c>
      <c r="T68" s="3">
        <v>313.52</v>
      </c>
      <c r="U68" s="3">
        <v>2664.92</v>
      </c>
      <c r="V68" s="70" t="s">
        <v>592</v>
      </c>
      <c r="W68" s="3" t="s">
        <v>343</v>
      </c>
      <c r="X68" s="3" t="s">
        <v>337</v>
      </c>
      <c r="Y68" s="3" t="s">
        <v>337</v>
      </c>
    </row>
    <row r="69" spans="1:25" hidden="1" x14ac:dyDescent="0.2">
      <c r="A69" s="83" t="str">
        <f t="shared" si="1"/>
        <v>郑州西悦城起酥油</v>
      </c>
      <c r="B69" s="3" t="s">
        <v>708</v>
      </c>
      <c r="C69" s="84">
        <v>44377</v>
      </c>
      <c r="D69" s="3" t="s">
        <v>349</v>
      </c>
      <c r="E69" s="3" t="s">
        <v>337</v>
      </c>
      <c r="F69" s="3" t="s">
        <v>337</v>
      </c>
      <c r="G69" s="70" t="s">
        <v>30</v>
      </c>
      <c r="H69" s="3" t="s">
        <v>350</v>
      </c>
      <c r="I69" s="3" t="s">
        <v>350</v>
      </c>
      <c r="J69" s="3">
        <v>2</v>
      </c>
      <c r="K69" s="3">
        <v>21</v>
      </c>
      <c r="L69" s="3">
        <v>0</v>
      </c>
      <c r="M69" s="3">
        <v>2</v>
      </c>
      <c r="N69" s="3">
        <v>23</v>
      </c>
      <c r="O69" s="70">
        <v>-21</v>
      </c>
      <c r="P69" s="3">
        <v>0</v>
      </c>
      <c r="Q69" s="3">
        <v>0</v>
      </c>
      <c r="R69" s="3">
        <v>156.465</v>
      </c>
      <c r="S69" s="3">
        <v>-3285.77</v>
      </c>
      <c r="T69" s="3">
        <v>312.93</v>
      </c>
      <c r="U69" s="3">
        <v>3598.7</v>
      </c>
      <c r="V69" s="70" t="s">
        <v>332</v>
      </c>
      <c r="W69" s="3" t="s">
        <v>343</v>
      </c>
      <c r="X69" s="3" t="s">
        <v>337</v>
      </c>
      <c r="Y69" s="3" t="s">
        <v>337</v>
      </c>
    </row>
    <row r="70" spans="1:25" hidden="1" x14ac:dyDescent="0.2">
      <c r="A70" s="83" t="str">
        <f t="shared" si="1"/>
        <v>华山龙源起酥油</v>
      </c>
      <c r="B70" s="3" t="s">
        <v>705</v>
      </c>
      <c r="C70" s="84">
        <v>44377</v>
      </c>
      <c r="D70" s="3" t="s">
        <v>349</v>
      </c>
      <c r="E70" s="3" t="s">
        <v>337</v>
      </c>
      <c r="F70" s="3" t="s">
        <v>337</v>
      </c>
      <c r="G70" s="70" t="s">
        <v>30</v>
      </c>
      <c r="H70" s="3" t="s">
        <v>350</v>
      </c>
      <c r="I70" s="3" t="s">
        <v>350</v>
      </c>
      <c r="J70" s="3">
        <v>1</v>
      </c>
      <c r="K70" s="3">
        <v>13</v>
      </c>
      <c r="L70" s="3">
        <v>0</v>
      </c>
      <c r="M70" s="3">
        <v>0</v>
      </c>
      <c r="N70" s="3">
        <v>14</v>
      </c>
      <c r="O70" s="70">
        <v>-14</v>
      </c>
      <c r="P70" s="3">
        <v>0</v>
      </c>
      <c r="Q70" s="3">
        <v>0</v>
      </c>
      <c r="R70" s="3">
        <v>154.911429</v>
      </c>
      <c r="S70" s="3">
        <v>-2168.7600000000002</v>
      </c>
      <c r="T70" s="3">
        <v>0</v>
      </c>
      <c r="U70" s="3">
        <v>2168.7600000000002</v>
      </c>
      <c r="V70" s="70" t="s">
        <v>643</v>
      </c>
      <c r="W70" s="3" t="s">
        <v>343</v>
      </c>
      <c r="X70" s="3" t="s">
        <v>337</v>
      </c>
      <c r="Y70" s="3" t="s">
        <v>337</v>
      </c>
    </row>
    <row r="71" spans="1:25" hidden="1" x14ac:dyDescent="0.2">
      <c r="A71" s="83" t="str">
        <f t="shared" si="1"/>
        <v>郑州瀚海海尚起酥油</v>
      </c>
      <c r="B71" s="3" t="s">
        <v>706</v>
      </c>
      <c r="C71" s="84">
        <v>44377</v>
      </c>
      <c r="D71" s="3" t="s">
        <v>349</v>
      </c>
      <c r="E71" s="3" t="s">
        <v>337</v>
      </c>
      <c r="F71" s="3" t="s">
        <v>337</v>
      </c>
      <c r="G71" s="70" t="s">
        <v>30</v>
      </c>
      <c r="H71" s="3" t="s">
        <v>350</v>
      </c>
      <c r="I71" s="3" t="s">
        <v>350</v>
      </c>
      <c r="J71" s="3">
        <v>2.5</v>
      </c>
      <c r="K71" s="3">
        <v>13</v>
      </c>
      <c r="L71" s="3">
        <v>0</v>
      </c>
      <c r="M71" s="3">
        <v>1</v>
      </c>
      <c r="N71" s="3">
        <v>15.5</v>
      </c>
      <c r="O71" s="70">
        <v>-14.5</v>
      </c>
      <c r="P71" s="3">
        <v>0</v>
      </c>
      <c r="Q71" s="3">
        <v>0</v>
      </c>
      <c r="R71" s="3">
        <v>154.16999999999999</v>
      </c>
      <c r="S71" s="3">
        <v>-2235.4699999999998</v>
      </c>
      <c r="T71" s="3">
        <v>154.16999999999999</v>
      </c>
      <c r="U71" s="3">
        <v>2389.64</v>
      </c>
      <c r="V71" s="70" t="s">
        <v>333</v>
      </c>
      <c r="W71" s="3" t="s">
        <v>343</v>
      </c>
      <c r="X71" s="3" t="s">
        <v>337</v>
      </c>
      <c r="Y71" s="3" t="s">
        <v>337</v>
      </c>
    </row>
    <row r="72" spans="1:25" hidden="1" x14ac:dyDescent="0.2">
      <c r="A72" s="83" t="str">
        <f t="shared" si="1"/>
        <v>郑州康复中街起酥油</v>
      </c>
      <c r="B72" s="3" t="s">
        <v>704</v>
      </c>
      <c r="C72" s="84">
        <v>44377</v>
      </c>
      <c r="D72" s="3" t="s">
        <v>349</v>
      </c>
      <c r="E72" s="3" t="s">
        <v>337</v>
      </c>
      <c r="F72" s="3" t="s">
        <v>337</v>
      </c>
      <c r="G72" s="70" t="s">
        <v>30</v>
      </c>
      <c r="H72" s="3" t="s">
        <v>350</v>
      </c>
      <c r="I72" s="3" t="s">
        <v>350</v>
      </c>
      <c r="J72" s="3">
        <v>2</v>
      </c>
      <c r="K72" s="3">
        <v>19</v>
      </c>
      <c r="L72" s="3">
        <v>0</v>
      </c>
      <c r="M72" s="3">
        <v>2</v>
      </c>
      <c r="N72" s="3">
        <v>21</v>
      </c>
      <c r="O72" s="70">
        <v>-19</v>
      </c>
      <c r="P72" s="3">
        <v>0</v>
      </c>
      <c r="Q72" s="3">
        <v>0</v>
      </c>
      <c r="R72" s="3">
        <v>155.68</v>
      </c>
      <c r="S72" s="3">
        <v>-2957.92</v>
      </c>
      <c r="T72" s="3">
        <v>311.36</v>
      </c>
      <c r="U72" s="3">
        <v>3269.28</v>
      </c>
      <c r="V72" s="70" t="s">
        <v>593</v>
      </c>
      <c r="W72" s="3" t="s">
        <v>343</v>
      </c>
      <c r="X72" s="3" t="s">
        <v>337</v>
      </c>
      <c r="Y72" s="3" t="s">
        <v>337</v>
      </c>
    </row>
    <row r="73" spans="1:25" hidden="1" x14ac:dyDescent="0.2">
      <c r="A73" s="83" t="str">
        <f t="shared" si="1"/>
        <v>新蔡水韵天街起酥油</v>
      </c>
      <c r="B73" s="3" t="s">
        <v>703</v>
      </c>
      <c r="C73" s="84">
        <v>44377</v>
      </c>
      <c r="D73" s="3" t="s">
        <v>349</v>
      </c>
      <c r="E73" s="3" t="s">
        <v>337</v>
      </c>
      <c r="F73" s="3" t="s">
        <v>337</v>
      </c>
      <c r="G73" s="70" t="s">
        <v>30</v>
      </c>
      <c r="H73" s="3" t="s">
        <v>350</v>
      </c>
      <c r="I73" s="3" t="s">
        <v>350</v>
      </c>
      <c r="J73" s="3">
        <v>4</v>
      </c>
      <c r="K73" s="3">
        <v>10</v>
      </c>
      <c r="L73" s="3">
        <v>0</v>
      </c>
      <c r="M73" s="3">
        <v>2</v>
      </c>
      <c r="N73" s="3">
        <v>14</v>
      </c>
      <c r="O73" s="70">
        <v>-12</v>
      </c>
      <c r="P73" s="3">
        <v>0</v>
      </c>
      <c r="Q73" s="3">
        <v>0</v>
      </c>
      <c r="R73" s="3">
        <v>153.75</v>
      </c>
      <c r="S73" s="3">
        <v>-1845</v>
      </c>
      <c r="T73" s="3">
        <v>307.5</v>
      </c>
      <c r="U73" s="3">
        <v>2152.5</v>
      </c>
      <c r="V73" s="70" t="s">
        <v>335</v>
      </c>
      <c r="W73" s="3" t="s">
        <v>343</v>
      </c>
      <c r="X73" s="3" t="s">
        <v>337</v>
      </c>
      <c r="Y73" s="3" t="s">
        <v>337</v>
      </c>
    </row>
    <row r="74" spans="1:25" hidden="1" x14ac:dyDescent="0.2">
      <c r="A74" s="83" t="str">
        <f t="shared" si="1"/>
        <v>新蔡水韵天街面包糠</v>
      </c>
      <c r="B74" s="3" t="s">
        <v>703</v>
      </c>
      <c r="C74" s="84">
        <v>44377</v>
      </c>
      <c r="D74" s="3" t="s">
        <v>351</v>
      </c>
      <c r="E74" s="3" t="s">
        <v>337</v>
      </c>
      <c r="F74" s="3" t="s">
        <v>337</v>
      </c>
      <c r="G74" s="70" t="s">
        <v>31</v>
      </c>
      <c r="H74" s="3" t="s">
        <v>348</v>
      </c>
      <c r="I74" s="3" t="s">
        <v>89</v>
      </c>
      <c r="J74" s="3">
        <v>4000</v>
      </c>
      <c r="K74" s="3">
        <v>0</v>
      </c>
      <c r="L74" s="3">
        <v>3177.5</v>
      </c>
      <c r="M74" s="3">
        <v>1000</v>
      </c>
      <c r="N74" s="3">
        <v>822.5</v>
      </c>
      <c r="O74" s="70">
        <v>177.5</v>
      </c>
      <c r="P74" s="3">
        <v>0</v>
      </c>
      <c r="Q74" s="3">
        <v>0</v>
      </c>
      <c r="R74" s="3">
        <v>6.3099999999999996E-3</v>
      </c>
      <c r="S74" s="3">
        <v>1.1200000000000001</v>
      </c>
      <c r="T74" s="3">
        <v>6.31</v>
      </c>
      <c r="U74" s="3">
        <v>5.19</v>
      </c>
      <c r="V74" s="70" t="s">
        <v>335</v>
      </c>
      <c r="W74" s="3" t="s">
        <v>343</v>
      </c>
      <c r="X74" s="3" t="s">
        <v>337</v>
      </c>
      <c r="Y74" s="3" t="s">
        <v>337</v>
      </c>
    </row>
    <row r="75" spans="1:25" hidden="1" x14ac:dyDescent="0.2">
      <c r="A75" s="83" t="str">
        <f t="shared" si="1"/>
        <v>郑州康复中街面包糠</v>
      </c>
      <c r="B75" s="3" t="s">
        <v>704</v>
      </c>
      <c r="C75" s="84">
        <v>44377</v>
      </c>
      <c r="D75" s="3" t="s">
        <v>351</v>
      </c>
      <c r="E75" s="3" t="s">
        <v>337</v>
      </c>
      <c r="F75" s="3" t="s">
        <v>337</v>
      </c>
      <c r="G75" s="70" t="s">
        <v>31</v>
      </c>
      <c r="H75" s="3" t="s">
        <v>348</v>
      </c>
      <c r="I75" s="3" t="s">
        <v>89</v>
      </c>
      <c r="J75" s="3">
        <v>2660</v>
      </c>
      <c r="K75" s="3">
        <v>30000</v>
      </c>
      <c r="L75" s="3">
        <v>6594.16</v>
      </c>
      <c r="M75" s="3">
        <v>26000</v>
      </c>
      <c r="N75" s="3">
        <v>26065.84</v>
      </c>
      <c r="O75" s="70">
        <v>-65.84</v>
      </c>
      <c r="P75" s="3">
        <v>0</v>
      </c>
      <c r="Q75" s="3">
        <v>0</v>
      </c>
      <c r="R75" s="3">
        <v>6.3E-3</v>
      </c>
      <c r="S75" s="3">
        <v>-0.41</v>
      </c>
      <c r="T75" s="3">
        <v>163.80000000000001</v>
      </c>
      <c r="U75" s="3">
        <v>164.21</v>
      </c>
      <c r="V75" s="70" t="s">
        <v>593</v>
      </c>
      <c r="W75" s="3" t="s">
        <v>343</v>
      </c>
      <c r="X75" s="3" t="s">
        <v>337</v>
      </c>
      <c r="Y75" s="3" t="s">
        <v>337</v>
      </c>
    </row>
    <row r="76" spans="1:25" hidden="1" x14ac:dyDescent="0.2">
      <c r="A76" s="83" t="str">
        <f t="shared" si="1"/>
        <v>华山龙源面包糠</v>
      </c>
      <c r="B76" s="3" t="s">
        <v>705</v>
      </c>
      <c r="C76" s="84">
        <v>44377</v>
      </c>
      <c r="D76" s="3" t="s">
        <v>351</v>
      </c>
      <c r="E76" s="3" t="s">
        <v>337</v>
      </c>
      <c r="F76" s="3" t="s">
        <v>337</v>
      </c>
      <c r="G76" s="70" t="s">
        <v>31</v>
      </c>
      <c r="H76" s="3" t="s">
        <v>348</v>
      </c>
      <c r="I76" s="3" t="s">
        <v>89</v>
      </c>
      <c r="J76" s="3">
        <v>9000</v>
      </c>
      <c r="K76" s="3">
        <v>0</v>
      </c>
      <c r="L76" s="3">
        <v>2197.2199999999998</v>
      </c>
      <c r="M76" s="3">
        <v>7000</v>
      </c>
      <c r="N76" s="3">
        <v>6802.78</v>
      </c>
      <c r="O76" s="97">
        <v>197.22</v>
      </c>
      <c r="P76" s="3">
        <v>0</v>
      </c>
      <c r="Q76" s="3">
        <v>0</v>
      </c>
      <c r="R76" s="3">
        <v>6.306E-3</v>
      </c>
      <c r="S76" s="3">
        <v>1.24</v>
      </c>
      <c r="T76" s="3">
        <v>44.14</v>
      </c>
      <c r="U76" s="3">
        <v>42.9</v>
      </c>
      <c r="V76" s="70" t="s">
        <v>643</v>
      </c>
      <c r="W76" s="3" t="s">
        <v>343</v>
      </c>
      <c r="X76" s="3" t="s">
        <v>337</v>
      </c>
      <c r="Y76" s="3" t="s">
        <v>337</v>
      </c>
    </row>
    <row r="77" spans="1:25" hidden="1" x14ac:dyDescent="0.2">
      <c r="A77" s="83" t="str">
        <f t="shared" si="1"/>
        <v>郑州瀚海海尚面包糠</v>
      </c>
      <c r="B77" s="3" t="s">
        <v>706</v>
      </c>
      <c r="C77" s="84">
        <v>44377</v>
      </c>
      <c r="D77" s="3" t="s">
        <v>351</v>
      </c>
      <c r="E77" s="3" t="s">
        <v>337</v>
      </c>
      <c r="F77" s="3" t="s">
        <v>337</v>
      </c>
      <c r="G77" s="70" t="s">
        <v>31</v>
      </c>
      <c r="H77" s="3" t="s">
        <v>348</v>
      </c>
      <c r="I77" s="3" t="s">
        <v>89</v>
      </c>
      <c r="J77" s="3">
        <v>4000</v>
      </c>
      <c r="K77" s="3">
        <v>0</v>
      </c>
      <c r="L77" s="3">
        <v>4534.1000000000004</v>
      </c>
      <c r="M77" s="3">
        <v>0</v>
      </c>
      <c r="N77" s="3">
        <v>-534.1</v>
      </c>
      <c r="O77" s="70">
        <v>534.1</v>
      </c>
      <c r="P77" s="3">
        <v>0</v>
      </c>
      <c r="Q77" s="3">
        <v>0</v>
      </c>
      <c r="R77" s="3">
        <v>6.3049999999999998E-3</v>
      </c>
      <c r="S77" s="3">
        <v>3.37</v>
      </c>
      <c r="T77" s="3">
        <v>0</v>
      </c>
      <c r="U77" s="3">
        <v>-3.37</v>
      </c>
      <c r="V77" s="70" t="s">
        <v>333</v>
      </c>
      <c r="W77" s="3" t="s">
        <v>343</v>
      </c>
      <c r="X77" s="3" t="s">
        <v>337</v>
      </c>
      <c r="Y77" s="3" t="s">
        <v>337</v>
      </c>
    </row>
    <row r="78" spans="1:25" hidden="1" x14ac:dyDescent="0.2">
      <c r="A78" s="83" t="str">
        <f t="shared" si="1"/>
        <v>郑州铁英街面包糠</v>
      </c>
      <c r="B78" s="3" t="s">
        <v>707</v>
      </c>
      <c r="C78" s="84">
        <v>44377</v>
      </c>
      <c r="D78" s="3" t="s">
        <v>351</v>
      </c>
      <c r="E78" s="3" t="s">
        <v>337</v>
      </c>
      <c r="F78" s="3" t="s">
        <v>337</v>
      </c>
      <c r="G78" s="70" t="s">
        <v>31</v>
      </c>
      <c r="H78" s="3" t="s">
        <v>348</v>
      </c>
      <c r="I78" s="3" t="s">
        <v>89</v>
      </c>
      <c r="J78" s="3">
        <v>4900</v>
      </c>
      <c r="K78" s="3">
        <v>0</v>
      </c>
      <c r="L78" s="3">
        <v>4142.13</v>
      </c>
      <c r="M78" s="3">
        <v>1140</v>
      </c>
      <c r="N78" s="3">
        <v>757.87</v>
      </c>
      <c r="O78" s="70">
        <v>382.13</v>
      </c>
      <c r="P78" s="3">
        <v>0</v>
      </c>
      <c r="Q78" s="3">
        <v>0</v>
      </c>
      <c r="R78" s="3">
        <v>6.3070000000000001E-3</v>
      </c>
      <c r="S78" s="3">
        <v>2.41</v>
      </c>
      <c r="T78" s="3">
        <v>7.19</v>
      </c>
      <c r="U78" s="3">
        <v>4.78</v>
      </c>
      <c r="V78" s="70" t="s">
        <v>592</v>
      </c>
      <c r="W78" s="3" t="s">
        <v>343</v>
      </c>
      <c r="X78" s="3" t="s">
        <v>337</v>
      </c>
      <c r="Y78" s="3" t="s">
        <v>337</v>
      </c>
    </row>
    <row r="79" spans="1:25" hidden="1" x14ac:dyDescent="0.2">
      <c r="A79" s="83" t="str">
        <f t="shared" si="1"/>
        <v>郑州西悦城面包糠</v>
      </c>
      <c r="B79" s="3" t="s">
        <v>708</v>
      </c>
      <c r="C79" s="84">
        <v>44377</v>
      </c>
      <c r="D79" s="3" t="s">
        <v>351</v>
      </c>
      <c r="E79" s="3" t="s">
        <v>337</v>
      </c>
      <c r="F79" s="3" t="s">
        <v>337</v>
      </c>
      <c r="G79" s="70" t="s">
        <v>31</v>
      </c>
      <c r="H79" s="3" t="s">
        <v>348</v>
      </c>
      <c r="I79" s="3" t="s">
        <v>89</v>
      </c>
      <c r="J79" s="3">
        <v>5000</v>
      </c>
      <c r="K79" s="3">
        <v>10000</v>
      </c>
      <c r="L79" s="3">
        <v>12569.56</v>
      </c>
      <c r="M79" s="3">
        <v>4000</v>
      </c>
      <c r="N79" s="3">
        <v>2430.44</v>
      </c>
      <c r="O79" s="70">
        <v>1569.56</v>
      </c>
      <c r="P79" s="3">
        <v>0</v>
      </c>
      <c r="Q79" s="3">
        <v>0</v>
      </c>
      <c r="R79" s="3">
        <v>6.3080000000000002E-3</v>
      </c>
      <c r="S79" s="3">
        <v>9.9</v>
      </c>
      <c r="T79" s="3">
        <v>25.23</v>
      </c>
      <c r="U79" s="3">
        <v>15.33</v>
      </c>
      <c r="V79" s="70" t="s">
        <v>332</v>
      </c>
      <c r="W79" s="3" t="s">
        <v>343</v>
      </c>
      <c r="X79" s="3" t="s">
        <v>337</v>
      </c>
      <c r="Y79" s="3" t="s">
        <v>337</v>
      </c>
    </row>
    <row r="80" spans="1:25" hidden="1" x14ac:dyDescent="0.2">
      <c r="A80" s="83" t="str">
        <f t="shared" si="1"/>
        <v>郑州盛华里面包糠</v>
      </c>
      <c r="B80" s="3" t="s">
        <v>709</v>
      </c>
      <c r="C80" s="84">
        <v>44377</v>
      </c>
      <c r="D80" s="3" t="s">
        <v>351</v>
      </c>
      <c r="E80" s="3" t="s">
        <v>337</v>
      </c>
      <c r="F80" s="3" t="s">
        <v>337</v>
      </c>
      <c r="G80" s="70" t="s">
        <v>31</v>
      </c>
      <c r="H80" s="3" t="s">
        <v>348</v>
      </c>
      <c r="I80" s="3" t="s">
        <v>89</v>
      </c>
      <c r="J80" s="3">
        <v>5300</v>
      </c>
      <c r="K80" s="3">
        <v>0</v>
      </c>
      <c r="L80" s="3">
        <v>2971.7</v>
      </c>
      <c r="M80" s="3">
        <v>2500</v>
      </c>
      <c r="N80" s="3">
        <v>2328.3000000000002</v>
      </c>
      <c r="O80" s="70">
        <v>171.7</v>
      </c>
      <c r="P80" s="3">
        <v>0</v>
      </c>
      <c r="Q80" s="3">
        <v>0</v>
      </c>
      <c r="R80" s="3">
        <v>6.3039999999999997E-3</v>
      </c>
      <c r="S80" s="3">
        <v>1.08</v>
      </c>
      <c r="T80" s="3">
        <v>15.76</v>
      </c>
      <c r="U80" s="3">
        <v>14.68</v>
      </c>
      <c r="V80" s="70" t="s">
        <v>637</v>
      </c>
      <c r="W80" s="3" t="s">
        <v>343</v>
      </c>
      <c r="X80" s="3" t="s">
        <v>337</v>
      </c>
      <c r="Y80" s="3" t="s">
        <v>337</v>
      </c>
    </row>
    <row r="81" spans="1:25" hidden="1" x14ac:dyDescent="0.2">
      <c r="A81" s="83" t="str">
        <f t="shared" si="1"/>
        <v>滑县滑台面包糠</v>
      </c>
      <c r="B81" s="3" t="s">
        <v>710</v>
      </c>
      <c r="C81" s="84">
        <v>44377</v>
      </c>
      <c r="D81" s="3" t="s">
        <v>351</v>
      </c>
      <c r="E81" s="3" t="s">
        <v>337</v>
      </c>
      <c r="F81" s="3" t="s">
        <v>337</v>
      </c>
      <c r="G81" s="70" t="s">
        <v>31</v>
      </c>
      <c r="H81" s="3" t="s">
        <v>348</v>
      </c>
      <c r="I81" s="3" t="s">
        <v>89</v>
      </c>
      <c r="J81" s="3">
        <v>7000</v>
      </c>
      <c r="K81" s="3">
        <v>0</v>
      </c>
      <c r="L81" s="3">
        <v>6993.24</v>
      </c>
      <c r="M81" s="3">
        <v>1000</v>
      </c>
      <c r="N81" s="3">
        <v>6.76</v>
      </c>
      <c r="O81" s="70">
        <v>993.24</v>
      </c>
      <c r="P81" s="3">
        <v>0</v>
      </c>
      <c r="Q81" s="3">
        <v>0</v>
      </c>
      <c r="R81" s="3">
        <v>6.3E-3</v>
      </c>
      <c r="S81" s="3">
        <v>6.26</v>
      </c>
      <c r="T81" s="3">
        <v>6.3</v>
      </c>
      <c r="U81" s="3">
        <v>0.04</v>
      </c>
      <c r="V81" s="70" t="s">
        <v>639</v>
      </c>
      <c r="W81" s="3" t="s">
        <v>343</v>
      </c>
      <c r="X81" s="3" t="s">
        <v>337</v>
      </c>
      <c r="Y81" s="3" t="s">
        <v>337</v>
      </c>
    </row>
    <row r="82" spans="1:25" hidden="1" x14ac:dyDescent="0.2">
      <c r="A82" s="83" t="str">
        <f t="shared" si="1"/>
        <v>郑州裕华面包糠</v>
      </c>
      <c r="B82" s="3" t="s">
        <v>711</v>
      </c>
      <c r="C82" s="84">
        <v>44377</v>
      </c>
      <c r="D82" s="3" t="s">
        <v>351</v>
      </c>
      <c r="E82" s="3" t="s">
        <v>337</v>
      </c>
      <c r="F82" s="3" t="s">
        <v>337</v>
      </c>
      <c r="G82" s="70" t="s">
        <v>31</v>
      </c>
      <c r="H82" s="3" t="s">
        <v>348</v>
      </c>
      <c r="I82" s="3" t="s">
        <v>89</v>
      </c>
      <c r="J82" s="3">
        <v>8800</v>
      </c>
      <c r="K82" s="3">
        <v>0</v>
      </c>
      <c r="L82" s="3">
        <v>2751.24</v>
      </c>
      <c r="M82" s="3">
        <v>6000</v>
      </c>
      <c r="N82" s="3">
        <v>6048.76</v>
      </c>
      <c r="O82" s="70">
        <v>-48.76</v>
      </c>
      <c r="P82" s="3">
        <v>0</v>
      </c>
      <c r="Q82" s="3">
        <v>0</v>
      </c>
      <c r="R82" s="3">
        <v>6.3020000000000003E-3</v>
      </c>
      <c r="S82" s="3">
        <v>-0.31</v>
      </c>
      <c r="T82" s="3">
        <v>37.81</v>
      </c>
      <c r="U82" s="3">
        <v>38.119999999999997</v>
      </c>
      <c r="V82" s="70" t="s">
        <v>641</v>
      </c>
      <c r="W82" s="3" t="s">
        <v>343</v>
      </c>
      <c r="X82" s="3" t="s">
        <v>337</v>
      </c>
      <c r="Y82" s="3" t="s">
        <v>337</v>
      </c>
    </row>
    <row r="83" spans="1:25" hidden="1" x14ac:dyDescent="0.2">
      <c r="A83" s="83" t="str">
        <f t="shared" si="1"/>
        <v>方城锦城国际面包糠</v>
      </c>
      <c r="B83" s="3" t="s">
        <v>712</v>
      </c>
      <c r="C83" s="84">
        <v>44377</v>
      </c>
      <c r="D83" s="3" t="s">
        <v>351</v>
      </c>
      <c r="E83" s="3" t="s">
        <v>337</v>
      </c>
      <c r="F83" s="3" t="s">
        <v>337</v>
      </c>
      <c r="G83" s="70" t="s">
        <v>31</v>
      </c>
      <c r="H83" s="3" t="s">
        <v>348</v>
      </c>
      <c r="I83" s="3" t="s">
        <v>89</v>
      </c>
      <c r="J83" s="3">
        <v>4500</v>
      </c>
      <c r="K83" s="3">
        <v>10000</v>
      </c>
      <c r="L83" s="3">
        <v>7675.86</v>
      </c>
      <c r="M83" s="3">
        <v>9000</v>
      </c>
      <c r="N83" s="3">
        <v>6824.14</v>
      </c>
      <c r="O83" s="70">
        <v>2175.86</v>
      </c>
      <c r="P83" s="3">
        <v>0</v>
      </c>
      <c r="Q83" s="3">
        <v>0</v>
      </c>
      <c r="R83" s="3">
        <v>6.3029999999999996E-3</v>
      </c>
      <c r="S83" s="3">
        <v>13.71</v>
      </c>
      <c r="T83" s="3">
        <v>56.73</v>
      </c>
      <c r="U83" s="3">
        <v>43.01</v>
      </c>
      <c r="V83" s="70" t="s">
        <v>594</v>
      </c>
      <c r="W83" s="3" t="s">
        <v>343</v>
      </c>
      <c r="X83" s="3" t="s">
        <v>337</v>
      </c>
      <c r="Y83" s="3" t="s">
        <v>337</v>
      </c>
    </row>
    <row r="84" spans="1:25" hidden="1" x14ac:dyDescent="0.2">
      <c r="A84" s="83" t="str">
        <f t="shared" si="1"/>
        <v>清丰凤鸣面包糠</v>
      </c>
      <c r="B84" s="3" t="s">
        <v>713</v>
      </c>
      <c r="C84" s="84">
        <v>44377</v>
      </c>
      <c r="D84" s="3" t="s">
        <v>351</v>
      </c>
      <c r="E84" s="3" t="s">
        <v>337</v>
      </c>
      <c r="F84" s="3" t="s">
        <v>337</v>
      </c>
      <c r="G84" s="70" t="s">
        <v>31</v>
      </c>
      <c r="H84" s="3" t="s">
        <v>348</v>
      </c>
      <c r="I84" s="3" t="s">
        <v>89</v>
      </c>
      <c r="J84" s="3">
        <v>7000</v>
      </c>
      <c r="K84" s="3">
        <v>10000</v>
      </c>
      <c r="L84" s="3">
        <v>8011.93</v>
      </c>
      <c r="M84" s="3">
        <v>9000</v>
      </c>
      <c r="N84" s="3">
        <v>8988.07</v>
      </c>
      <c r="O84" s="70">
        <v>11.93</v>
      </c>
      <c r="P84" s="3">
        <v>0</v>
      </c>
      <c r="Q84" s="3">
        <v>0</v>
      </c>
      <c r="R84" s="3">
        <v>6.3020000000000003E-3</v>
      </c>
      <c r="S84" s="3">
        <v>0.08</v>
      </c>
      <c r="T84" s="3">
        <v>56.72</v>
      </c>
      <c r="U84" s="3">
        <v>56.64</v>
      </c>
      <c r="V84" s="70" t="s">
        <v>334</v>
      </c>
      <c r="W84" s="3" t="s">
        <v>343</v>
      </c>
      <c r="X84" s="3" t="s">
        <v>337</v>
      </c>
      <c r="Y84" s="3" t="s">
        <v>337</v>
      </c>
    </row>
    <row r="85" spans="1:25" hidden="1" x14ac:dyDescent="0.2">
      <c r="A85" s="83" t="str">
        <f t="shared" si="1"/>
        <v>郑州政六街面包糠</v>
      </c>
      <c r="B85" s="3" t="s">
        <v>714</v>
      </c>
      <c r="C85" s="84">
        <v>44377</v>
      </c>
      <c r="D85" s="3" t="s">
        <v>351</v>
      </c>
      <c r="E85" s="3" t="s">
        <v>337</v>
      </c>
      <c r="F85" s="3" t="s">
        <v>337</v>
      </c>
      <c r="G85" s="70" t="s">
        <v>31</v>
      </c>
      <c r="H85" s="3" t="s">
        <v>348</v>
      </c>
      <c r="I85" s="3" t="s">
        <v>89</v>
      </c>
      <c r="J85" s="3">
        <v>4000</v>
      </c>
      <c r="K85" s="3">
        <v>10000</v>
      </c>
      <c r="L85" s="3">
        <v>6933.83</v>
      </c>
      <c r="M85" s="3">
        <v>8000</v>
      </c>
      <c r="N85" s="3">
        <v>7066.17</v>
      </c>
      <c r="O85" s="70">
        <v>933.83</v>
      </c>
      <c r="P85" s="3">
        <v>0</v>
      </c>
      <c r="Q85" s="3">
        <v>0</v>
      </c>
      <c r="R85" s="3">
        <v>6.2989999999999999E-3</v>
      </c>
      <c r="S85" s="3">
        <v>5.88</v>
      </c>
      <c r="T85" s="3">
        <v>50.39</v>
      </c>
      <c r="U85" s="3">
        <v>44.51</v>
      </c>
      <c r="V85" s="70" t="s">
        <v>591</v>
      </c>
      <c r="W85" s="3" t="s">
        <v>343</v>
      </c>
      <c r="X85" s="3" t="s">
        <v>337</v>
      </c>
      <c r="Y85" s="3" t="s">
        <v>337</v>
      </c>
    </row>
    <row r="86" spans="1:25" hidden="1" x14ac:dyDescent="0.2">
      <c r="A86" s="83" t="str">
        <f t="shared" si="1"/>
        <v>郑州政六街大垃圾袋</v>
      </c>
      <c r="B86" s="3" t="s">
        <v>714</v>
      </c>
      <c r="C86" s="84">
        <v>44377</v>
      </c>
      <c r="D86" s="3" t="s">
        <v>352</v>
      </c>
      <c r="E86" s="3" t="s">
        <v>337</v>
      </c>
      <c r="F86" s="3" t="s">
        <v>337</v>
      </c>
      <c r="G86" s="70" t="s">
        <v>353</v>
      </c>
      <c r="H86" s="3" t="s">
        <v>339</v>
      </c>
      <c r="I86" s="3" t="s">
        <v>354</v>
      </c>
      <c r="J86" s="3">
        <v>26</v>
      </c>
      <c r="K86" s="3">
        <v>10</v>
      </c>
      <c r="L86" s="3">
        <v>0</v>
      </c>
      <c r="M86" s="3">
        <v>20</v>
      </c>
      <c r="N86" s="3">
        <v>36</v>
      </c>
      <c r="O86" s="70">
        <v>-16</v>
      </c>
      <c r="P86" s="3">
        <v>0</v>
      </c>
      <c r="Q86" s="3">
        <v>0</v>
      </c>
      <c r="R86" s="3">
        <v>2.1</v>
      </c>
      <c r="S86" s="3">
        <v>-33.6</v>
      </c>
      <c r="T86" s="3">
        <v>42</v>
      </c>
      <c r="U86" s="3">
        <v>75.599999999999994</v>
      </c>
      <c r="V86" s="70" t="s">
        <v>591</v>
      </c>
      <c r="W86" s="3" t="s">
        <v>343</v>
      </c>
      <c r="X86" s="3" t="s">
        <v>337</v>
      </c>
      <c r="Y86" s="3" t="s">
        <v>337</v>
      </c>
    </row>
    <row r="87" spans="1:25" hidden="1" x14ac:dyDescent="0.2">
      <c r="A87" s="83" t="str">
        <f t="shared" si="1"/>
        <v>方城锦城国际大垃圾袋</v>
      </c>
      <c r="B87" s="3" t="s">
        <v>712</v>
      </c>
      <c r="C87" s="84">
        <v>44377</v>
      </c>
      <c r="D87" s="3" t="s">
        <v>352</v>
      </c>
      <c r="E87" s="3" t="s">
        <v>337</v>
      </c>
      <c r="F87" s="3" t="s">
        <v>337</v>
      </c>
      <c r="G87" s="70" t="s">
        <v>353</v>
      </c>
      <c r="H87" s="3" t="s">
        <v>339</v>
      </c>
      <c r="I87" s="3" t="s">
        <v>354</v>
      </c>
      <c r="J87" s="3">
        <v>10</v>
      </c>
      <c r="K87" s="3">
        <v>20</v>
      </c>
      <c r="L87" s="3">
        <v>0</v>
      </c>
      <c r="M87" s="3">
        <v>60</v>
      </c>
      <c r="N87" s="3">
        <v>30</v>
      </c>
      <c r="O87" s="70">
        <v>30</v>
      </c>
      <c r="P87" s="3">
        <v>0</v>
      </c>
      <c r="Q87" s="3">
        <v>0</v>
      </c>
      <c r="R87" s="3">
        <v>2.1</v>
      </c>
      <c r="S87" s="3">
        <v>63</v>
      </c>
      <c r="T87" s="3">
        <v>126</v>
      </c>
      <c r="U87" s="3">
        <v>63</v>
      </c>
      <c r="V87" s="70" t="s">
        <v>594</v>
      </c>
      <c r="W87" s="3" t="s">
        <v>343</v>
      </c>
      <c r="X87" s="3" t="s">
        <v>337</v>
      </c>
      <c r="Y87" s="3" t="s">
        <v>337</v>
      </c>
    </row>
    <row r="88" spans="1:25" hidden="1" x14ac:dyDescent="0.2">
      <c r="A88" s="83" t="str">
        <f t="shared" si="1"/>
        <v>清丰凤鸣大垃圾袋</v>
      </c>
      <c r="B88" s="3" t="s">
        <v>713</v>
      </c>
      <c r="C88" s="84">
        <v>44377</v>
      </c>
      <c r="D88" s="3" t="s">
        <v>352</v>
      </c>
      <c r="E88" s="3" t="s">
        <v>337</v>
      </c>
      <c r="F88" s="3" t="s">
        <v>337</v>
      </c>
      <c r="G88" s="70" t="s">
        <v>353</v>
      </c>
      <c r="H88" s="3" t="s">
        <v>339</v>
      </c>
      <c r="I88" s="3" t="s">
        <v>354</v>
      </c>
      <c r="J88" s="3">
        <v>12</v>
      </c>
      <c r="K88" s="3">
        <v>20</v>
      </c>
      <c r="L88" s="3">
        <v>0</v>
      </c>
      <c r="M88" s="3">
        <v>16</v>
      </c>
      <c r="N88" s="3">
        <v>32</v>
      </c>
      <c r="O88" s="70">
        <v>-16</v>
      </c>
      <c r="P88" s="3">
        <v>0</v>
      </c>
      <c r="Q88" s="3">
        <v>0</v>
      </c>
      <c r="R88" s="3">
        <v>2.1</v>
      </c>
      <c r="S88" s="3">
        <v>-33.6</v>
      </c>
      <c r="T88" s="3">
        <v>33.6</v>
      </c>
      <c r="U88" s="3">
        <v>67.2</v>
      </c>
      <c r="V88" s="70" t="s">
        <v>334</v>
      </c>
      <c r="W88" s="3" t="s">
        <v>343</v>
      </c>
      <c r="X88" s="3" t="s">
        <v>337</v>
      </c>
      <c r="Y88" s="3" t="s">
        <v>337</v>
      </c>
    </row>
    <row r="89" spans="1:25" hidden="1" x14ac:dyDescent="0.2">
      <c r="A89" s="83" t="str">
        <f t="shared" si="1"/>
        <v>郑州裕华大垃圾袋</v>
      </c>
      <c r="B89" s="3" t="s">
        <v>711</v>
      </c>
      <c r="C89" s="84">
        <v>44377</v>
      </c>
      <c r="D89" s="3" t="s">
        <v>352</v>
      </c>
      <c r="E89" s="3" t="s">
        <v>337</v>
      </c>
      <c r="F89" s="3" t="s">
        <v>337</v>
      </c>
      <c r="G89" s="70" t="s">
        <v>353</v>
      </c>
      <c r="H89" s="3" t="s">
        <v>339</v>
      </c>
      <c r="I89" s="3" t="s">
        <v>354</v>
      </c>
      <c r="J89" s="3">
        <v>2</v>
      </c>
      <c r="K89" s="3">
        <v>0</v>
      </c>
      <c r="L89" s="3">
        <v>0</v>
      </c>
      <c r="M89" s="3">
        <v>2</v>
      </c>
      <c r="N89" s="3">
        <v>2</v>
      </c>
      <c r="O89" s="70">
        <v>0</v>
      </c>
      <c r="P89" s="3">
        <v>0</v>
      </c>
      <c r="Q89" s="3">
        <v>0</v>
      </c>
      <c r="R89" s="3">
        <v>2.1</v>
      </c>
      <c r="S89" s="3">
        <v>0</v>
      </c>
      <c r="T89" s="3">
        <v>4.2</v>
      </c>
      <c r="U89" s="3">
        <v>4.2</v>
      </c>
      <c r="V89" s="70" t="s">
        <v>641</v>
      </c>
      <c r="W89" s="3" t="s">
        <v>343</v>
      </c>
      <c r="X89" s="3" t="s">
        <v>337</v>
      </c>
      <c r="Y89" s="3" t="s">
        <v>337</v>
      </c>
    </row>
    <row r="90" spans="1:25" hidden="1" x14ac:dyDescent="0.2">
      <c r="A90" s="83" t="str">
        <f t="shared" si="1"/>
        <v>滑县滑台大垃圾袋</v>
      </c>
      <c r="B90" s="3" t="s">
        <v>710</v>
      </c>
      <c r="C90" s="84">
        <v>44377</v>
      </c>
      <c r="D90" s="3" t="s">
        <v>352</v>
      </c>
      <c r="E90" s="3" t="s">
        <v>337</v>
      </c>
      <c r="F90" s="3" t="s">
        <v>337</v>
      </c>
      <c r="G90" s="70" t="s">
        <v>353</v>
      </c>
      <c r="H90" s="3" t="s">
        <v>339</v>
      </c>
      <c r="I90" s="3" t="s">
        <v>354</v>
      </c>
      <c r="J90" s="3">
        <v>10</v>
      </c>
      <c r="K90" s="3">
        <v>20</v>
      </c>
      <c r="L90" s="3">
        <v>0</v>
      </c>
      <c r="M90" s="3">
        <v>10</v>
      </c>
      <c r="N90" s="3">
        <v>30</v>
      </c>
      <c r="O90" s="70">
        <v>-20</v>
      </c>
      <c r="P90" s="3">
        <v>0</v>
      </c>
      <c r="Q90" s="3">
        <v>0</v>
      </c>
      <c r="R90" s="3">
        <v>2.1</v>
      </c>
      <c r="S90" s="3">
        <v>-42</v>
      </c>
      <c r="T90" s="3">
        <v>21</v>
      </c>
      <c r="U90" s="3">
        <v>63</v>
      </c>
      <c r="V90" s="70" t="s">
        <v>639</v>
      </c>
      <c r="W90" s="3" t="s">
        <v>343</v>
      </c>
      <c r="X90" s="3" t="s">
        <v>337</v>
      </c>
      <c r="Y90" s="3" t="s">
        <v>337</v>
      </c>
    </row>
    <row r="91" spans="1:25" hidden="1" x14ac:dyDescent="0.2">
      <c r="A91" s="83" t="str">
        <f t="shared" si="1"/>
        <v>郑州盛华里大垃圾袋</v>
      </c>
      <c r="B91" s="3" t="s">
        <v>709</v>
      </c>
      <c r="C91" s="84">
        <v>44377</v>
      </c>
      <c r="D91" s="3" t="s">
        <v>352</v>
      </c>
      <c r="E91" s="3" t="s">
        <v>337</v>
      </c>
      <c r="F91" s="3" t="s">
        <v>337</v>
      </c>
      <c r="G91" s="70" t="s">
        <v>353</v>
      </c>
      <c r="H91" s="3" t="s">
        <v>339</v>
      </c>
      <c r="I91" s="3" t="s">
        <v>354</v>
      </c>
      <c r="J91" s="3">
        <v>0</v>
      </c>
      <c r="K91" s="3">
        <v>20</v>
      </c>
      <c r="L91" s="3">
        <v>0</v>
      </c>
      <c r="M91" s="3">
        <v>15</v>
      </c>
      <c r="N91" s="3">
        <v>20</v>
      </c>
      <c r="O91" s="70">
        <v>-5</v>
      </c>
      <c r="P91" s="3">
        <v>0</v>
      </c>
      <c r="Q91" s="3">
        <v>0</v>
      </c>
      <c r="R91" s="3">
        <v>2.1</v>
      </c>
      <c r="S91" s="3">
        <v>-10.5</v>
      </c>
      <c r="T91" s="3">
        <v>31.5</v>
      </c>
      <c r="U91" s="3">
        <v>42</v>
      </c>
      <c r="V91" s="70" t="s">
        <v>637</v>
      </c>
      <c r="W91" s="3" t="s">
        <v>343</v>
      </c>
      <c r="X91" s="3" t="s">
        <v>337</v>
      </c>
      <c r="Y91" s="3" t="s">
        <v>337</v>
      </c>
    </row>
    <row r="92" spans="1:25" hidden="1" x14ac:dyDescent="0.2">
      <c r="A92" s="83" t="str">
        <f t="shared" si="1"/>
        <v>郑州铁英街大垃圾袋</v>
      </c>
      <c r="B92" s="3" t="s">
        <v>707</v>
      </c>
      <c r="C92" s="84">
        <v>44377</v>
      </c>
      <c r="D92" s="3" t="s">
        <v>352</v>
      </c>
      <c r="E92" s="3" t="s">
        <v>337</v>
      </c>
      <c r="F92" s="3" t="s">
        <v>337</v>
      </c>
      <c r="G92" s="70" t="s">
        <v>353</v>
      </c>
      <c r="H92" s="3" t="s">
        <v>339</v>
      </c>
      <c r="I92" s="3" t="s">
        <v>354</v>
      </c>
      <c r="J92" s="3">
        <v>10</v>
      </c>
      <c r="K92" s="3">
        <v>0</v>
      </c>
      <c r="L92" s="3">
        <v>0</v>
      </c>
      <c r="M92" s="3">
        <v>8</v>
      </c>
      <c r="N92" s="3">
        <v>10</v>
      </c>
      <c r="O92" s="70">
        <v>-2</v>
      </c>
      <c r="P92" s="3">
        <v>0</v>
      </c>
      <c r="Q92" s="3">
        <v>0</v>
      </c>
      <c r="R92" s="3">
        <v>2.1</v>
      </c>
      <c r="S92" s="3">
        <v>-4.2</v>
      </c>
      <c r="T92" s="3">
        <v>16.8</v>
      </c>
      <c r="U92" s="3">
        <v>21</v>
      </c>
      <c r="V92" s="70" t="s">
        <v>592</v>
      </c>
      <c r="W92" s="3" t="s">
        <v>343</v>
      </c>
      <c r="X92" s="3" t="s">
        <v>337</v>
      </c>
      <c r="Y92" s="3" t="s">
        <v>337</v>
      </c>
    </row>
    <row r="93" spans="1:25" hidden="1" x14ac:dyDescent="0.2">
      <c r="A93" s="83" t="str">
        <f t="shared" si="1"/>
        <v>郑州西悦城大垃圾袋</v>
      </c>
      <c r="B93" s="3" t="s">
        <v>708</v>
      </c>
      <c r="C93" s="84">
        <v>44377</v>
      </c>
      <c r="D93" s="3" t="s">
        <v>352</v>
      </c>
      <c r="E93" s="3" t="s">
        <v>337</v>
      </c>
      <c r="F93" s="3" t="s">
        <v>337</v>
      </c>
      <c r="G93" s="70" t="s">
        <v>353</v>
      </c>
      <c r="H93" s="3" t="s">
        <v>339</v>
      </c>
      <c r="I93" s="3" t="s">
        <v>354</v>
      </c>
      <c r="J93" s="3">
        <v>10</v>
      </c>
      <c r="K93" s="3">
        <v>20</v>
      </c>
      <c r="L93" s="3">
        <v>0</v>
      </c>
      <c r="M93" s="3">
        <v>20</v>
      </c>
      <c r="N93" s="3">
        <v>30</v>
      </c>
      <c r="O93" s="70">
        <v>-10</v>
      </c>
      <c r="P93" s="3">
        <v>0</v>
      </c>
      <c r="Q93" s="3">
        <v>0</v>
      </c>
      <c r="R93" s="3">
        <v>2.1</v>
      </c>
      <c r="S93" s="3">
        <v>-21</v>
      </c>
      <c r="T93" s="3">
        <v>42</v>
      </c>
      <c r="U93" s="3">
        <v>63</v>
      </c>
      <c r="V93" s="70" t="s">
        <v>332</v>
      </c>
      <c r="W93" s="3" t="s">
        <v>343</v>
      </c>
      <c r="X93" s="3" t="s">
        <v>337</v>
      </c>
      <c r="Y93" s="3" t="s">
        <v>337</v>
      </c>
    </row>
    <row r="94" spans="1:25" hidden="1" x14ac:dyDescent="0.2">
      <c r="A94" s="83" t="str">
        <f t="shared" si="1"/>
        <v>华山龙源大垃圾袋</v>
      </c>
      <c r="B94" s="3" t="s">
        <v>705</v>
      </c>
      <c r="C94" s="84">
        <v>44377</v>
      </c>
      <c r="D94" s="3" t="s">
        <v>352</v>
      </c>
      <c r="E94" s="3" t="s">
        <v>337</v>
      </c>
      <c r="F94" s="3" t="s">
        <v>337</v>
      </c>
      <c r="G94" s="70" t="s">
        <v>353</v>
      </c>
      <c r="H94" s="3" t="s">
        <v>339</v>
      </c>
      <c r="I94" s="3" t="s">
        <v>354</v>
      </c>
      <c r="J94" s="3">
        <v>0</v>
      </c>
      <c r="K94" s="3">
        <v>10</v>
      </c>
      <c r="L94" s="3">
        <v>0</v>
      </c>
      <c r="M94" s="3">
        <v>0</v>
      </c>
      <c r="N94" s="3">
        <v>10</v>
      </c>
      <c r="O94" s="70">
        <v>-10</v>
      </c>
      <c r="P94" s="3">
        <v>0</v>
      </c>
      <c r="Q94" s="3">
        <v>0</v>
      </c>
      <c r="R94" s="3">
        <v>2.1</v>
      </c>
      <c r="S94" s="3">
        <v>-21</v>
      </c>
      <c r="T94" s="3">
        <v>0</v>
      </c>
      <c r="U94" s="3">
        <v>21</v>
      </c>
      <c r="V94" s="70" t="s">
        <v>643</v>
      </c>
      <c r="W94" s="3" t="s">
        <v>343</v>
      </c>
      <c r="X94" s="3" t="s">
        <v>337</v>
      </c>
      <c r="Y94" s="3" t="s">
        <v>337</v>
      </c>
    </row>
    <row r="95" spans="1:25" hidden="1" x14ac:dyDescent="0.2">
      <c r="A95" s="83" t="str">
        <f t="shared" si="1"/>
        <v>郑州瀚海海尚大垃圾袋</v>
      </c>
      <c r="B95" s="3" t="s">
        <v>706</v>
      </c>
      <c r="C95" s="84">
        <v>44377</v>
      </c>
      <c r="D95" s="3" t="s">
        <v>352</v>
      </c>
      <c r="E95" s="3" t="s">
        <v>337</v>
      </c>
      <c r="F95" s="3" t="s">
        <v>337</v>
      </c>
      <c r="G95" s="70" t="s">
        <v>353</v>
      </c>
      <c r="H95" s="3" t="s">
        <v>339</v>
      </c>
      <c r="I95" s="3" t="s">
        <v>354</v>
      </c>
      <c r="J95" s="3">
        <v>0</v>
      </c>
      <c r="K95" s="3">
        <v>10</v>
      </c>
      <c r="L95" s="3">
        <v>0</v>
      </c>
      <c r="M95" s="3">
        <v>0</v>
      </c>
      <c r="N95" s="3">
        <v>10</v>
      </c>
      <c r="O95" s="70">
        <v>-10</v>
      </c>
      <c r="P95" s="3">
        <v>0</v>
      </c>
      <c r="Q95" s="3">
        <v>0</v>
      </c>
      <c r="R95" s="3">
        <v>2.1</v>
      </c>
      <c r="S95" s="3">
        <v>-21</v>
      </c>
      <c r="T95" s="3">
        <v>0</v>
      </c>
      <c r="U95" s="3">
        <v>21</v>
      </c>
      <c r="V95" s="70" t="s">
        <v>333</v>
      </c>
      <c r="W95" s="3" t="s">
        <v>343</v>
      </c>
      <c r="X95" s="3" t="s">
        <v>337</v>
      </c>
      <c r="Y95" s="3" t="s">
        <v>337</v>
      </c>
    </row>
    <row r="96" spans="1:25" hidden="1" x14ac:dyDescent="0.2">
      <c r="A96" s="83" t="str">
        <f t="shared" si="1"/>
        <v>郑州康复中街大垃圾袋</v>
      </c>
      <c r="B96" s="3" t="s">
        <v>704</v>
      </c>
      <c r="C96" s="84">
        <v>44377</v>
      </c>
      <c r="D96" s="3" t="s">
        <v>352</v>
      </c>
      <c r="E96" s="3" t="s">
        <v>337</v>
      </c>
      <c r="F96" s="3" t="s">
        <v>337</v>
      </c>
      <c r="G96" s="70" t="s">
        <v>353</v>
      </c>
      <c r="H96" s="3" t="s">
        <v>339</v>
      </c>
      <c r="I96" s="3" t="s">
        <v>354</v>
      </c>
      <c r="J96" s="3">
        <v>12</v>
      </c>
      <c r="K96" s="3">
        <v>0</v>
      </c>
      <c r="L96" s="3">
        <v>0</v>
      </c>
      <c r="M96" s="3">
        <v>6</v>
      </c>
      <c r="N96" s="3">
        <v>12</v>
      </c>
      <c r="O96" s="70">
        <v>-6</v>
      </c>
      <c r="P96" s="3">
        <v>0</v>
      </c>
      <c r="Q96" s="3">
        <v>0</v>
      </c>
      <c r="R96" s="3">
        <v>2.1</v>
      </c>
      <c r="S96" s="3">
        <v>-12.6</v>
      </c>
      <c r="T96" s="3">
        <v>12.6</v>
      </c>
      <c r="U96" s="3">
        <v>25.2</v>
      </c>
      <c r="V96" s="70" t="s">
        <v>593</v>
      </c>
      <c r="W96" s="3" t="s">
        <v>343</v>
      </c>
      <c r="X96" s="3" t="s">
        <v>337</v>
      </c>
      <c r="Y96" s="3" t="s">
        <v>337</v>
      </c>
    </row>
    <row r="97" spans="1:25" hidden="1" x14ac:dyDescent="0.2">
      <c r="A97" s="83" t="str">
        <f t="shared" si="1"/>
        <v>新蔡水韵天街大垃圾袋</v>
      </c>
      <c r="B97" s="3" t="s">
        <v>703</v>
      </c>
      <c r="C97" s="84">
        <v>44377</v>
      </c>
      <c r="D97" s="3" t="s">
        <v>352</v>
      </c>
      <c r="E97" s="3" t="s">
        <v>337</v>
      </c>
      <c r="F97" s="3" t="s">
        <v>337</v>
      </c>
      <c r="G97" s="70" t="s">
        <v>353</v>
      </c>
      <c r="H97" s="3" t="s">
        <v>339</v>
      </c>
      <c r="I97" s="3" t="s">
        <v>354</v>
      </c>
      <c r="J97" s="3">
        <v>10</v>
      </c>
      <c r="K97" s="3">
        <v>20</v>
      </c>
      <c r="L97" s="3">
        <v>0</v>
      </c>
      <c r="M97" s="3">
        <v>10</v>
      </c>
      <c r="N97" s="3">
        <v>30</v>
      </c>
      <c r="O97" s="70">
        <v>-20</v>
      </c>
      <c r="P97" s="3">
        <v>0</v>
      </c>
      <c r="Q97" s="3">
        <v>0</v>
      </c>
      <c r="R97" s="3">
        <v>2.1</v>
      </c>
      <c r="S97" s="3">
        <v>-42</v>
      </c>
      <c r="T97" s="3">
        <v>21</v>
      </c>
      <c r="U97" s="3">
        <v>63</v>
      </c>
      <c r="V97" s="70" t="s">
        <v>335</v>
      </c>
      <c r="W97" s="3" t="s">
        <v>343</v>
      </c>
      <c r="X97" s="3" t="s">
        <v>337</v>
      </c>
      <c r="Y97" s="3" t="s">
        <v>337</v>
      </c>
    </row>
    <row r="98" spans="1:25" hidden="1" x14ac:dyDescent="0.2">
      <c r="A98" s="83" t="str">
        <f t="shared" si="1"/>
        <v>新蔡水韵天街BBQ烤腌制粉</v>
      </c>
      <c r="B98" s="3" t="s">
        <v>703</v>
      </c>
      <c r="C98" s="84">
        <v>44377</v>
      </c>
      <c r="D98" s="3" t="s">
        <v>355</v>
      </c>
      <c r="E98" s="3" t="s">
        <v>337</v>
      </c>
      <c r="F98" s="3" t="s">
        <v>337</v>
      </c>
      <c r="G98" s="70" t="s">
        <v>174</v>
      </c>
      <c r="H98" s="3" t="s">
        <v>348</v>
      </c>
      <c r="I98" s="3" t="s">
        <v>89</v>
      </c>
      <c r="J98" s="3">
        <v>0</v>
      </c>
      <c r="K98" s="3">
        <v>0</v>
      </c>
      <c r="L98" s="3">
        <v>300</v>
      </c>
      <c r="M98" s="3">
        <v>0</v>
      </c>
      <c r="N98" s="3">
        <v>-300</v>
      </c>
      <c r="O98" s="70">
        <v>300</v>
      </c>
      <c r="P98" s="3">
        <v>0</v>
      </c>
      <c r="Q98" s="3">
        <v>0</v>
      </c>
      <c r="R98" s="3">
        <v>1.7389999999999999E-2</v>
      </c>
      <c r="S98" s="3">
        <v>5.22</v>
      </c>
      <c r="T98" s="3">
        <v>0</v>
      </c>
      <c r="U98" s="3">
        <v>-5.22</v>
      </c>
      <c r="V98" s="70" t="s">
        <v>335</v>
      </c>
      <c r="W98" s="3" t="s">
        <v>343</v>
      </c>
      <c r="X98" s="3" t="s">
        <v>337</v>
      </c>
      <c r="Y98" s="3" t="s">
        <v>337</v>
      </c>
    </row>
    <row r="99" spans="1:25" hidden="1" x14ac:dyDescent="0.2">
      <c r="A99" s="83" t="str">
        <f t="shared" si="1"/>
        <v>郑州康复中街BBQ烤腌制粉</v>
      </c>
      <c r="B99" s="3" t="s">
        <v>704</v>
      </c>
      <c r="C99" s="84">
        <v>44377</v>
      </c>
      <c r="D99" s="3" t="s">
        <v>355</v>
      </c>
      <c r="E99" s="3" t="s">
        <v>337</v>
      </c>
      <c r="F99" s="3" t="s">
        <v>337</v>
      </c>
      <c r="G99" s="70" t="s">
        <v>174</v>
      </c>
      <c r="H99" s="3" t="s">
        <v>348</v>
      </c>
      <c r="I99" s="3" t="s">
        <v>89</v>
      </c>
      <c r="J99" s="3">
        <v>957</v>
      </c>
      <c r="K99" s="3">
        <v>1000</v>
      </c>
      <c r="L99" s="3">
        <v>1966.8</v>
      </c>
      <c r="M99" s="3">
        <v>0</v>
      </c>
      <c r="N99" s="3">
        <v>-9.8000000000000007</v>
      </c>
      <c r="O99" s="70">
        <v>9.8000000000000007</v>
      </c>
      <c r="P99" s="3">
        <v>0</v>
      </c>
      <c r="Q99" s="3">
        <v>0</v>
      </c>
      <c r="R99" s="3">
        <v>1.7384E-2</v>
      </c>
      <c r="S99" s="3">
        <v>0.17</v>
      </c>
      <c r="T99" s="3">
        <v>0</v>
      </c>
      <c r="U99" s="3">
        <v>-0.17</v>
      </c>
      <c r="V99" s="70" t="s">
        <v>593</v>
      </c>
      <c r="W99" s="3" t="s">
        <v>343</v>
      </c>
      <c r="X99" s="3" t="s">
        <v>337</v>
      </c>
      <c r="Y99" s="3" t="s">
        <v>337</v>
      </c>
    </row>
    <row r="100" spans="1:25" hidden="1" x14ac:dyDescent="0.2">
      <c r="A100" s="83" t="str">
        <f t="shared" si="1"/>
        <v>郑州瀚海海尚BBQ烤腌制粉</v>
      </c>
      <c r="B100" s="3" t="s">
        <v>706</v>
      </c>
      <c r="C100" s="84">
        <v>44377</v>
      </c>
      <c r="D100" s="3" t="s">
        <v>355</v>
      </c>
      <c r="E100" s="3" t="s">
        <v>337</v>
      </c>
      <c r="F100" s="3" t="s">
        <v>337</v>
      </c>
      <c r="G100" s="70" t="s">
        <v>174</v>
      </c>
      <c r="H100" s="3" t="s">
        <v>348</v>
      </c>
      <c r="I100" s="3" t="s">
        <v>89</v>
      </c>
      <c r="J100" s="3">
        <v>0</v>
      </c>
      <c r="K100" s="3">
        <v>0</v>
      </c>
      <c r="L100" s="3">
        <v>702</v>
      </c>
      <c r="M100" s="3">
        <v>0</v>
      </c>
      <c r="N100" s="3">
        <v>-702</v>
      </c>
      <c r="O100" s="70">
        <v>702</v>
      </c>
      <c r="P100" s="3">
        <v>0</v>
      </c>
      <c r="Q100" s="3">
        <v>0</v>
      </c>
      <c r="R100" s="3">
        <v>1.7389999999999999E-2</v>
      </c>
      <c r="S100" s="3">
        <v>12.21</v>
      </c>
      <c r="T100" s="3">
        <v>0</v>
      </c>
      <c r="U100" s="3">
        <v>-12.21</v>
      </c>
      <c r="V100" s="70" t="s">
        <v>333</v>
      </c>
      <c r="W100" s="3" t="s">
        <v>343</v>
      </c>
      <c r="X100" s="3" t="s">
        <v>337</v>
      </c>
      <c r="Y100" s="3" t="s">
        <v>337</v>
      </c>
    </row>
    <row r="101" spans="1:25" hidden="1" x14ac:dyDescent="0.2">
      <c r="A101" s="83" t="str">
        <f t="shared" si="1"/>
        <v>华山龙源BBQ烤腌制粉</v>
      </c>
      <c r="B101" s="3" t="s">
        <v>705</v>
      </c>
      <c r="C101" s="84">
        <v>44377</v>
      </c>
      <c r="D101" s="3" t="s">
        <v>355</v>
      </c>
      <c r="E101" s="3" t="s">
        <v>337</v>
      </c>
      <c r="F101" s="3" t="s">
        <v>337</v>
      </c>
      <c r="G101" s="70" t="s">
        <v>174</v>
      </c>
      <c r="H101" s="3" t="s">
        <v>348</v>
      </c>
      <c r="I101" s="3" t="s">
        <v>89</v>
      </c>
      <c r="J101" s="3">
        <v>0</v>
      </c>
      <c r="K101" s="3">
        <v>0</v>
      </c>
      <c r="L101" s="3">
        <v>318</v>
      </c>
      <c r="M101" s="3">
        <v>0</v>
      </c>
      <c r="N101" s="3">
        <v>-318</v>
      </c>
      <c r="O101" s="70">
        <v>318</v>
      </c>
      <c r="P101" s="3">
        <v>0</v>
      </c>
      <c r="Q101" s="3">
        <v>0</v>
      </c>
      <c r="R101" s="3">
        <v>1.7389999999999999E-2</v>
      </c>
      <c r="S101" s="3">
        <v>5.53</v>
      </c>
      <c r="T101" s="3">
        <v>0</v>
      </c>
      <c r="U101" s="3">
        <v>-5.53</v>
      </c>
      <c r="V101" s="70" t="s">
        <v>643</v>
      </c>
      <c r="W101" s="3" t="s">
        <v>343</v>
      </c>
      <c r="X101" s="3" t="s">
        <v>337</v>
      </c>
      <c r="Y101" s="3" t="s">
        <v>337</v>
      </c>
    </row>
    <row r="102" spans="1:25" hidden="1" x14ac:dyDescent="0.2">
      <c r="A102" s="83" t="str">
        <f t="shared" si="1"/>
        <v>郑州西悦城BBQ烤腌制粉</v>
      </c>
      <c r="B102" s="3" t="s">
        <v>708</v>
      </c>
      <c r="C102" s="84">
        <v>44377</v>
      </c>
      <c r="D102" s="3" t="s">
        <v>355</v>
      </c>
      <c r="E102" s="3" t="s">
        <v>337</v>
      </c>
      <c r="F102" s="3" t="s">
        <v>337</v>
      </c>
      <c r="G102" s="70" t="s">
        <v>174</v>
      </c>
      <c r="H102" s="3" t="s">
        <v>348</v>
      </c>
      <c r="I102" s="3" t="s">
        <v>89</v>
      </c>
      <c r="J102" s="3">
        <v>0</v>
      </c>
      <c r="K102" s="3">
        <v>0</v>
      </c>
      <c r="L102" s="3">
        <v>1347.6</v>
      </c>
      <c r="M102" s="3">
        <v>0</v>
      </c>
      <c r="N102" s="3">
        <v>-1347.6</v>
      </c>
      <c r="O102" s="70">
        <v>1347.6</v>
      </c>
      <c r="P102" s="3">
        <v>0</v>
      </c>
      <c r="Q102" s="3">
        <v>0</v>
      </c>
      <c r="R102" s="3">
        <v>1.7389999999999999E-2</v>
      </c>
      <c r="S102" s="3">
        <v>23.43</v>
      </c>
      <c r="T102" s="3">
        <v>0</v>
      </c>
      <c r="U102" s="3">
        <v>-23.43</v>
      </c>
      <c r="V102" s="70" t="s">
        <v>332</v>
      </c>
      <c r="W102" s="3" t="s">
        <v>343</v>
      </c>
      <c r="X102" s="3" t="s">
        <v>337</v>
      </c>
      <c r="Y102" s="3" t="s">
        <v>337</v>
      </c>
    </row>
    <row r="103" spans="1:25" hidden="1" x14ac:dyDescent="0.2">
      <c r="A103" s="83" t="str">
        <f t="shared" si="1"/>
        <v>郑州铁英街BBQ烤腌制粉</v>
      </c>
      <c r="B103" s="3" t="s">
        <v>707</v>
      </c>
      <c r="C103" s="84">
        <v>44377</v>
      </c>
      <c r="D103" s="3" t="s">
        <v>355</v>
      </c>
      <c r="E103" s="3" t="s">
        <v>337</v>
      </c>
      <c r="F103" s="3" t="s">
        <v>337</v>
      </c>
      <c r="G103" s="70" t="s">
        <v>174</v>
      </c>
      <c r="H103" s="3" t="s">
        <v>348</v>
      </c>
      <c r="I103" s="3" t="s">
        <v>89</v>
      </c>
      <c r="J103" s="3">
        <v>1000</v>
      </c>
      <c r="K103" s="3">
        <v>0</v>
      </c>
      <c r="L103" s="3">
        <v>1070.4000000000001</v>
      </c>
      <c r="M103" s="3">
        <v>0</v>
      </c>
      <c r="N103" s="3">
        <v>-70.400000000000006</v>
      </c>
      <c r="O103" s="70">
        <v>70.400000000000006</v>
      </c>
      <c r="P103" s="3">
        <v>0</v>
      </c>
      <c r="Q103" s="3">
        <v>0</v>
      </c>
      <c r="R103" s="3">
        <v>1.7409999999999998E-2</v>
      </c>
      <c r="S103" s="3">
        <v>1.23</v>
      </c>
      <c r="T103" s="3">
        <v>0</v>
      </c>
      <c r="U103" s="3">
        <v>-1.23</v>
      </c>
      <c r="V103" s="70" t="s">
        <v>592</v>
      </c>
      <c r="W103" s="3" t="s">
        <v>343</v>
      </c>
      <c r="X103" s="3" t="s">
        <v>337</v>
      </c>
      <c r="Y103" s="3" t="s">
        <v>337</v>
      </c>
    </row>
    <row r="104" spans="1:25" hidden="1" x14ac:dyDescent="0.2">
      <c r="A104" s="83" t="str">
        <f t="shared" si="1"/>
        <v>郑州盛华里BBQ烤腌制粉</v>
      </c>
      <c r="B104" s="3" t="s">
        <v>709</v>
      </c>
      <c r="C104" s="84">
        <v>44377</v>
      </c>
      <c r="D104" s="3" t="s">
        <v>355</v>
      </c>
      <c r="E104" s="3" t="s">
        <v>337</v>
      </c>
      <c r="F104" s="3" t="s">
        <v>337</v>
      </c>
      <c r="G104" s="70" t="s">
        <v>174</v>
      </c>
      <c r="H104" s="3" t="s">
        <v>348</v>
      </c>
      <c r="I104" s="3" t="s">
        <v>89</v>
      </c>
      <c r="J104" s="3">
        <v>0</v>
      </c>
      <c r="K104" s="3">
        <v>0</v>
      </c>
      <c r="L104" s="3">
        <v>478.8</v>
      </c>
      <c r="M104" s="3">
        <v>0</v>
      </c>
      <c r="N104" s="3">
        <v>-478.8</v>
      </c>
      <c r="O104" s="70">
        <v>478.8</v>
      </c>
      <c r="P104" s="3">
        <v>0</v>
      </c>
      <c r="Q104" s="3">
        <v>0</v>
      </c>
      <c r="R104" s="3">
        <v>1.7389999999999999E-2</v>
      </c>
      <c r="S104" s="3">
        <v>8.33</v>
      </c>
      <c r="T104" s="3">
        <v>0</v>
      </c>
      <c r="U104" s="3">
        <v>-8.33</v>
      </c>
      <c r="V104" s="70" t="s">
        <v>637</v>
      </c>
      <c r="W104" s="3" t="s">
        <v>343</v>
      </c>
      <c r="X104" s="3" t="s">
        <v>337</v>
      </c>
      <c r="Y104" s="3" t="s">
        <v>337</v>
      </c>
    </row>
    <row r="105" spans="1:25" hidden="1" x14ac:dyDescent="0.2">
      <c r="A105" s="83" t="str">
        <f t="shared" si="1"/>
        <v>滑县滑台BBQ烤腌制粉</v>
      </c>
      <c r="B105" s="3" t="s">
        <v>710</v>
      </c>
      <c r="C105" s="84">
        <v>44377</v>
      </c>
      <c r="D105" s="3" t="s">
        <v>355</v>
      </c>
      <c r="E105" s="3" t="s">
        <v>337</v>
      </c>
      <c r="F105" s="3" t="s">
        <v>337</v>
      </c>
      <c r="G105" s="70" t="s">
        <v>174</v>
      </c>
      <c r="H105" s="3" t="s">
        <v>348</v>
      </c>
      <c r="I105" s="3" t="s">
        <v>89</v>
      </c>
      <c r="J105" s="3">
        <v>0</v>
      </c>
      <c r="K105" s="3">
        <v>0</v>
      </c>
      <c r="L105" s="3">
        <v>366</v>
      </c>
      <c r="M105" s="3">
        <v>0</v>
      </c>
      <c r="N105" s="3">
        <v>-366</v>
      </c>
      <c r="O105" s="70">
        <v>366</v>
      </c>
      <c r="P105" s="3">
        <v>0</v>
      </c>
      <c r="Q105" s="3">
        <v>0</v>
      </c>
      <c r="R105" s="3">
        <v>1.7389999999999999E-2</v>
      </c>
      <c r="S105" s="3">
        <v>6.36</v>
      </c>
      <c r="T105" s="3">
        <v>0</v>
      </c>
      <c r="U105" s="3">
        <v>-6.36</v>
      </c>
      <c r="V105" s="70" t="s">
        <v>639</v>
      </c>
      <c r="W105" s="3" t="s">
        <v>343</v>
      </c>
      <c r="X105" s="3" t="s">
        <v>337</v>
      </c>
      <c r="Y105" s="3" t="s">
        <v>337</v>
      </c>
    </row>
    <row r="106" spans="1:25" hidden="1" x14ac:dyDescent="0.2">
      <c r="A106" s="83" t="str">
        <f t="shared" si="1"/>
        <v>郑州裕华BBQ烤腌制粉</v>
      </c>
      <c r="B106" s="3" t="s">
        <v>711</v>
      </c>
      <c r="C106" s="84">
        <v>44377</v>
      </c>
      <c r="D106" s="3" t="s">
        <v>355</v>
      </c>
      <c r="E106" s="3" t="s">
        <v>337</v>
      </c>
      <c r="F106" s="3" t="s">
        <v>337</v>
      </c>
      <c r="G106" s="70" t="s">
        <v>174</v>
      </c>
      <c r="H106" s="3" t="s">
        <v>348</v>
      </c>
      <c r="I106" s="3" t="s">
        <v>89</v>
      </c>
      <c r="J106" s="3">
        <v>1000</v>
      </c>
      <c r="K106" s="3">
        <v>0</v>
      </c>
      <c r="L106" s="3">
        <v>868.8</v>
      </c>
      <c r="M106" s="3">
        <v>100</v>
      </c>
      <c r="N106" s="3">
        <v>131.19999999999999</v>
      </c>
      <c r="O106" s="70">
        <v>-31.2</v>
      </c>
      <c r="P106" s="3">
        <v>0</v>
      </c>
      <c r="Q106" s="3">
        <v>0</v>
      </c>
      <c r="R106" s="3">
        <v>1.7500000000000002E-2</v>
      </c>
      <c r="S106" s="3">
        <v>-0.55000000000000004</v>
      </c>
      <c r="T106" s="3">
        <v>1.75</v>
      </c>
      <c r="U106" s="3">
        <v>2.2999999999999998</v>
      </c>
      <c r="V106" s="70" t="s">
        <v>641</v>
      </c>
      <c r="W106" s="3" t="s">
        <v>343</v>
      </c>
      <c r="X106" s="3" t="s">
        <v>337</v>
      </c>
      <c r="Y106" s="3" t="s">
        <v>337</v>
      </c>
    </row>
    <row r="107" spans="1:25" hidden="1" x14ac:dyDescent="0.2">
      <c r="A107" s="83" t="str">
        <f t="shared" si="1"/>
        <v>清丰凤鸣BBQ烤腌制粉</v>
      </c>
      <c r="B107" s="3" t="s">
        <v>713</v>
      </c>
      <c r="C107" s="84">
        <v>44377</v>
      </c>
      <c r="D107" s="3" t="s">
        <v>355</v>
      </c>
      <c r="E107" s="3" t="s">
        <v>337</v>
      </c>
      <c r="F107" s="3" t="s">
        <v>337</v>
      </c>
      <c r="G107" s="70" t="s">
        <v>174</v>
      </c>
      <c r="H107" s="3" t="s">
        <v>348</v>
      </c>
      <c r="I107" s="3" t="s">
        <v>89</v>
      </c>
      <c r="J107" s="3">
        <v>0</v>
      </c>
      <c r="K107" s="3">
        <v>0</v>
      </c>
      <c r="L107" s="3">
        <v>298.8</v>
      </c>
      <c r="M107" s="3">
        <v>0</v>
      </c>
      <c r="N107" s="3">
        <v>-298.8</v>
      </c>
      <c r="O107" s="70">
        <v>298.8</v>
      </c>
      <c r="P107" s="3">
        <v>0</v>
      </c>
      <c r="Q107" s="3">
        <v>0</v>
      </c>
      <c r="R107" s="3">
        <v>1.7389999999999999E-2</v>
      </c>
      <c r="S107" s="3">
        <v>5.2</v>
      </c>
      <c r="T107" s="3">
        <v>0</v>
      </c>
      <c r="U107" s="3">
        <v>-5.2</v>
      </c>
      <c r="V107" s="70" t="s">
        <v>334</v>
      </c>
      <c r="W107" s="3" t="s">
        <v>343</v>
      </c>
      <c r="X107" s="3" t="s">
        <v>337</v>
      </c>
      <c r="Y107" s="3" t="s">
        <v>337</v>
      </c>
    </row>
    <row r="108" spans="1:25" hidden="1" x14ac:dyDescent="0.2">
      <c r="A108" s="83" t="str">
        <f t="shared" si="1"/>
        <v>方城锦城国际BBQ烤腌制粉</v>
      </c>
      <c r="B108" s="3" t="s">
        <v>712</v>
      </c>
      <c r="C108" s="84">
        <v>44377</v>
      </c>
      <c r="D108" s="3" t="s">
        <v>355</v>
      </c>
      <c r="E108" s="3" t="s">
        <v>337</v>
      </c>
      <c r="F108" s="3" t="s">
        <v>337</v>
      </c>
      <c r="G108" s="70" t="s">
        <v>174</v>
      </c>
      <c r="H108" s="3" t="s">
        <v>348</v>
      </c>
      <c r="I108" s="3" t="s">
        <v>89</v>
      </c>
      <c r="J108" s="3">
        <v>0</v>
      </c>
      <c r="K108" s="3">
        <v>0</v>
      </c>
      <c r="L108" s="3">
        <v>1716</v>
      </c>
      <c r="M108" s="3">
        <v>0</v>
      </c>
      <c r="N108" s="3">
        <v>-1716</v>
      </c>
      <c r="O108" s="70">
        <v>1716</v>
      </c>
      <c r="P108" s="3">
        <v>0</v>
      </c>
      <c r="Q108" s="3">
        <v>0</v>
      </c>
      <c r="R108" s="3">
        <v>1.7389999999999999E-2</v>
      </c>
      <c r="S108" s="3">
        <v>29.84</v>
      </c>
      <c r="T108" s="3">
        <v>0</v>
      </c>
      <c r="U108" s="3">
        <v>-29.84</v>
      </c>
      <c r="V108" s="70" t="s">
        <v>594</v>
      </c>
      <c r="W108" s="3" t="s">
        <v>343</v>
      </c>
      <c r="X108" s="3" t="s">
        <v>337</v>
      </c>
      <c r="Y108" s="3" t="s">
        <v>337</v>
      </c>
    </row>
    <row r="109" spans="1:25" hidden="1" x14ac:dyDescent="0.2">
      <c r="A109" s="83" t="str">
        <f t="shared" si="1"/>
        <v>郑州政六街BBQ烤腌制粉</v>
      </c>
      <c r="B109" s="3" t="s">
        <v>714</v>
      </c>
      <c r="C109" s="84">
        <v>44377</v>
      </c>
      <c r="D109" s="3" t="s">
        <v>355</v>
      </c>
      <c r="E109" s="3" t="s">
        <v>337</v>
      </c>
      <c r="F109" s="3" t="s">
        <v>337</v>
      </c>
      <c r="G109" s="70" t="s">
        <v>174</v>
      </c>
      <c r="H109" s="3" t="s">
        <v>348</v>
      </c>
      <c r="I109" s="3" t="s">
        <v>89</v>
      </c>
      <c r="J109" s="3">
        <v>0</v>
      </c>
      <c r="K109" s="3">
        <v>0</v>
      </c>
      <c r="L109" s="3">
        <v>1435.2</v>
      </c>
      <c r="M109" s="3">
        <v>0</v>
      </c>
      <c r="N109" s="3">
        <v>-1435.2</v>
      </c>
      <c r="O109" s="70">
        <v>1435.2</v>
      </c>
      <c r="P109" s="3">
        <v>0</v>
      </c>
      <c r="Q109" s="3">
        <v>0</v>
      </c>
      <c r="R109" s="3">
        <v>1.7389999999999999E-2</v>
      </c>
      <c r="S109" s="3">
        <v>24.96</v>
      </c>
      <c r="T109" s="3">
        <v>0</v>
      </c>
      <c r="U109" s="3">
        <v>-24.96</v>
      </c>
      <c r="V109" s="70" t="s">
        <v>591</v>
      </c>
      <c r="W109" s="3" t="s">
        <v>343</v>
      </c>
      <c r="X109" s="3" t="s">
        <v>337</v>
      </c>
      <c r="Y109" s="3" t="s">
        <v>337</v>
      </c>
    </row>
    <row r="110" spans="1:25" hidden="1" x14ac:dyDescent="0.2">
      <c r="A110" s="83" t="str">
        <f t="shared" si="1"/>
        <v>郑州政六街黑胡椒粉.</v>
      </c>
      <c r="B110" s="3" t="s">
        <v>714</v>
      </c>
      <c r="C110" s="84">
        <v>44377</v>
      </c>
      <c r="D110" s="3" t="s">
        <v>356</v>
      </c>
      <c r="E110" s="3" t="s">
        <v>337</v>
      </c>
      <c r="F110" s="3" t="s">
        <v>337</v>
      </c>
      <c r="G110" s="70" t="s">
        <v>662</v>
      </c>
      <c r="H110" s="3" t="s">
        <v>343</v>
      </c>
      <c r="I110" s="3" t="s">
        <v>105</v>
      </c>
      <c r="J110" s="3">
        <v>1493</v>
      </c>
      <c r="K110" s="3">
        <v>2000</v>
      </c>
      <c r="L110" s="3">
        <v>887</v>
      </c>
      <c r="M110" s="3">
        <v>1890</v>
      </c>
      <c r="N110" s="3">
        <v>2606</v>
      </c>
      <c r="O110" s="70">
        <v>-716</v>
      </c>
      <c r="P110" s="3">
        <v>0</v>
      </c>
      <c r="Q110" s="3">
        <v>0</v>
      </c>
      <c r="R110" s="3">
        <v>8.2491999999999996E-2</v>
      </c>
      <c r="S110" s="3">
        <v>-59.06</v>
      </c>
      <c r="T110" s="3">
        <v>155.91</v>
      </c>
      <c r="U110" s="3">
        <v>214.97</v>
      </c>
      <c r="V110" s="70" t="s">
        <v>591</v>
      </c>
      <c r="W110" s="3" t="s">
        <v>343</v>
      </c>
      <c r="X110" s="3" t="s">
        <v>337</v>
      </c>
      <c r="Y110" s="3" t="s">
        <v>337</v>
      </c>
    </row>
    <row r="111" spans="1:25" hidden="1" x14ac:dyDescent="0.2">
      <c r="A111" s="83" t="str">
        <f t="shared" si="1"/>
        <v>清丰凤鸣黑胡椒粉.</v>
      </c>
      <c r="B111" s="3" t="s">
        <v>713</v>
      </c>
      <c r="C111" s="84">
        <v>44377</v>
      </c>
      <c r="D111" s="3" t="s">
        <v>356</v>
      </c>
      <c r="E111" s="3" t="s">
        <v>337</v>
      </c>
      <c r="F111" s="3" t="s">
        <v>337</v>
      </c>
      <c r="G111" s="70" t="s">
        <v>662</v>
      </c>
      <c r="H111" s="3" t="s">
        <v>343</v>
      </c>
      <c r="I111" s="3" t="s">
        <v>105</v>
      </c>
      <c r="J111" s="3">
        <v>15</v>
      </c>
      <c r="K111" s="3">
        <v>0</v>
      </c>
      <c r="L111" s="3">
        <v>443</v>
      </c>
      <c r="M111" s="3">
        <v>10</v>
      </c>
      <c r="N111" s="3">
        <v>-428</v>
      </c>
      <c r="O111" s="70">
        <v>438</v>
      </c>
      <c r="P111" s="3">
        <v>0</v>
      </c>
      <c r="Q111" s="3">
        <v>0</v>
      </c>
      <c r="R111" s="3">
        <v>8.3000000000000004E-2</v>
      </c>
      <c r="S111" s="3">
        <v>36.35</v>
      </c>
      <c r="T111" s="3">
        <v>0.83</v>
      </c>
      <c r="U111" s="3">
        <v>-35.520000000000003</v>
      </c>
      <c r="V111" s="70" t="s">
        <v>334</v>
      </c>
      <c r="W111" s="3" t="s">
        <v>343</v>
      </c>
      <c r="X111" s="3" t="s">
        <v>337</v>
      </c>
      <c r="Y111" s="3" t="s">
        <v>337</v>
      </c>
    </row>
    <row r="112" spans="1:25" hidden="1" x14ac:dyDescent="0.2">
      <c r="A112" s="83" t="str">
        <f t="shared" si="1"/>
        <v>方城锦城国际黑胡椒粉.</v>
      </c>
      <c r="B112" s="3" t="s">
        <v>712</v>
      </c>
      <c r="C112" s="84">
        <v>44377</v>
      </c>
      <c r="D112" s="3" t="s">
        <v>356</v>
      </c>
      <c r="E112" s="3" t="s">
        <v>337</v>
      </c>
      <c r="F112" s="3" t="s">
        <v>337</v>
      </c>
      <c r="G112" s="70" t="s">
        <v>662</v>
      </c>
      <c r="H112" s="3" t="s">
        <v>343</v>
      </c>
      <c r="I112" s="3" t="s">
        <v>105</v>
      </c>
      <c r="J112" s="3">
        <v>0</v>
      </c>
      <c r="K112" s="3">
        <v>1000</v>
      </c>
      <c r="L112" s="3">
        <v>923</v>
      </c>
      <c r="M112" s="3">
        <v>80</v>
      </c>
      <c r="N112" s="3">
        <v>77</v>
      </c>
      <c r="O112" s="70">
        <v>3</v>
      </c>
      <c r="P112" s="3">
        <v>0</v>
      </c>
      <c r="Q112" s="3">
        <v>0</v>
      </c>
      <c r="R112" s="3">
        <v>8.2125000000000004E-2</v>
      </c>
      <c r="S112" s="3">
        <v>0.25</v>
      </c>
      <c r="T112" s="3">
        <v>6.57</v>
      </c>
      <c r="U112" s="3">
        <v>6.32</v>
      </c>
      <c r="V112" s="70" t="s">
        <v>594</v>
      </c>
      <c r="W112" s="3" t="s">
        <v>343</v>
      </c>
      <c r="X112" s="3" t="s">
        <v>337</v>
      </c>
      <c r="Y112" s="3" t="s">
        <v>337</v>
      </c>
    </row>
    <row r="113" spans="1:25" hidden="1" x14ac:dyDescent="0.2">
      <c r="A113" s="83" t="str">
        <f t="shared" si="1"/>
        <v>郑州裕华黑胡椒粉.</v>
      </c>
      <c r="B113" s="3" t="s">
        <v>711</v>
      </c>
      <c r="C113" s="84">
        <v>44377</v>
      </c>
      <c r="D113" s="3" t="s">
        <v>356</v>
      </c>
      <c r="E113" s="3" t="s">
        <v>337</v>
      </c>
      <c r="F113" s="3" t="s">
        <v>337</v>
      </c>
      <c r="G113" s="70" t="s">
        <v>662</v>
      </c>
      <c r="H113" s="3" t="s">
        <v>343</v>
      </c>
      <c r="I113" s="3" t="s">
        <v>105</v>
      </c>
      <c r="J113" s="3">
        <v>1500</v>
      </c>
      <c r="K113" s="3">
        <v>0</v>
      </c>
      <c r="L113" s="3">
        <v>538</v>
      </c>
      <c r="M113" s="3">
        <v>950</v>
      </c>
      <c r="N113" s="3">
        <v>962</v>
      </c>
      <c r="O113" s="70">
        <v>-12</v>
      </c>
      <c r="P113" s="3">
        <v>0</v>
      </c>
      <c r="Q113" s="3">
        <v>0</v>
      </c>
      <c r="R113" s="3">
        <v>8.2536999999999999E-2</v>
      </c>
      <c r="S113" s="3">
        <v>-0.99</v>
      </c>
      <c r="T113" s="3">
        <v>78.41</v>
      </c>
      <c r="U113" s="3">
        <v>79.400000000000006</v>
      </c>
      <c r="V113" s="70" t="s">
        <v>641</v>
      </c>
      <c r="W113" s="3" t="s">
        <v>343</v>
      </c>
      <c r="X113" s="3" t="s">
        <v>337</v>
      </c>
      <c r="Y113" s="3" t="s">
        <v>337</v>
      </c>
    </row>
    <row r="114" spans="1:25" hidden="1" x14ac:dyDescent="0.2">
      <c r="A114" s="83" t="str">
        <f t="shared" si="1"/>
        <v>滑县滑台黑胡椒粉.</v>
      </c>
      <c r="B114" s="3" t="s">
        <v>710</v>
      </c>
      <c r="C114" s="84">
        <v>44377</v>
      </c>
      <c r="D114" s="3" t="s">
        <v>356</v>
      </c>
      <c r="E114" s="3" t="s">
        <v>337</v>
      </c>
      <c r="F114" s="3" t="s">
        <v>337</v>
      </c>
      <c r="G114" s="70" t="s">
        <v>662</v>
      </c>
      <c r="H114" s="3" t="s">
        <v>343</v>
      </c>
      <c r="I114" s="3" t="s">
        <v>105</v>
      </c>
      <c r="J114" s="3">
        <v>600</v>
      </c>
      <c r="K114" s="3">
        <v>1000</v>
      </c>
      <c r="L114" s="3">
        <v>817</v>
      </c>
      <c r="M114" s="3">
        <v>590</v>
      </c>
      <c r="N114" s="3">
        <v>783</v>
      </c>
      <c r="O114" s="70">
        <v>-193</v>
      </c>
      <c r="P114" s="3">
        <v>0</v>
      </c>
      <c r="Q114" s="3">
        <v>0</v>
      </c>
      <c r="R114" s="3">
        <v>8.2475000000000007E-2</v>
      </c>
      <c r="S114" s="3">
        <v>-15.92</v>
      </c>
      <c r="T114" s="3">
        <v>48.66</v>
      </c>
      <c r="U114" s="3">
        <v>64.58</v>
      </c>
      <c r="V114" s="70" t="s">
        <v>639</v>
      </c>
      <c r="W114" s="3" t="s">
        <v>343</v>
      </c>
      <c r="X114" s="3" t="s">
        <v>337</v>
      </c>
      <c r="Y114" s="3" t="s">
        <v>337</v>
      </c>
    </row>
    <row r="115" spans="1:25" hidden="1" x14ac:dyDescent="0.2">
      <c r="A115" s="83" t="str">
        <f t="shared" si="1"/>
        <v>郑州盛华里黑胡椒粉.</v>
      </c>
      <c r="B115" s="3" t="s">
        <v>709</v>
      </c>
      <c r="C115" s="84">
        <v>44377</v>
      </c>
      <c r="D115" s="3" t="s">
        <v>356</v>
      </c>
      <c r="E115" s="3" t="s">
        <v>337</v>
      </c>
      <c r="F115" s="3" t="s">
        <v>337</v>
      </c>
      <c r="G115" s="70" t="s">
        <v>662</v>
      </c>
      <c r="H115" s="3" t="s">
        <v>343</v>
      </c>
      <c r="I115" s="3" t="s">
        <v>105</v>
      </c>
      <c r="J115" s="3">
        <v>1500</v>
      </c>
      <c r="K115" s="3">
        <v>0</v>
      </c>
      <c r="L115" s="3">
        <v>313</v>
      </c>
      <c r="M115" s="3">
        <v>1000</v>
      </c>
      <c r="N115" s="3">
        <v>1187</v>
      </c>
      <c r="O115" s="70">
        <v>-187</v>
      </c>
      <c r="P115" s="3">
        <v>0</v>
      </c>
      <c r="Q115" s="3">
        <v>0</v>
      </c>
      <c r="R115" s="3">
        <v>8.2489999999999994E-2</v>
      </c>
      <c r="S115" s="3">
        <v>-15.43</v>
      </c>
      <c r="T115" s="3">
        <v>82.49</v>
      </c>
      <c r="U115" s="3">
        <v>97.92</v>
      </c>
      <c r="V115" s="70" t="s">
        <v>637</v>
      </c>
      <c r="W115" s="3" t="s">
        <v>343</v>
      </c>
      <c r="X115" s="3" t="s">
        <v>337</v>
      </c>
      <c r="Y115" s="3" t="s">
        <v>337</v>
      </c>
    </row>
    <row r="116" spans="1:25" hidden="1" x14ac:dyDescent="0.2">
      <c r="A116" s="83" t="str">
        <f t="shared" si="1"/>
        <v>郑州铁英街黑胡椒粉.</v>
      </c>
      <c r="B116" s="3" t="s">
        <v>707</v>
      </c>
      <c r="C116" s="84">
        <v>44377</v>
      </c>
      <c r="D116" s="3" t="s">
        <v>356</v>
      </c>
      <c r="E116" s="3" t="s">
        <v>337</v>
      </c>
      <c r="F116" s="3" t="s">
        <v>337</v>
      </c>
      <c r="G116" s="70" t="s">
        <v>662</v>
      </c>
      <c r="H116" s="3" t="s">
        <v>343</v>
      </c>
      <c r="I116" s="3" t="s">
        <v>105</v>
      </c>
      <c r="J116" s="3">
        <v>1800</v>
      </c>
      <c r="K116" s="3">
        <v>0</v>
      </c>
      <c r="L116" s="3">
        <v>607</v>
      </c>
      <c r="M116" s="3">
        <v>907</v>
      </c>
      <c r="N116" s="3">
        <v>1193</v>
      </c>
      <c r="O116" s="70">
        <v>-286</v>
      </c>
      <c r="P116" s="3">
        <v>0</v>
      </c>
      <c r="Q116" s="3">
        <v>0</v>
      </c>
      <c r="R116" s="3">
        <v>8.2503000000000007E-2</v>
      </c>
      <c r="S116" s="3">
        <v>-23.6</v>
      </c>
      <c r="T116" s="3">
        <v>74.83</v>
      </c>
      <c r="U116" s="3">
        <v>98.43</v>
      </c>
      <c r="V116" s="70" t="s">
        <v>592</v>
      </c>
      <c r="W116" s="3" t="s">
        <v>343</v>
      </c>
      <c r="X116" s="3" t="s">
        <v>337</v>
      </c>
      <c r="Y116" s="3" t="s">
        <v>337</v>
      </c>
    </row>
    <row r="117" spans="1:25" hidden="1" x14ac:dyDescent="0.2">
      <c r="A117" s="83" t="str">
        <f t="shared" si="1"/>
        <v>郑州西悦城黑胡椒粉.</v>
      </c>
      <c r="B117" s="3" t="s">
        <v>708</v>
      </c>
      <c r="C117" s="84">
        <v>44377</v>
      </c>
      <c r="D117" s="3" t="s">
        <v>356</v>
      </c>
      <c r="E117" s="3" t="s">
        <v>337</v>
      </c>
      <c r="F117" s="3" t="s">
        <v>337</v>
      </c>
      <c r="G117" s="70" t="s">
        <v>662</v>
      </c>
      <c r="H117" s="3" t="s">
        <v>343</v>
      </c>
      <c r="I117" s="3" t="s">
        <v>105</v>
      </c>
      <c r="J117" s="3">
        <v>1200</v>
      </c>
      <c r="K117" s="3">
        <v>0</v>
      </c>
      <c r="L117" s="3">
        <v>1245</v>
      </c>
      <c r="M117" s="3">
        <v>0</v>
      </c>
      <c r="N117" s="3">
        <v>-45</v>
      </c>
      <c r="O117" s="70">
        <v>45</v>
      </c>
      <c r="P117" s="3">
        <v>0</v>
      </c>
      <c r="Q117" s="3">
        <v>0</v>
      </c>
      <c r="R117" s="3">
        <v>8.2483000000000001E-2</v>
      </c>
      <c r="S117" s="3">
        <v>3.71</v>
      </c>
      <c r="T117" s="3">
        <v>0</v>
      </c>
      <c r="U117" s="3">
        <v>-3.71</v>
      </c>
      <c r="V117" s="70" t="s">
        <v>332</v>
      </c>
      <c r="W117" s="3" t="s">
        <v>343</v>
      </c>
      <c r="X117" s="3" t="s">
        <v>337</v>
      </c>
      <c r="Y117" s="3" t="s">
        <v>337</v>
      </c>
    </row>
    <row r="118" spans="1:25" hidden="1" x14ac:dyDescent="0.2">
      <c r="A118" s="83" t="str">
        <f t="shared" si="1"/>
        <v>郑州瀚海海尚黑胡椒粉.</v>
      </c>
      <c r="B118" s="3" t="s">
        <v>706</v>
      </c>
      <c r="C118" s="84">
        <v>44377</v>
      </c>
      <c r="D118" s="3" t="s">
        <v>356</v>
      </c>
      <c r="E118" s="3" t="s">
        <v>337</v>
      </c>
      <c r="F118" s="3" t="s">
        <v>337</v>
      </c>
      <c r="G118" s="70" t="s">
        <v>662</v>
      </c>
      <c r="H118" s="3" t="s">
        <v>343</v>
      </c>
      <c r="I118" s="3" t="s">
        <v>105</v>
      </c>
      <c r="J118" s="3">
        <v>3030</v>
      </c>
      <c r="K118" s="3">
        <v>0</v>
      </c>
      <c r="L118" s="3">
        <v>706</v>
      </c>
      <c r="M118" s="3">
        <v>1767</v>
      </c>
      <c r="N118" s="3">
        <v>2324</v>
      </c>
      <c r="O118" s="70">
        <v>-557</v>
      </c>
      <c r="P118" s="3">
        <v>0</v>
      </c>
      <c r="Q118" s="3">
        <v>0</v>
      </c>
      <c r="R118" s="3">
        <v>8.2489999999999994E-2</v>
      </c>
      <c r="S118" s="3">
        <v>-45.95</v>
      </c>
      <c r="T118" s="3">
        <v>145.76</v>
      </c>
      <c r="U118" s="3">
        <v>191.71</v>
      </c>
      <c r="V118" s="70" t="s">
        <v>333</v>
      </c>
      <c r="W118" s="3" t="s">
        <v>343</v>
      </c>
      <c r="X118" s="3" t="s">
        <v>337</v>
      </c>
      <c r="Y118" s="3" t="s">
        <v>337</v>
      </c>
    </row>
    <row r="119" spans="1:25" x14ac:dyDescent="0.2">
      <c r="A119" s="83" t="str">
        <f t="shared" si="1"/>
        <v>华山龙源黑胡椒粉.</v>
      </c>
      <c r="B119" s="3" t="s">
        <v>705</v>
      </c>
      <c r="C119" s="84">
        <v>44377</v>
      </c>
      <c r="D119" s="3" t="s">
        <v>356</v>
      </c>
      <c r="E119" s="3" t="s">
        <v>337</v>
      </c>
      <c r="F119" s="3" t="s">
        <v>337</v>
      </c>
      <c r="G119" s="70" t="s">
        <v>662</v>
      </c>
      <c r="H119" s="3" t="s">
        <v>343</v>
      </c>
      <c r="I119" s="3" t="s">
        <v>105</v>
      </c>
      <c r="J119" s="3">
        <v>895</v>
      </c>
      <c r="K119" s="3">
        <v>0</v>
      </c>
      <c r="L119" s="3">
        <v>477</v>
      </c>
      <c r="M119" s="3">
        <v>748</v>
      </c>
      <c r="N119" s="3">
        <v>418</v>
      </c>
      <c r="O119" s="70">
        <v>330</v>
      </c>
      <c r="P119" s="3">
        <v>0</v>
      </c>
      <c r="Q119" s="3">
        <v>0</v>
      </c>
      <c r="R119" s="3">
        <v>8.2553000000000001E-2</v>
      </c>
      <c r="S119" s="3">
        <v>27.24</v>
      </c>
      <c r="T119" s="3">
        <v>61.75</v>
      </c>
      <c r="U119" s="3">
        <v>34.51</v>
      </c>
      <c r="V119" s="70" t="s">
        <v>643</v>
      </c>
      <c r="W119" s="3" t="s">
        <v>343</v>
      </c>
      <c r="X119" s="3" t="s">
        <v>337</v>
      </c>
      <c r="Y119" s="3" t="s">
        <v>337</v>
      </c>
    </row>
    <row r="120" spans="1:25" hidden="1" x14ac:dyDescent="0.2">
      <c r="A120" s="83" t="str">
        <f t="shared" si="1"/>
        <v>郑州康复中街黑胡椒粉.</v>
      </c>
      <c r="B120" s="3" t="s">
        <v>704</v>
      </c>
      <c r="C120" s="84">
        <v>44377</v>
      </c>
      <c r="D120" s="3" t="s">
        <v>356</v>
      </c>
      <c r="E120" s="3" t="s">
        <v>337</v>
      </c>
      <c r="F120" s="3" t="s">
        <v>337</v>
      </c>
      <c r="G120" s="70" t="s">
        <v>662</v>
      </c>
      <c r="H120" s="3" t="s">
        <v>343</v>
      </c>
      <c r="I120" s="3" t="s">
        <v>105</v>
      </c>
      <c r="J120" s="3">
        <v>187</v>
      </c>
      <c r="K120" s="3">
        <v>1000</v>
      </c>
      <c r="L120" s="3">
        <v>888</v>
      </c>
      <c r="M120" s="3">
        <v>260</v>
      </c>
      <c r="N120" s="3">
        <v>299</v>
      </c>
      <c r="O120" s="70">
        <v>-39</v>
      </c>
      <c r="P120" s="3">
        <v>0</v>
      </c>
      <c r="Q120" s="3">
        <v>0</v>
      </c>
      <c r="R120" s="3">
        <v>8.2308000000000006E-2</v>
      </c>
      <c r="S120" s="3">
        <v>-3.21</v>
      </c>
      <c r="T120" s="3">
        <v>21.4</v>
      </c>
      <c r="U120" s="3">
        <v>24.61</v>
      </c>
      <c r="V120" s="70" t="s">
        <v>593</v>
      </c>
      <c r="W120" s="3" t="s">
        <v>343</v>
      </c>
      <c r="X120" s="3" t="s">
        <v>337</v>
      </c>
      <c r="Y120" s="3" t="s">
        <v>337</v>
      </c>
    </row>
    <row r="121" spans="1:25" hidden="1" x14ac:dyDescent="0.2">
      <c r="A121" s="83" t="str">
        <f t="shared" si="1"/>
        <v>新蔡水韵天街黑胡椒粉.</v>
      </c>
      <c r="B121" s="3" t="s">
        <v>703</v>
      </c>
      <c r="C121" s="84">
        <v>44377</v>
      </c>
      <c r="D121" s="3" t="s">
        <v>356</v>
      </c>
      <c r="E121" s="3" t="s">
        <v>337</v>
      </c>
      <c r="F121" s="3" t="s">
        <v>337</v>
      </c>
      <c r="G121" s="70" t="s">
        <v>662</v>
      </c>
      <c r="H121" s="3" t="s">
        <v>343</v>
      </c>
      <c r="I121" s="3" t="s">
        <v>105</v>
      </c>
      <c r="J121" s="3">
        <v>1240</v>
      </c>
      <c r="K121" s="3">
        <v>0</v>
      </c>
      <c r="L121" s="3">
        <v>643</v>
      </c>
      <c r="M121" s="3">
        <v>590</v>
      </c>
      <c r="N121" s="3">
        <v>597</v>
      </c>
      <c r="O121" s="70">
        <v>-7</v>
      </c>
      <c r="P121" s="3">
        <v>0</v>
      </c>
      <c r="Q121" s="3">
        <v>0</v>
      </c>
      <c r="R121" s="3">
        <v>8.2593E-2</v>
      </c>
      <c r="S121" s="3">
        <v>-0.57999999999999996</v>
      </c>
      <c r="T121" s="3">
        <v>48.73</v>
      </c>
      <c r="U121" s="3">
        <v>49.31</v>
      </c>
      <c r="V121" s="70" t="s">
        <v>335</v>
      </c>
      <c r="W121" s="3" t="s">
        <v>343</v>
      </c>
      <c r="X121" s="3" t="s">
        <v>337</v>
      </c>
      <c r="Y121" s="3" t="s">
        <v>337</v>
      </c>
    </row>
    <row r="122" spans="1:25" hidden="1" x14ac:dyDescent="0.2">
      <c r="A122" s="83" t="str">
        <f t="shared" si="1"/>
        <v>新蔡水韵天街川香酱</v>
      </c>
      <c r="B122" s="3" t="s">
        <v>703</v>
      </c>
      <c r="C122" s="84">
        <v>44377</v>
      </c>
      <c r="D122" s="3" t="s">
        <v>357</v>
      </c>
      <c r="E122" s="3" t="s">
        <v>337</v>
      </c>
      <c r="F122" s="3" t="s">
        <v>337</v>
      </c>
      <c r="G122" s="70" t="s">
        <v>8</v>
      </c>
      <c r="H122" s="3" t="s">
        <v>348</v>
      </c>
      <c r="I122" s="3" t="s">
        <v>89</v>
      </c>
      <c r="J122" s="3">
        <v>8400</v>
      </c>
      <c r="K122" s="3">
        <v>0</v>
      </c>
      <c r="L122" s="3">
        <v>1203.5</v>
      </c>
      <c r="M122" s="3">
        <v>7500</v>
      </c>
      <c r="N122" s="3">
        <v>7196.5</v>
      </c>
      <c r="O122" s="70">
        <v>303.5</v>
      </c>
      <c r="P122" s="3">
        <v>0</v>
      </c>
      <c r="Q122" s="3">
        <v>0</v>
      </c>
      <c r="R122" s="3">
        <v>1.4175E-2</v>
      </c>
      <c r="S122" s="3">
        <v>4.3</v>
      </c>
      <c r="T122" s="3">
        <v>106.31</v>
      </c>
      <c r="U122" s="3">
        <v>102.01</v>
      </c>
      <c r="V122" s="70" t="s">
        <v>335</v>
      </c>
      <c r="W122" s="3" t="s">
        <v>343</v>
      </c>
      <c r="X122" s="3" t="s">
        <v>337</v>
      </c>
      <c r="Y122" s="3" t="s">
        <v>337</v>
      </c>
    </row>
    <row r="123" spans="1:25" hidden="1" x14ac:dyDescent="0.2">
      <c r="A123" s="83" t="str">
        <f t="shared" si="1"/>
        <v>郑州康复中街川香酱</v>
      </c>
      <c r="B123" s="3" t="s">
        <v>704</v>
      </c>
      <c r="C123" s="84">
        <v>44377</v>
      </c>
      <c r="D123" s="3" t="s">
        <v>357</v>
      </c>
      <c r="E123" s="3" t="s">
        <v>337</v>
      </c>
      <c r="F123" s="3" t="s">
        <v>337</v>
      </c>
      <c r="G123" s="70" t="s">
        <v>8</v>
      </c>
      <c r="H123" s="3" t="s">
        <v>348</v>
      </c>
      <c r="I123" s="3" t="s">
        <v>89</v>
      </c>
      <c r="J123" s="3">
        <v>8200</v>
      </c>
      <c r="K123" s="3">
        <v>0</v>
      </c>
      <c r="L123" s="3">
        <v>2165.4</v>
      </c>
      <c r="M123" s="3">
        <v>6034</v>
      </c>
      <c r="N123" s="3">
        <v>6034.6</v>
      </c>
      <c r="O123" s="70">
        <v>-0.6</v>
      </c>
      <c r="P123" s="3">
        <v>26.4</v>
      </c>
      <c r="Q123" s="3">
        <v>0</v>
      </c>
      <c r="R123" s="3">
        <v>1.4175E-2</v>
      </c>
      <c r="S123" s="3">
        <v>-0.01</v>
      </c>
      <c r="T123" s="3">
        <v>85.53</v>
      </c>
      <c r="U123" s="3">
        <v>85.54</v>
      </c>
      <c r="V123" s="70" t="s">
        <v>593</v>
      </c>
      <c r="W123" s="3" t="s">
        <v>343</v>
      </c>
      <c r="X123" s="3" t="s">
        <v>337</v>
      </c>
      <c r="Y123" s="3" t="s">
        <v>337</v>
      </c>
    </row>
    <row r="124" spans="1:25" hidden="1" x14ac:dyDescent="0.2">
      <c r="A124" s="83" t="str">
        <f t="shared" si="1"/>
        <v>华山龙源川香酱</v>
      </c>
      <c r="B124" s="3" t="s">
        <v>705</v>
      </c>
      <c r="C124" s="84">
        <v>44377</v>
      </c>
      <c r="D124" s="3" t="s">
        <v>357</v>
      </c>
      <c r="E124" s="3" t="s">
        <v>337</v>
      </c>
      <c r="F124" s="3" t="s">
        <v>337</v>
      </c>
      <c r="G124" s="70" t="s">
        <v>8</v>
      </c>
      <c r="H124" s="3" t="s">
        <v>348</v>
      </c>
      <c r="I124" s="3" t="s">
        <v>89</v>
      </c>
      <c r="J124" s="3">
        <v>3834</v>
      </c>
      <c r="K124" s="3">
        <v>0</v>
      </c>
      <c r="L124" s="3">
        <v>844.2</v>
      </c>
      <c r="M124" s="3">
        <v>3338</v>
      </c>
      <c r="N124" s="3">
        <v>2989.8</v>
      </c>
      <c r="O124" s="70">
        <v>348.2</v>
      </c>
      <c r="P124" s="3">
        <v>4</v>
      </c>
      <c r="Q124" s="3">
        <v>0</v>
      </c>
      <c r="R124" s="3">
        <v>1.5006E-2</v>
      </c>
      <c r="S124" s="3">
        <v>5.23</v>
      </c>
      <c r="T124" s="3">
        <v>50.09</v>
      </c>
      <c r="U124" s="3">
        <v>44.86</v>
      </c>
      <c r="V124" s="70" t="s">
        <v>643</v>
      </c>
      <c r="W124" s="3" t="s">
        <v>343</v>
      </c>
      <c r="X124" s="3" t="s">
        <v>337</v>
      </c>
      <c r="Y124" s="3" t="s">
        <v>337</v>
      </c>
    </row>
    <row r="125" spans="1:25" hidden="1" x14ac:dyDescent="0.2">
      <c r="A125" s="83" t="str">
        <f t="shared" si="1"/>
        <v>郑州瀚海海尚川香酱</v>
      </c>
      <c r="B125" s="3" t="s">
        <v>706</v>
      </c>
      <c r="C125" s="84">
        <v>44377</v>
      </c>
      <c r="D125" s="3" t="s">
        <v>357</v>
      </c>
      <c r="E125" s="3" t="s">
        <v>337</v>
      </c>
      <c r="F125" s="3" t="s">
        <v>337</v>
      </c>
      <c r="G125" s="70" t="s">
        <v>8</v>
      </c>
      <c r="H125" s="3" t="s">
        <v>348</v>
      </c>
      <c r="I125" s="3" t="s">
        <v>89</v>
      </c>
      <c r="J125" s="3">
        <v>11500</v>
      </c>
      <c r="K125" s="3">
        <v>0</v>
      </c>
      <c r="L125" s="3">
        <v>1460.1</v>
      </c>
      <c r="M125" s="3">
        <v>11500</v>
      </c>
      <c r="N125" s="3">
        <v>10039.9</v>
      </c>
      <c r="O125" s="70">
        <v>1460.1</v>
      </c>
      <c r="P125" s="3">
        <v>15</v>
      </c>
      <c r="Q125" s="3">
        <v>0</v>
      </c>
      <c r="R125" s="3">
        <v>1.4239E-2</v>
      </c>
      <c r="S125" s="3">
        <v>20.79</v>
      </c>
      <c r="T125" s="3">
        <v>163.75</v>
      </c>
      <c r="U125" s="3">
        <v>142.96</v>
      </c>
      <c r="V125" s="70" t="s">
        <v>333</v>
      </c>
      <c r="W125" s="3" t="s">
        <v>343</v>
      </c>
      <c r="X125" s="3" t="s">
        <v>337</v>
      </c>
      <c r="Y125" s="3" t="s">
        <v>337</v>
      </c>
    </row>
    <row r="126" spans="1:25" hidden="1" x14ac:dyDescent="0.2">
      <c r="A126" s="83" t="str">
        <f t="shared" si="1"/>
        <v>郑州铁英街川香酱</v>
      </c>
      <c r="B126" s="3" t="s">
        <v>707</v>
      </c>
      <c r="C126" s="84">
        <v>44377</v>
      </c>
      <c r="D126" s="3" t="s">
        <v>357</v>
      </c>
      <c r="E126" s="3" t="s">
        <v>337</v>
      </c>
      <c r="F126" s="3" t="s">
        <v>337</v>
      </c>
      <c r="G126" s="70" t="s">
        <v>8</v>
      </c>
      <c r="H126" s="3" t="s">
        <v>348</v>
      </c>
      <c r="I126" s="3" t="s">
        <v>89</v>
      </c>
      <c r="J126" s="3">
        <v>9000</v>
      </c>
      <c r="K126" s="3">
        <v>0</v>
      </c>
      <c r="L126" s="3">
        <v>1357.8</v>
      </c>
      <c r="M126" s="3">
        <v>7870</v>
      </c>
      <c r="N126" s="3">
        <v>7642.2</v>
      </c>
      <c r="O126" s="70">
        <v>227.8</v>
      </c>
      <c r="P126" s="3">
        <v>11.2</v>
      </c>
      <c r="Q126" s="3">
        <v>0</v>
      </c>
      <c r="R126" s="3">
        <v>1.418E-2</v>
      </c>
      <c r="S126" s="3">
        <v>3.23</v>
      </c>
      <c r="T126" s="3">
        <v>111.6</v>
      </c>
      <c r="U126" s="3">
        <v>108.37</v>
      </c>
      <c r="V126" s="70" t="s">
        <v>592</v>
      </c>
      <c r="W126" s="3" t="s">
        <v>343</v>
      </c>
      <c r="X126" s="3" t="s">
        <v>337</v>
      </c>
      <c r="Y126" s="3" t="s">
        <v>337</v>
      </c>
    </row>
    <row r="127" spans="1:25" hidden="1" x14ac:dyDescent="0.2">
      <c r="A127" s="83" t="str">
        <f t="shared" si="1"/>
        <v>郑州西悦城川香酱</v>
      </c>
      <c r="B127" s="3" t="s">
        <v>708</v>
      </c>
      <c r="C127" s="84">
        <v>44377</v>
      </c>
      <c r="D127" s="3" t="s">
        <v>357</v>
      </c>
      <c r="E127" s="3" t="s">
        <v>337</v>
      </c>
      <c r="F127" s="3" t="s">
        <v>337</v>
      </c>
      <c r="G127" s="70" t="s">
        <v>8</v>
      </c>
      <c r="H127" s="3" t="s">
        <v>348</v>
      </c>
      <c r="I127" s="3" t="s">
        <v>89</v>
      </c>
      <c r="J127" s="3">
        <v>6000</v>
      </c>
      <c r="K127" s="3">
        <v>0</v>
      </c>
      <c r="L127" s="3">
        <v>2766.4</v>
      </c>
      <c r="M127" s="3">
        <v>3500</v>
      </c>
      <c r="N127" s="3">
        <v>3233.6</v>
      </c>
      <c r="O127" s="70">
        <v>266.39999999999998</v>
      </c>
      <c r="P127" s="3">
        <v>31.8</v>
      </c>
      <c r="Q127" s="3">
        <v>0</v>
      </c>
      <c r="R127" s="3">
        <v>1.4168999999999999E-2</v>
      </c>
      <c r="S127" s="3">
        <v>3.77</v>
      </c>
      <c r="T127" s="3">
        <v>49.59</v>
      </c>
      <c r="U127" s="3">
        <v>45.82</v>
      </c>
      <c r="V127" s="70" t="s">
        <v>332</v>
      </c>
      <c r="W127" s="3" t="s">
        <v>343</v>
      </c>
      <c r="X127" s="3" t="s">
        <v>337</v>
      </c>
      <c r="Y127" s="3" t="s">
        <v>337</v>
      </c>
    </row>
    <row r="128" spans="1:25" hidden="1" x14ac:dyDescent="0.2">
      <c r="A128" s="83" t="str">
        <f t="shared" si="1"/>
        <v>郑州盛华里川香酱</v>
      </c>
      <c r="B128" s="3" t="s">
        <v>709</v>
      </c>
      <c r="C128" s="84">
        <v>44377</v>
      </c>
      <c r="D128" s="3" t="s">
        <v>357</v>
      </c>
      <c r="E128" s="3" t="s">
        <v>337</v>
      </c>
      <c r="F128" s="3" t="s">
        <v>337</v>
      </c>
      <c r="G128" s="70" t="s">
        <v>8</v>
      </c>
      <c r="H128" s="3" t="s">
        <v>348</v>
      </c>
      <c r="I128" s="3" t="s">
        <v>89</v>
      </c>
      <c r="J128" s="3">
        <v>11300</v>
      </c>
      <c r="K128" s="3">
        <v>0</v>
      </c>
      <c r="L128" s="3">
        <v>765.8</v>
      </c>
      <c r="M128" s="3">
        <v>10500</v>
      </c>
      <c r="N128" s="3">
        <v>10534.2</v>
      </c>
      <c r="O128" s="70">
        <v>-34.200000000000003</v>
      </c>
      <c r="P128" s="3">
        <v>7.4</v>
      </c>
      <c r="Q128" s="3">
        <v>0</v>
      </c>
      <c r="R128" s="3">
        <v>1.4175999999999999E-2</v>
      </c>
      <c r="S128" s="3">
        <v>-0.48</v>
      </c>
      <c r="T128" s="3">
        <v>148.85</v>
      </c>
      <c r="U128" s="3">
        <v>149.33000000000001</v>
      </c>
      <c r="V128" s="70" t="s">
        <v>637</v>
      </c>
      <c r="W128" s="3" t="s">
        <v>343</v>
      </c>
      <c r="X128" s="3" t="s">
        <v>337</v>
      </c>
      <c r="Y128" s="3" t="s">
        <v>337</v>
      </c>
    </row>
    <row r="129" spans="1:25" hidden="1" x14ac:dyDescent="0.2">
      <c r="A129" s="83" t="str">
        <f t="shared" si="1"/>
        <v>滑县滑台川香酱</v>
      </c>
      <c r="B129" s="3" t="s">
        <v>710</v>
      </c>
      <c r="C129" s="84">
        <v>44377</v>
      </c>
      <c r="D129" s="3" t="s">
        <v>357</v>
      </c>
      <c r="E129" s="3" t="s">
        <v>337</v>
      </c>
      <c r="F129" s="3" t="s">
        <v>337</v>
      </c>
      <c r="G129" s="70" t="s">
        <v>8</v>
      </c>
      <c r="H129" s="3" t="s">
        <v>348</v>
      </c>
      <c r="I129" s="3" t="s">
        <v>89</v>
      </c>
      <c r="J129" s="3">
        <v>2500</v>
      </c>
      <c r="K129" s="3">
        <v>0</v>
      </c>
      <c r="L129" s="3">
        <v>1091.4000000000001</v>
      </c>
      <c r="M129" s="3">
        <v>1500</v>
      </c>
      <c r="N129" s="3">
        <v>1408.6</v>
      </c>
      <c r="O129" s="70">
        <v>91.4</v>
      </c>
      <c r="P129" s="3">
        <v>7</v>
      </c>
      <c r="Q129" s="3">
        <v>0</v>
      </c>
      <c r="R129" s="3">
        <v>1.4666999999999999E-2</v>
      </c>
      <c r="S129" s="3">
        <v>1.34</v>
      </c>
      <c r="T129" s="3">
        <v>22</v>
      </c>
      <c r="U129" s="3">
        <v>20.66</v>
      </c>
      <c r="V129" s="70" t="s">
        <v>639</v>
      </c>
      <c r="W129" s="3" t="s">
        <v>343</v>
      </c>
      <c r="X129" s="3" t="s">
        <v>337</v>
      </c>
      <c r="Y129" s="3" t="s">
        <v>337</v>
      </c>
    </row>
    <row r="130" spans="1:25" hidden="1" x14ac:dyDescent="0.2">
      <c r="A130" s="83" t="str">
        <f t="shared" si="1"/>
        <v>郑州裕华川香酱</v>
      </c>
      <c r="B130" s="3" t="s">
        <v>711</v>
      </c>
      <c r="C130" s="84">
        <v>44377</v>
      </c>
      <c r="D130" s="3" t="s">
        <v>357</v>
      </c>
      <c r="E130" s="3" t="s">
        <v>337</v>
      </c>
      <c r="F130" s="3" t="s">
        <v>337</v>
      </c>
      <c r="G130" s="70" t="s">
        <v>8</v>
      </c>
      <c r="H130" s="3" t="s">
        <v>348</v>
      </c>
      <c r="I130" s="3" t="s">
        <v>89</v>
      </c>
      <c r="J130" s="3">
        <v>10300</v>
      </c>
      <c r="K130" s="3">
        <v>0</v>
      </c>
      <c r="L130" s="3">
        <v>1259.5999999999999</v>
      </c>
      <c r="M130" s="3">
        <v>8000</v>
      </c>
      <c r="N130" s="3">
        <v>9040.4</v>
      </c>
      <c r="O130" s="70">
        <v>-1040.4000000000001</v>
      </c>
      <c r="P130" s="3">
        <v>14.4</v>
      </c>
      <c r="Q130" s="3">
        <v>0</v>
      </c>
      <c r="R130" s="3">
        <v>1.4175E-2</v>
      </c>
      <c r="S130" s="3">
        <v>-14.75</v>
      </c>
      <c r="T130" s="3">
        <v>113.4</v>
      </c>
      <c r="U130" s="3">
        <v>128.15</v>
      </c>
      <c r="V130" s="70" t="s">
        <v>641</v>
      </c>
      <c r="W130" s="3" t="s">
        <v>343</v>
      </c>
      <c r="X130" s="3" t="s">
        <v>337</v>
      </c>
      <c r="Y130" s="3" t="s">
        <v>337</v>
      </c>
    </row>
    <row r="131" spans="1:25" hidden="1" x14ac:dyDescent="0.2">
      <c r="A131" s="83" t="str">
        <f t="shared" ref="A131:A194" si="2">V131&amp;G131</f>
        <v>方城锦城国际川香酱</v>
      </c>
      <c r="B131" s="3" t="s">
        <v>712</v>
      </c>
      <c r="C131" s="84">
        <v>44377</v>
      </c>
      <c r="D131" s="3" t="s">
        <v>357</v>
      </c>
      <c r="E131" s="3" t="s">
        <v>337</v>
      </c>
      <c r="F131" s="3" t="s">
        <v>337</v>
      </c>
      <c r="G131" s="70" t="s">
        <v>8</v>
      </c>
      <c r="H131" s="3" t="s">
        <v>348</v>
      </c>
      <c r="I131" s="3" t="s">
        <v>89</v>
      </c>
      <c r="J131" s="3">
        <v>8500</v>
      </c>
      <c r="K131" s="3">
        <v>0</v>
      </c>
      <c r="L131" s="3">
        <v>1431</v>
      </c>
      <c r="M131" s="3">
        <v>6500</v>
      </c>
      <c r="N131" s="3">
        <v>7069</v>
      </c>
      <c r="O131" s="70">
        <v>-569</v>
      </c>
      <c r="P131" s="3">
        <v>22</v>
      </c>
      <c r="Q131" s="3">
        <v>0</v>
      </c>
      <c r="R131" s="3">
        <v>1.4171E-2</v>
      </c>
      <c r="S131" s="3">
        <v>-8.06</v>
      </c>
      <c r="T131" s="3">
        <v>92.11</v>
      </c>
      <c r="U131" s="3">
        <v>100.17</v>
      </c>
      <c r="V131" s="70" t="s">
        <v>594</v>
      </c>
      <c r="W131" s="3" t="s">
        <v>343</v>
      </c>
      <c r="X131" s="3" t="s">
        <v>337</v>
      </c>
      <c r="Y131" s="3" t="s">
        <v>337</v>
      </c>
    </row>
    <row r="132" spans="1:25" hidden="1" x14ac:dyDescent="0.2">
      <c r="A132" s="83" t="str">
        <f t="shared" si="2"/>
        <v>清丰凤鸣川香酱</v>
      </c>
      <c r="B132" s="3" t="s">
        <v>713</v>
      </c>
      <c r="C132" s="84">
        <v>44377</v>
      </c>
      <c r="D132" s="3" t="s">
        <v>357</v>
      </c>
      <c r="E132" s="3" t="s">
        <v>337</v>
      </c>
      <c r="F132" s="3" t="s">
        <v>337</v>
      </c>
      <c r="G132" s="70" t="s">
        <v>8</v>
      </c>
      <c r="H132" s="3" t="s">
        <v>348</v>
      </c>
      <c r="I132" s="3" t="s">
        <v>89</v>
      </c>
      <c r="J132" s="3">
        <v>10320</v>
      </c>
      <c r="K132" s="3">
        <v>0</v>
      </c>
      <c r="L132" s="3">
        <v>725.5</v>
      </c>
      <c r="M132" s="3">
        <v>9500</v>
      </c>
      <c r="N132" s="3">
        <v>9594.5</v>
      </c>
      <c r="O132" s="70">
        <v>-94.5</v>
      </c>
      <c r="P132" s="3">
        <v>5.4</v>
      </c>
      <c r="Q132" s="3">
        <v>0</v>
      </c>
      <c r="R132" s="3">
        <v>1.4168E-2</v>
      </c>
      <c r="S132" s="3">
        <v>-1.34</v>
      </c>
      <c r="T132" s="3">
        <v>134.6</v>
      </c>
      <c r="U132" s="3">
        <v>135.93</v>
      </c>
      <c r="V132" s="70" t="s">
        <v>334</v>
      </c>
      <c r="W132" s="3" t="s">
        <v>343</v>
      </c>
      <c r="X132" s="3" t="s">
        <v>337</v>
      </c>
      <c r="Y132" s="3" t="s">
        <v>337</v>
      </c>
    </row>
    <row r="133" spans="1:25" hidden="1" x14ac:dyDescent="0.2">
      <c r="A133" s="83" t="str">
        <f t="shared" si="2"/>
        <v>郑州政六街川香酱</v>
      </c>
      <c r="B133" s="3" t="s">
        <v>714</v>
      </c>
      <c r="C133" s="84">
        <v>44377</v>
      </c>
      <c r="D133" s="3" t="s">
        <v>357</v>
      </c>
      <c r="E133" s="3" t="s">
        <v>337</v>
      </c>
      <c r="F133" s="3" t="s">
        <v>337</v>
      </c>
      <c r="G133" s="70" t="s">
        <v>8</v>
      </c>
      <c r="H133" s="3" t="s">
        <v>348</v>
      </c>
      <c r="I133" s="3" t="s">
        <v>89</v>
      </c>
      <c r="J133" s="3">
        <v>11096</v>
      </c>
      <c r="K133" s="3">
        <v>0</v>
      </c>
      <c r="L133" s="3">
        <v>2322.9</v>
      </c>
      <c r="M133" s="3">
        <v>9500</v>
      </c>
      <c r="N133" s="3">
        <v>8773.1</v>
      </c>
      <c r="O133" s="70">
        <v>726.9</v>
      </c>
      <c r="P133" s="3">
        <v>4.5999999999999996</v>
      </c>
      <c r="Q133" s="3">
        <v>0</v>
      </c>
      <c r="R133" s="3">
        <v>1.4172000000000001E-2</v>
      </c>
      <c r="S133" s="3">
        <v>10.3</v>
      </c>
      <c r="T133" s="3">
        <v>134.63</v>
      </c>
      <c r="U133" s="3">
        <v>124.33</v>
      </c>
      <c r="V133" s="70" t="s">
        <v>591</v>
      </c>
      <c r="W133" s="3" t="s">
        <v>343</v>
      </c>
      <c r="X133" s="3" t="s">
        <v>337</v>
      </c>
      <c r="Y133" s="3" t="s">
        <v>337</v>
      </c>
    </row>
    <row r="134" spans="1:25" hidden="1" x14ac:dyDescent="0.2">
      <c r="A134" s="83" t="str">
        <f t="shared" si="2"/>
        <v>郑州政六街蜜汁酱</v>
      </c>
      <c r="B134" s="3" t="s">
        <v>714</v>
      </c>
      <c r="C134" s="84">
        <v>44377</v>
      </c>
      <c r="D134" s="3" t="s">
        <v>358</v>
      </c>
      <c r="E134" s="3" t="s">
        <v>337</v>
      </c>
      <c r="F134" s="3" t="s">
        <v>337</v>
      </c>
      <c r="G134" s="70" t="s">
        <v>9</v>
      </c>
      <c r="H134" s="3" t="s">
        <v>348</v>
      </c>
      <c r="I134" s="3" t="s">
        <v>89</v>
      </c>
      <c r="J134" s="3">
        <v>10348</v>
      </c>
      <c r="K134" s="3">
        <v>0</v>
      </c>
      <c r="L134" s="3">
        <v>3434</v>
      </c>
      <c r="M134" s="3">
        <v>8000</v>
      </c>
      <c r="N134" s="3">
        <v>6914</v>
      </c>
      <c r="O134" s="70">
        <v>1086</v>
      </c>
      <c r="P134" s="3">
        <v>4.5999999999999996</v>
      </c>
      <c r="Q134" s="3">
        <v>0</v>
      </c>
      <c r="R134" s="3">
        <v>1.4171E-2</v>
      </c>
      <c r="S134" s="3">
        <v>15.39</v>
      </c>
      <c r="T134" s="3">
        <v>113.37</v>
      </c>
      <c r="U134" s="3">
        <v>97.98</v>
      </c>
      <c r="V134" s="70" t="s">
        <v>591</v>
      </c>
      <c r="W134" s="3" t="s">
        <v>343</v>
      </c>
      <c r="X134" s="3" t="s">
        <v>337</v>
      </c>
      <c r="Y134" s="3" t="s">
        <v>337</v>
      </c>
    </row>
    <row r="135" spans="1:25" hidden="1" x14ac:dyDescent="0.2">
      <c r="A135" s="83" t="str">
        <f t="shared" si="2"/>
        <v>方城锦城国际蜜汁酱</v>
      </c>
      <c r="B135" s="3" t="s">
        <v>712</v>
      </c>
      <c r="C135" s="84">
        <v>44377</v>
      </c>
      <c r="D135" s="3" t="s">
        <v>358</v>
      </c>
      <c r="E135" s="3" t="s">
        <v>337</v>
      </c>
      <c r="F135" s="3" t="s">
        <v>337</v>
      </c>
      <c r="G135" s="70" t="s">
        <v>9</v>
      </c>
      <c r="H135" s="3" t="s">
        <v>348</v>
      </c>
      <c r="I135" s="3" t="s">
        <v>89</v>
      </c>
      <c r="J135" s="3">
        <v>7000</v>
      </c>
      <c r="K135" s="3">
        <v>0</v>
      </c>
      <c r="L135" s="3">
        <v>1964</v>
      </c>
      <c r="M135" s="3">
        <v>6000</v>
      </c>
      <c r="N135" s="3">
        <v>5036</v>
      </c>
      <c r="O135" s="70">
        <v>964</v>
      </c>
      <c r="P135" s="3">
        <v>22</v>
      </c>
      <c r="Q135" s="3">
        <v>0</v>
      </c>
      <c r="R135" s="3">
        <v>1.4168E-2</v>
      </c>
      <c r="S135" s="3">
        <v>13.66</v>
      </c>
      <c r="T135" s="3">
        <v>85.01</v>
      </c>
      <c r="U135" s="3">
        <v>71.349999999999994</v>
      </c>
      <c r="V135" s="70" t="s">
        <v>594</v>
      </c>
      <c r="W135" s="3" t="s">
        <v>343</v>
      </c>
      <c r="X135" s="3" t="s">
        <v>337</v>
      </c>
      <c r="Y135" s="3" t="s">
        <v>337</v>
      </c>
    </row>
    <row r="136" spans="1:25" hidden="1" x14ac:dyDescent="0.2">
      <c r="A136" s="83" t="str">
        <f t="shared" si="2"/>
        <v>清丰凤鸣蜜汁酱</v>
      </c>
      <c r="B136" s="3" t="s">
        <v>713</v>
      </c>
      <c r="C136" s="84">
        <v>44377</v>
      </c>
      <c r="D136" s="3" t="s">
        <v>358</v>
      </c>
      <c r="E136" s="3" t="s">
        <v>337</v>
      </c>
      <c r="F136" s="3" t="s">
        <v>337</v>
      </c>
      <c r="G136" s="70" t="s">
        <v>9</v>
      </c>
      <c r="H136" s="3" t="s">
        <v>348</v>
      </c>
      <c r="I136" s="3" t="s">
        <v>89</v>
      </c>
      <c r="J136" s="3">
        <v>5500</v>
      </c>
      <c r="K136" s="3">
        <v>0</v>
      </c>
      <c r="L136" s="3">
        <v>1041.2</v>
      </c>
      <c r="M136" s="3">
        <v>4400</v>
      </c>
      <c r="N136" s="3">
        <v>4458.8</v>
      </c>
      <c r="O136" s="70">
        <v>-58.8</v>
      </c>
      <c r="P136" s="3">
        <v>5.4</v>
      </c>
      <c r="Q136" s="3">
        <v>0</v>
      </c>
      <c r="R136" s="3">
        <v>1.4168E-2</v>
      </c>
      <c r="S136" s="3">
        <v>-0.83</v>
      </c>
      <c r="T136" s="3">
        <v>62.34</v>
      </c>
      <c r="U136" s="3">
        <v>63.17</v>
      </c>
      <c r="V136" s="70" t="s">
        <v>334</v>
      </c>
      <c r="W136" s="3" t="s">
        <v>343</v>
      </c>
      <c r="X136" s="3" t="s">
        <v>337</v>
      </c>
      <c r="Y136" s="3" t="s">
        <v>337</v>
      </c>
    </row>
    <row r="137" spans="1:25" hidden="1" x14ac:dyDescent="0.2">
      <c r="A137" s="83" t="str">
        <f t="shared" si="2"/>
        <v>郑州裕华蜜汁酱</v>
      </c>
      <c r="B137" s="3" t="s">
        <v>711</v>
      </c>
      <c r="C137" s="84">
        <v>44377</v>
      </c>
      <c r="D137" s="3" t="s">
        <v>358</v>
      </c>
      <c r="E137" s="3" t="s">
        <v>337</v>
      </c>
      <c r="F137" s="3" t="s">
        <v>337</v>
      </c>
      <c r="G137" s="70" t="s">
        <v>9</v>
      </c>
      <c r="H137" s="3" t="s">
        <v>348</v>
      </c>
      <c r="I137" s="3" t="s">
        <v>89</v>
      </c>
      <c r="J137" s="3">
        <v>9600</v>
      </c>
      <c r="K137" s="3">
        <v>0</v>
      </c>
      <c r="L137" s="3">
        <v>1768</v>
      </c>
      <c r="M137" s="3">
        <v>7000</v>
      </c>
      <c r="N137" s="3">
        <v>7832</v>
      </c>
      <c r="O137" s="70">
        <v>-832</v>
      </c>
      <c r="P137" s="3">
        <v>14.4</v>
      </c>
      <c r="Q137" s="3">
        <v>0</v>
      </c>
      <c r="R137" s="3">
        <v>1.4175999999999999E-2</v>
      </c>
      <c r="S137" s="3">
        <v>-11.79</v>
      </c>
      <c r="T137" s="3">
        <v>99.23</v>
      </c>
      <c r="U137" s="3">
        <v>111.03</v>
      </c>
      <c r="V137" s="70" t="s">
        <v>641</v>
      </c>
      <c r="W137" s="3" t="s">
        <v>343</v>
      </c>
      <c r="X137" s="3" t="s">
        <v>337</v>
      </c>
      <c r="Y137" s="3" t="s">
        <v>337</v>
      </c>
    </row>
    <row r="138" spans="1:25" hidden="1" x14ac:dyDescent="0.2">
      <c r="A138" s="83" t="str">
        <f t="shared" si="2"/>
        <v>滑县滑台蜜汁酱</v>
      </c>
      <c r="B138" s="3" t="s">
        <v>710</v>
      </c>
      <c r="C138" s="84">
        <v>44377</v>
      </c>
      <c r="D138" s="3" t="s">
        <v>358</v>
      </c>
      <c r="E138" s="3" t="s">
        <v>337</v>
      </c>
      <c r="F138" s="3" t="s">
        <v>337</v>
      </c>
      <c r="G138" s="70" t="s">
        <v>9</v>
      </c>
      <c r="H138" s="3" t="s">
        <v>348</v>
      </c>
      <c r="I138" s="3" t="s">
        <v>89</v>
      </c>
      <c r="J138" s="3">
        <v>2000</v>
      </c>
      <c r="K138" s="3">
        <v>0</v>
      </c>
      <c r="L138" s="3">
        <v>1575.2</v>
      </c>
      <c r="M138" s="3">
        <v>500</v>
      </c>
      <c r="N138" s="3">
        <v>424.8</v>
      </c>
      <c r="O138" s="70">
        <v>75.2</v>
      </c>
      <c r="P138" s="3">
        <v>7</v>
      </c>
      <c r="Q138" s="3">
        <v>0</v>
      </c>
      <c r="R138" s="3">
        <v>1.47E-2</v>
      </c>
      <c r="S138" s="3">
        <v>1.1100000000000001</v>
      </c>
      <c r="T138" s="3">
        <v>7.35</v>
      </c>
      <c r="U138" s="3">
        <v>6.24</v>
      </c>
      <c r="V138" s="70" t="s">
        <v>639</v>
      </c>
      <c r="W138" s="3" t="s">
        <v>343</v>
      </c>
      <c r="X138" s="3" t="s">
        <v>337</v>
      </c>
      <c r="Y138" s="3" t="s">
        <v>337</v>
      </c>
    </row>
    <row r="139" spans="1:25" hidden="1" x14ac:dyDescent="0.2">
      <c r="A139" s="83" t="str">
        <f t="shared" si="2"/>
        <v>郑州盛华里蜜汁酱</v>
      </c>
      <c r="B139" s="3" t="s">
        <v>709</v>
      </c>
      <c r="C139" s="84">
        <v>44377</v>
      </c>
      <c r="D139" s="3" t="s">
        <v>358</v>
      </c>
      <c r="E139" s="3" t="s">
        <v>337</v>
      </c>
      <c r="F139" s="3" t="s">
        <v>337</v>
      </c>
      <c r="G139" s="70" t="s">
        <v>9</v>
      </c>
      <c r="H139" s="3" t="s">
        <v>348</v>
      </c>
      <c r="I139" s="3" t="s">
        <v>89</v>
      </c>
      <c r="J139" s="3">
        <v>11000</v>
      </c>
      <c r="K139" s="3">
        <v>0</v>
      </c>
      <c r="L139" s="3">
        <v>1085.5999999999999</v>
      </c>
      <c r="M139" s="3">
        <v>10000</v>
      </c>
      <c r="N139" s="3">
        <v>9914.4</v>
      </c>
      <c r="O139" s="70">
        <v>85.6</v>
      </c>
      <c r="P139" s="3">
        <v>7.4</v>
      </c>
      <c r="Q139" s="3">
        <v>0</v>
      </c>
      <c r="R139" s="3">
        <v>1.4174000000000001E-2</v>
      </c>
      <c r="S139" s="3">
        <v>1.21</v>
      </c>
      <c r="T139" s="3">
        <v>141.74</v>
      </c>
      <c r="U139" s="3">
        <v>140.53</v>
      </c>
      <c r="V139" s="70" t="s">
        <v>637</v>
      </c>
      <c r="W139" s="3" t="s">
        <v>343</v>
      </c>
      <c r="X139" s="3" t="s">
        <v>337</v>
      </c>
      <c r="Y139" s="3" t="s">
        <v>337</v>
      </c>
    </row>
    <row r="140" spans="1:25" hidden="1" x14ac:dyDescent="0.2">
      <c r="A140" s="83" t="str">
        <f t="shared" si="2"/>
        <v>郑州铁英街蜜汁酱</v>
      </c>
      <c r="B140" s="3" t="s">
        <v>707</v>
      </c>
      <c r="C140" s="84">
        <v>44377</v>
      </c>
      <c r="D140" s="3" t="s">
        <v>358</v>
      </c>
      <c r="E140" s="3" t="s">
        <v>337</v>
      </c>
      <c r="F140" s="3" t="s">
        <v>337</v>
      </c>
      <c r="G140" s="70" t="s">
        <v>9</v>
      </c>
      <c r="H140" s="3" t="s">
        <v>348</v>
      </c>
      <c r="I140" s="3" t="s">
        <v>89</v>
      </c>
      <c r="J140" s="3">
        <v>8000</v>
      </c>
      <c r="K140" s="3">
        <v>0</v>
      </c>
      <c r="L140" s="3">
        <v>1940</v>
      </c>
      <c r="M140" s="3">
        <v>6310</v>
      </c>
      <c r="N140" s="3">
        <v>6060</v>
      </c>
      <c r="O140" s="70">
        <v>250</v>
      </c>
      <c r="P140" s="3">
        <v>11.2</v>
      </c>
      <c r="Q140" s="3">
        <v>0</v>
      </c>
      <c r="R140" s="3">
        <v>1.4173E-2</v>
      </c>
      <c r="S140" s="3">
        <v>3.54</v>
      </c>
      <c r="T140" s="3">
        <v>89.43</v>
      </c>
      <c r="U140" s="3">
        <v>85.89</v>
      </c>
      <c r="V140" s="70" t="s">
        <v>592</v>
      </c>
      <c r="W140" s="3" t="s">
        <v>343</v>
      </c>
      <c r="X140" s="3" t="s">
        <v>337</v>
      </c>
      <c r="Y140" s="3" t="s">
        <v>337</v>
      </c>
    </row>
    <row r="141" spans="1:25" hidden="1" x14ac:dyDescent="0.2">
      <c r="A141" s="83" t="str">
        <f t="shared" si="2"/>
        <v>郑州西悦城蜜汁酱</v>
      </c>
      <c r="B141" s="3" t="s">
        <v>708</v>
      </c>
      <c r="C141" s="84">
        <v>44377</v>
      </c>
      <c r="D141" s="3" t="s">
        <v>358</v>
      </c>
      <c r="E141" s="3" t="s">
        <v>337</v>
      </c>
      <c r="F141" s="3" t="s">
        <v>337</v>
      </c>
      <c r="G141" s="70" t="s">
        <v>9</v>
      </c>
      <c r="H141" s="3" t="s">
        <v>348</v>
      </c>
      <c r="I141" s="3" t="s">
        <v>89</v>
      </c>
      <c r="J141" s="3">
        <v>4000</v>
      </c>
      <c r="K141" s="3">
        <v>0</v>
      </c>
      <c r="L141" s="3">
        <v>3881.6</v>
      </c>
      <c r="M141" s="3">
        <v>1000</v>
      </c>
      <c r="N141" s="3">
        <v>118.4</v>
      </c>
      <c r="O141" s="70">
        <v>881.6</v>
      </c>
      <c r="P141" s="3">
        <v>31.8</v>
      </c>
      <c r="Q141" s="3">
        <v>0</v>
      </c>
      <c r="R141" s="3">
        <v>1.4160000000000001E-2</v>
      </c>
      <c r="S141" s="3">
        <v>12.48</v>
      </c>
      <c r="T141" s="3">
        <v>14.16</v>
      </c>
      <c r="U141" s="3">
        <v>1.68</v>
      </c>
      <c r="V141" s="70" t="s">
        <v>332</v>
      </c>
      <c r="W141" s="3" t="s">
        <v>343</v>
      </c>
      <c r="X141" s="3" t="s">
        <v>337</v>
      </c>
      <c r="Y141" s="3" t="s">
        <v>337</v>
      </c>
    </row>
    <row r="142" spans="1:25" hidden="1" x14ac:dyDescent="0.2">
      <c r="A142" s="83" t="str">
        <f t="shared" si="2"/>
        <v>华山龙源蜜汁酱</v>
      </c>
      <c r="B142" s="3" t="s">
        <v>705</v>
      </c>
      <c r="C142" s="84">
        <v>44377</v>
      </c>
      <c r="D142" s="3" t="s">
        <v>358</v>
      </c>
      <c r="E142" s="3" t="s">
        <v>337</v>
      </c>
      <c r="F142" s="3" t="s">
        <v>337</v>
      </c>
      <c r="G142" s="70" t="s">
        <v>9</v>
      </c>
      <c r="H142" s="3" t="s">
        <v>348</v>
      </c>
      <c r="I142" s="3" t="s">
        <v>89</v>
      </c>
      <c r="J142" s="3">
        <v>1636</v>
      </c>
      <c r="K142" s="3">
        <v>0</v>
      </c>
      <c r="L142" s="3">
        <v>1229.5999999999999</v>
      </c>
      <c r="M142" s="3">
        <v>840</v>
      </c>
      <c r="N142" s="3">
        <v>406.4</v>
      </c>
      <c r="O142" s="70">
        <v>433.6</v>
      </c>
      <c r="P142" s="3">
        <v>4</v>
      </c>
      <c r="Q142" s="3">
        <v>0</v>
      </c>
      <c r="R142" s="3">
        <v>1.4988E-2</v>
      </c>
      <c r="S142" s="3">
        <v>6.5</v>
      </c>
      <c r="T142" s="3">
        <v>12.59</v>
      </c>
      <c r="U142" s="3">
        <v>6.09</v>
      </c>
      <c r="V142" s="70" t="s">
        <v>643</v>
      </c>
      <c r="W142" s="3" t="s">
        <v>343</v>
      </c>
      <c r="X142" s="3" t="s">
        <v>337</v>
      </c>
      <c r="Y142" s="3" t="s">
        <v>337</v>
      </c>
    </row>
    <row r="143" spans="1:25" hidden="1" x14ac:dyDescent="0.2">
      <c r="A143" s="83" t="str">
        <f t="shared" si="2"/>
        <v>郑州瀚海海尚蜜汁酱</v>
      </c>
      <c r="B143" s="3" t="s">
        <v>706</v>
      </c>
      <c r="C143" s="84">
        <v>44377</v>
      </c>
      <c r="D143" s="3" t="s">
        <v>358</v>
      </c>
      <c r="E143" s="3" t="s">
        <v>337</v>
      </c>
      <c r="F143" s="3" t="s">
        <v>337</v>
      </c>
      <c r="G143" s="70" t="s">
        <v>9</v>
      </c>
      <c r="H143" s="3" t="s">
        <v>348</v>
      </c>
      <c r="I143" s="3" t="s">
        <v>89</v>
      </c>
      <c r="J143" s="3">
        <v>11000</v>
      </c>
      <c r="K143" s="3">
        <v>0</v>
      </c>
      <c r="L143" s="3">
        <v>2062.8000000000002</v>
      </c>
      <c r="M143" s="3">
        <v>9000</v>
      </c>
      <c r="N143" s="3">
        <v>8937.2000000000007</v>
      </c>
      <c r="O143" s="70">
        <v>62.8</v>
      </c>
      <c r="P143" s="3">
        <v>15</v>
      </c>
      <c r="Q143" s="3">
        <v>0</v>
      </c>
      <c r="R143" s="3">
        <v>1.4233000000000001E-2</v>
      </c>
      <c r="S143" s="3">
        <v>0.89</v>
      </c>
      <c r="T143" s="3">
        <v>128.1</v>
      </c>
      <c r="U143" s="3">
        <v>127.2</v>
      </c>
      <c r="V143" s="70" t="s">
        <v>333</v>
      </c>
      <c r="W143" s="3" t="s">
        <v>343</v>
      </c>
      <c r="X143" s="3" t="s">
        <v>337</v>
      </c>
      <c r="Y143" s="3" t="s">
        <v>337</v>
      </c>
    </row>
    <row r="144" spans="1:25" hidden="1" x14ac:dyDescent="0.2">
      <c r="A144" s="83" t="str">
        <f t="shared" si="2"/>
        <v>郑州康复中街蜜汁酱</v>
      </c>
      <c r="B144" s="3" t="s">
        <v>704</v>
      </c>
      <c r="C144" s="84">
        <v>44377</v>
      </c>
      <c r="D144" s="3" t="s">
        <v>358</v>
      </c>
      <c r="E144" s="3" t="s">
        <v>337</v>
      </c>
      <c r="F144" s="3" t="s">
        <v>337</v>
      </c>
      <c r="G144" s="70" t="s">
        <v>9</v>
      </c>
      <c r="H144" s="3" t="s">
        <v>348</v>
      </c>
      <c r="I144" s="3" t="s">
        <v>89</v>
      </c>
      <c r="J144" s="3">
        <v>7500</v>
      </c>
      <c r="K144" s="3">
        <v>0</v>
      </c>
      <c r="L144" s="3">
        <v>3026.4</v>
      </c>
      <c r="M144" s="3">
        <v>4400</v>
      </c>
      <c r="N144" s="3">
        <v>4473.6000000000004</v>
      </c>
      <c r="O144" s="70">
        <v>-73.599999999999994</v>
      </c>
      <c r="P144" s="3">
        <v>26.4</v>
      </c>
      <c r="Q144" s="3">
        <v>0</v>
      </c>
      <c r="R144" s="3">
        <v>1.4177E-2</v>
      </c>
      <c r="S144" s="3">
        <v>-1.04</v>
      </c>
      <c r="T144" s="3">
        <v>62.38</v>
      </c>
      <c r="U144" s="3">
        <v>63.42</v>
      </c>
      <c r="V144" s="70" t="s">
        <v>593</v>
      </c>
      <c r="W144" s="3" t="s">
        <v>343</v>
      </c>
      <c r="X144" s="3" t="s">
        <v>337</v>
      </c>
      <c r="Y144" s="3" t="s">
        <v>337</v>
      </c>
    </row>
    <row r="145" spans="1:25" hidden="1" x14ac:dyDescent="0.2">
      <c r="A145" s="83" t="str">
        <f t="shared" si="2"/>
        <v>新蔡水韵天街蜜汁酱</v>
      </c>
      <c r="B145" s="3" t="s">
        <v>703</v>
      </c>
      <c r="C145" s="84">
        <v>44377</v>
      </c>
      <c r="D145" s="3" t="s">
        <v>358</v>
      </c>
      <c r="E145" s="3" t="s">
        <v>337</v>
      </c>
      <c r="F145" s="3" t="s">
        <v>337</v>
      </c>
      <c r="G145" s="70" t="s">
        <v>9</v>
      </c>
      <c r="H145" s="3" t="s">
        <v>348</v>
      </c>
      <c r="I145" s="3" t="s">
        <v>89</v>
      </c>
      <c r="J145" s="3">
        <v>7000</v>
      </c>
      <c r="K145" s="3">
        <v>0</v>
      </c>
      <c r="L145" s="3">
        <v>1798</v>
      </c>
      <c r="M145" s="3">
        <v>5000</v>
      </c>
      <c r="N145" s="3">
        <v>5202</v>
      </c>
      <c r="O145" s="70">
        <v>-202</v>
      </c>
      <c r="P145" s="3">
        <v>0</v>
      </c>
      <c r="Q145" s="3">
        <v>0</v>
      </c>
      <c r="R145" s="3">
        <v>1.418E-2</v>
      </c>
      <c r="S145" s="3">
        <v>-2.86</v>
      </c>
      <c r="T145" s="3">
        <v>70.900000000000006</v>
      </c>
      <c r="U145" s="3">
        <v>73.760000000000005</v>
      </c>
      <c r="V145" s="70" t="s">
        <v>335</v>
      </c>
      <c r="W145" s="3" t="s">
        <v>343</v>
      </c>
      <c r="X145" s="3" t="s">
        <v>337</v>
      </c>
      <c r="Y145" s="3" t="s">
        <v>337</v>
      </c>
    </row>
    <row r="146" spans="1:25" hidden="1" x14ac:dyDescent="0.2">
      <c r="A146" s="83" t="str">
        <f t="shared" si="2"/>
        <v>郑州西悦城4#全鸡袋</v>
      </c>
      <c r="B146" s="3" t="s">
        <v>708</v>
      </c>
      <c r="C146" s="84">
        <v>44377</v>
      </c>
      <c r="D146" s="3" t="s">
        <v>601</v>
      </c>
      <c r="E146" s="3" t="s">
        <v>337</v>
      </c>
      <c r="F146" s="3" t="s">
        <v>337</v>
      </c>
      <c r="G146" s="70" t="s">
        <v>602</v>
      </c>
      <c r="H146" s="3" t="s">
        <v>339</v>
      </c>
      <c r="I146" s="3" t="s">
        <v>339</v>
      </c>
      <c r="J146" s="3">
        <v>0</v>
      </c>
      <c r="K146" s="3">
        <v>0</v>
      </c>
      <c r="L146" s="3">
        <v>1</v>
      </c>
      <c r="M146" s="3">
        <v>0</v>
      </c>
      <c r="N146" s="3">
        <v>-1</v>
      </c>
      <c r="O146" s="70">
        <v>1</v>
      </c>
      <c r="P146" s="3">
        <v>0</v>
      </c>
      <c r="Q146" s="3">
        <v>0</v>
      </c>
      <c r="R146" s="3">
        <v>0.14226800000000001</v>
      </c>
      <c r="S146" s="3">
        <v>0.14000000000000001</v>
      </c>
      <c r="T146" s="3">
        <v>0</v>
      </c>
      <c r="U146" s="3">
        <v>-0.14000000000000001</v>
      </c>
      <c r="V146" s="70" t="s">
        <v>332</v>
      </c>
      <c r="W146" s="3" t="s">
        <v>343</v>
      </c>
      <c r="X146" s="3" t="s">
        <v>337</v>
      </c>
      <c r="Y146" s="3" t="s">
        <v>337</v>
      </c>
    </row>
    <row r="147" spans="1:25" hidden="1" x14ac:dyDescent="0.2">
      <c r="A147" s="83" t="str">
        <f t="shared" si="2"/>
        <v>郑州盛华里4#全鸡袋</v>
      </c>
      <c r="B147" s="3" t="s">
        <v>709</v>
      </c>
      <c r="C147" s="84">
        <v>44377</v>
      </c>
      <c r="D147" s="3" t="s">
        <v>601</v>
      </c>
      <c r="E147" s="3" t="s">
        <v>337</v>
      </c>
      <c r="F147" s="3" t="s">
        <v>337</v>
      </c>
      <c r="G147" s="70" t="s">
        <v>602</v>
      </c>
      <c r="H147" s="3" t="s">
        <v>339</v>
      </c>
      <c r="I147" s="3" t="s">
        <v>339</v>
      </c>
      <c r="J147" s="3">
        <v>0</v>
      </c>
      <c r="K147" s="3">
        <v>0</v>
      </c>
      <c r="L147" s="3">
        <v>2</v>
      </c>
      <c r="M147" s="3">
        <v>0</v>
      </c>
      <c r="N147" s="3">
        <v>-2</v>
      </c>
      <c r="O147" s="70">
        <v>2</v>
      </c>
      <c r="P147" s="3">
        <v>0</v>
      </c>
      <c r="Q147" s="3">
        <v>0</v>
      </c>
      <c r="R147" s="3">
        <v>0.14226800000000001</v>
      </c>
      <c r="S147" s="3">
        <v>0.28000000000000003</v>
      </c>
      <c r="T147" s="3">
        <v>0</v>
      </c>
      <c r="U147" s="3">
        <v>-0.28000000000000003</v>
      </c>
      <c r="V147" s="70" t="s">
        <v>637</v>
      </c>
      <c r="W147" s="3" t="s">
        <v>343</v>
      </c>
      <c r="X147" s="3" t="s">
        <v>337</v>
      </c>
      <c r="Y147" s="3" t="s">
        <v>337</v>
      </c>
    </row>
    <row r="148" spans="1:25" hidden="1" x14ac:dyDescent="0.2">
      <c r="A148" s="83" t="str">
        <f t="shared" si="2"/>
        <v>郑州政六街4#全鸡袋</v>
      </c>
      <c r="B148" s="3" t="s">
        <v>714</v>
      </c>
      <c r="C148" s="84">
        <v>44377</v>
      </c>
      <c r="D148" s="3" t="s">
        <v>601</v>
      </c>
      <c r="E148" s="3" t="s">
        <v>337</v>
      </c>
      <c r="F148" s="3" t="s">
        <v>337</v>
      </c>
      <c r="G148" s="70" t="s">
        <v>602</v>
      </c>
      <c r="H148" s="3" t="s">
        <v>339</v>
      </c>
      <c r="I148" s="3" t="s">
        <v>339</v>
      </c>
      <c r="J148" s="3">
        <v>0</v>
      </c>
      <c r="K148" s="3">
        <v>0</v>
      </c>
      <c r="L148" s="3">
        <v>24</v>
      </c>
      <c r="M148" s="3">
        <v>0</v>
      </c>
      <c r="N148" s="3">
        <v>-24</v>
      </c>
      <c r="O148" s="70">
        <v>24</v>
      </c>
      <c r="P148" s="3">
        <v>0</v>
      </c>
      <c r="Q148" s="3">
        <v>0</v>
      </c>
      <c r="R148" s="3">
        <v>0.14226800000000001</v>
      </c>
      <c r="S148" s="3">
        <v>3.41</v>
      </c>
      <c r="T148" s="3">
        <v>0</v>
      </c>
      <c r="U148" s="3">
        <v>-3.41</v>
      </c>
      <c r="V148" s="70" t="s">
        <v>591</v>
      </c>
      <c r="W148" s="3" t="s">
        <v>343</v>
      </c>
      <c r="X148" s="3" t="s">
        <v>337</v>
      </c>
      <c r="Y148" s="3" t="s">
        <v>337</v>
      </c>
    </row>
    <row r="149" spans="1:25" hidden="1" x14ac:dyDescent="0.2">
      <c r="A149" s="83" t="str">
        <f t="shared" si="2"/>
        <v>郑州政六街小薯条袋</v>
      </c>
      <c r="B149" s="3" t="s">
        <v>714</v>
      </c>
      <c r="C149" s="84">
        <v>44377</v>
      </c>
      <c r="D149" s="3" t="s">
        <v>359</v>
      </c>
      <c r="E149" s="3" t="s">
        <v>337</v>
      </c>
      <c r="F149" s="3" t="s">
        <v>337</v>
      </c>
      <c r="G149" s="70" t="s">
        <v>360</v>
      </c>
      <c r="H149" s="3" t="s">
        <v>339</v>
      </c>
      <c r="I149" s="3" t="s">
        <v>339</v>
      </c>
      <c r="J149" s="3">
        <v>3166</v>
      </c>
      <c r="K149" s="3">
        <v>5000</v>
      </c>
      <c r="L149" s="3">
        <v>1136</v>
      </c>
      <c r="M149" s="3">
        <v>7000</v>
      </c>
      <c r="N149" s="3">
        <v>7030</v>
      </c>
      <c r="O149" s="70">
        <v>-30</v>
      </c>
      <c r="P149" s="3">
        <v>0</v>
      </c>
      <c r="Q149" s="3">
        <v>0</v>
      </c>
      <c r="R149" s="3">
        <v>3.1670999999999998E-2</v>
      </c>
      <c r="S149" s="3">
        <v>-0.95</v>
      </c>
      <c r="T149" s="3">
        <v>221.7</v>
      </c>
      <c r="U149" s="3">
        <v>222.65</v>
      </c>
      <c r="V149" s="70" t="s">
        <v>591</v>
      </c>
      <c r="W149" s="3" t="s">
        <v>343</v>
      </c>
      <c r="X149" s="3" t="s">
        <v>337</v>
      </c>
      <c r="Y149" s="3" t="s">
        <v>337</v>
      </c>
    </row>
    <row r="150" spans="1:25" hidden="1" x14ac:dyDescent="0.2">
      <c r="A150" s="83" t="str">
        <f t="shared" si="2"/>
        <v>郑州盛华里小薯条袋</v>
      </c>
      <c r="B150" s="3" t="s">
        <v>709</v>
      </c>
      <c r="C150" s="84">
        <v>44377</v>
      </c>
      <c r="D150" s="3" t="s">
        <v>359</v>
      </c>
      <c r="E150" s="3" t="s">
        <v>337</v>
      </c>
      <c r="F150" s="3" t="s">
        <v>337</v>
      </c>
      <c r="G150" s="70" t="s">
        <v>360</v>
      </c>
      <c r="H150" s="3" t="s">
        <v>339</v>
      </c>
      <c r="I150" s="3" t="s">
        <v>339</v>
      </c>
      <c r="J150" s="3">
        <v>4500</v>
      </c>
      <c r="K150" s="3">
        <v>0</v>
      </c>
      <c r="L150" s="3">
        <v>671</v>
      </c>
      <c r="M150" s="3">
        <v>3800</v>
      </c>
      <c r="N150" s="3">
        <v>3829</v>
      </c>
      <c r="O150" s="70">
        <v>-29</v>
      </c>
      <c r="P150" s="3">
        <v>0</v>
      </c>
      <c r="Q150" s="3">
        <v>0</v>
      </c>
      <c r="R150" s="3">
        <v>3.1674000000000001E-2</v>
      </c>
      <c r="S150" s="3">
        <v>-0.92</v>
      </c>
      <c r="T150" s="3">
        <v>120.36</v>
      </c>
      <c r="U150" s="3">
        <v>121.28</v>
      </c>
      <c r="V150" s="70" t="s">
        <v>637</v>
      </c>
      <c r="W150" s="3" t="s">
        <v>343</v>
      </c>
      <c r="X150" s="3" t="s">
        <v>337</v>
      </c>
      <c r="Y150" s="3" t="s">
        <v>337</v>
      </c>
    </row>
    <row r="151" spans="1:25" hidden="1" x14ac:dyDescent="0.2">
      <c r="A151" s="83" t="str">
        <f t="shared" si="2"/>
        <v>滑县滑台小薯条袋</v>
      </c>
      <c r="B151" s="3" t="s">
        <v>710</v>
      </c>
      <c r="C151" s="84">
        <v>44377</v>
      </c>
      <c r="D151" s="3" t="s">
        <v>359</v>
      </c>
      <c r="E151" s="3" t="s">
        <v>337</v>
      </c>
      <c r="F151" s="3" t="s">
        <v>337</v>
      </c>
      <c r="G151" s="70" t="s">
        <v>360</v>
      </c>
      <c r="H151" s="3" t="s">
        <v>339</v>
      </c>
      <c r="I151" s="3" t="s">
        <v>339</v>
      </c>
      <c r="J151" s="3">
        <v>4300</v>
      </c>
      <c r="K151" s="3">
        <v>5000</v>
      </c>
      <c r="L151" s="3">
        <v>1454</v>
      </c>
      <c r="M151" s="3">
        <v>7800</v>
      </c>
      <c r="N151" s="3">
        <v>7846</v>
      </c>
      <c r="O151" s="70">
        <v>-46</v>
      </c>
      <c r="P151" s="3">
        <v>0</v>
      </c>
      <c r="Q151" s="3">
        <v>0</v>
      </c>
      <c r="R151" s="3">
        <v>3.1682000000000002E-2</v>
      </c>
      <c r="S151" s="3">
        <v>-1.46</v>
      </c>
      <c r="T151" s="3">
        <v>247.12</v>
      </c>
      <c r="U151" s="3">
        <v>248.58</v>
      </c>
      <c r="V151" s="70" t="s">
        <v>639</v>
      </c>
      <c r="W151" s="3" t="s">
        <v>343</v>
      </c>
      <c r="X151" s="3" t="s">
        <v>337</v>
      </c>
      <c r="Y151" s="3" t="s">
        <v>337</v>
      </c>
    </row>
    <row r="152" spans="1:25" hidden="1" x14ac:dyDescent="0.2">
      <c r="A152" s="83" t="str">
        <f t="shared" si="2"/>
        <v>郑州裕华小薯条袋</v>
      </c>
      <c r="B152" s="3" t="s">
        <v>711</v>
      </c>
      <c r="C152" s="84">
        <v>44377</v>
      </c>
      <c r="D152" s="3" t="s">
        <v>359</v>
      </c>
      <c r="E152" s="3" t="s">
        <v>337</v>
      </c>
      <c r="F152" s="3" t="s">
        <v>337</v>
      </c>
      <c r="G152" s="70" t="s">
        <v>360</v>
      </c>
      <c r="H152" s="3" t="s">
        <v>339</v>
      </c>
      <c r="I152" s="3" t="s">
        <v>339</v>
      </c>
      <c r="J152" s="3">
        <v>4200</v>
      </c>
      <c r="K152" s="3">
        <v>0</v>
      </c>
      <c r="L152" s="3">
        <v>1303</v>
      </c>
      <c r="M152" s="3">
        <v>2800</v>
      </c>
      <c r="N152" s="3">
        <v>2897</v>
      </c>
      <c r="O152" s="70">
        <v>-97</v>
      </c>
      <c r="P152" s="3">
        <v>0</v>
      </c>
      <c r="Q152" s="3">
        <v>0</v>
      </c>
      <c r="R152" s="3">
        <v>3.1670999999999998E-2</v>
      </c>
      <c r="S152" s="3">
        <v>-3.07</v>
      </c>
      <c r="T152" s="3">
        <v>88.68</v>
      </c>
      <c r="U152" s="3">
        <v>91.75</v>
      </c>
      <c r="V152" s="70" t="s">
        <v>641</v>
      </c>
      <c r="W152" s="3" t="s">
        <v>343</v>
      </c>
      <c r="X152" s="3" t="s">
        <v>337</v>
      </c>
      <c r="Y152" s="3" t="s">
        <v>337</v>
      </c>
    </row>
    <row r="153" spans="1:25" hidden="1" x14ac:dyDescent="0.2">
      <c r="A153" s="83" t="str">
        <f t="shared" si="2"/>
        <v>清丰凤鸣小薯条袋</v>
      </c>
      <c r="B153" s="3" t="s">
        <v>713</v>
      </c>
      <c r="C153" s="84">
        <v>44377</v>
      </c>
      <c r="D153" s="3" t="s">
        <v>359</v>
      </c>
      <c r="E153" s="3" t="s">
        <v>337</v>
      </c>
      <c r="F153" s="3" t="s">
        <v>337</v>
      </c>
      <c r="G153" s="70" t="s">
        <v>360</v>
      </c>
      <c r="H153" s="3" t="s">
        <v>339</v>
      </c>
      <c r="I153" s="3" t="s">
        <v>339</v>
      </c>
      <c r="J153" s="3">
        <v>2401</v>
      </c>
      <c r="K153" s="3">
        <v>5000</v>
      </c>
      <c r="L153" s="3">
        <v>801</v>
      </c>
      <c r="M153" s="3">
        <v>6620</v>
      </c>
      <c r="N153" s="3">
        <v>6600</v>
      </c>
      <c r="O153" s="70">
        <v>20</v>
      </c>
      <c r="P153" s="3">
        <v>0</v>
      </c>
      <c r="Q153" s="3">
        <v>0</v>
      </c>
      <c r="R153" s="3">
        <v>3.1681000000000001E-2</v>
      </c>
      <c r="S153" s="3">
        <v>0.63</v>
      </c>
      <c r="T153" s="3">
        <v>209.73</v>
      </c>
      <c r="U153" s="3">
        <v>209.09</v>
      </c>
      <c r="V153" s="70" t="s">
        <v>334</v>
      </c>
      <c r="W153" s="3" t="s">
        <v>343</v>
      </c>
      <c r="X153" s="3" t="s">
        <v>337</v>
      </c>
      <c r="Y153" s="3" t="s">
        <v>337</v>
      </c>
    </row>
    <row r="154" spans="1:25" hidden="1" x14ac:dyDescent="0.2">
      <c r="A154" s="83" t="str">
        <f t="shared" si="2"/>
        <v>方城锦城国际小薯条袋</v>
      </c>
      <c r="B154" s="3" t="s">
        <v>712</v>
      </c>
      <c r="C154" s="84">
        <v>44377</v>
      </c>
      <c r="D154" s="3" t="s">
        <v>359</v>
      </c>
      <c r="E154" s="3" t="s">
        <v>337</v>
      </c>
      <c r="F154" s="3" t="s">
        <v>337</v>
      </c>
      <c r="G154" s="70" t="s">
        <v>360</v>
      </c>
      <c r="H154" s="3" t="s">
        <v>339</v>
      </c>
      <c r="I154" s="3" t="s">
        <v>339</v>
      </c>
      <c r="J154" s="3">
        <v>1780</v>
      </c>
      <c r="K154" s="3">
        <v>5000</v>
      </c>
      <c r="L154" s="3">
        <v>1812</v>
      </c>
      <c r="M154" s="3">
        <v>4800</v>
      </c>
      <c r="N154" s="3">
        <v>4968</v>
      </c>
      <c r="O154" s="70">
        <v>-168</v>
      </c>
      <c r="P154" s="3">
        <v>0</v>
      </c>
      <c r="Q154" s="3">
        <v>0</v>
      </c>
      <c r="R154" s="3">
        <v>3.1683000000000003E-2</v>
      </c>
      <c r="S154" s="3">
        <v>-5.32</v>
      </c>
      <c r="T154" s="3">
        <v>152.08000000000001</v>
      </c>
      <c r="U154" s="3">
        <v>157.4</v>
      </c>
      <c r="V154" s="70" t="s">
        <v>594</v>
      </c>
      <c r="W154" s="3" t="s">
        <v>343</v>
      </c>
      <c r="X154" s="3" t="s">
        <v>337</v>
      </c>
      <c r="Y154" s="3" t="s">
        <v>337</v>
      </c>
    </row>
    <row r="155" spans="1:25" hidden="1" x14ac:dyDescent="0.2">
      <c r="A155" s="83" t="str">
        <f t="shared" si="2"/>
        <v>郑州铁英街小薯条袋</v>
      </c>
      <c r="B155" s="3" t="s">
        <v>707</v>
      </c>
      <c r="C155" s="84">
        <v>44377</v>
      </c>
      <c r="D155" s="3" t="s">
        <v>359</v>
      </c>
      <c r="E155" s="3" t="s">
        <v>337</v>
      </c>
      <c r="F155" s="3" t="s">
        <v>337</v>
      </c>
      <c r="G155" s="70" t="s">
        <v>360</v>
      </c>
      <c r="H155" s="3" t="s">
        <v>339</v>
      </c>
      <c r="I155" s="3" t="s">
        <v>339</v>
      </c>
      <c r="J155" s="3">
        <v>2353</v>
      </c>
      <c r="K155" s="3">
        <v>0</v>
      </c>
      <c r="L155" s="3">
        <v>1581</v>
      </c>
      <c r="M155" s="3">
        <v>854</v>
      </c>
      <c r="N155" s="3">
        <v>772</v>
      </c>
      <c r="O155" s="70">
        <v>82</v>
      </c>
      <c r="P155" s="3">
        <v>0</v>
      </c>
      <c r="Q155" s="3">
        <v>0</v>
      </c>
      <c r="R155" s="3">
        <v>3.1697999999999997E-2</v>
      </c>
      <c r="S155" s="3">
        <v>2.6</v>
      </c>
      <c r="T155" s="3">
        <v>27.07</v>
      </c>
      <c r="U155" s="3">
        <v>24.47</v>
      </c>
      <c r="V155" s="70" t="s">
        <v>592</v>
      </c>
      <c r="W155" s="3" t="s">
        <v>343</v>
      </c>
      <c r="X155" s="3" t="s">
        <v>337</v>
      </c>
      <c r="Y155" s="3" t="s">
        <v>337</v>
      </c>
    </row>
    <row r="156" spans="1:25" hidden="1" x14ac:dyDescent="0.2">
      <c r="A156" s="83" t="str">
        <f t="shared" si="2"/>
        <v>郑州西悦城小薯条袋</v>
      </c>
      <c r="B156" s="3" t="s">
        <v>708</v>
      </c>
      <c r="C156" s="84">
        <v>44377</v>
      </c>
      <c r="D156" s="3" t="s">
        <v>359</v>
      </c>
      <c r="E156" s="3" t="s">
        <v>337</v>
      </c>
      <c r="F156" s="3" t="s">
        <v>337</v>
      </c>
      <c r="G156" s="70" t="s">
        <v>360</v>
      </c>
      <c r="H156" s="3" t="s">
        <v>339</v>
      </c>
      <c r="I156" s="3" t="s">
        <v>339</v>
      </c>
      <c r="J156" s="3">
        <v>5000</v>
      </c>
      <c r="K156" s="3">
        <v>0</v>
      </c>
      <c r="L156" s="3">
        <v>3066</v>
      </c>
      <c r="M156" s="3">
        <v>1900</v>
      </c>
      <c r="N156" s="3">
        <v>1934</v>
      </c>
      <c r="O156" s="70">
        <v>-34</v>
      </c>
      <c r="P156" s="3">
        <v>0</v>
      </c>
      <c r="Q156" s="3">
        <v>0</v>
      </c>
      <c r="R156" s="3">
        <v>3.1683999999999997E-2</v>
      </c>
      <c r="S156" s="3">
        <v>-1.08</v>
      </c>
      <c r="T156" s="3">
        <v>60.2</v>
      </c>
      <c r="U156" s="3">
        <v>61.28</v>
      </c>
      <c r="V156" s="70" t="s">
        <v>332</v>
      </c>
      <c r="W156" s="3" t="s">
        <v>343</v>
      </c>
      <c r="X156" s="3" t="s">
        <v>337</v>
      </c>
      <c r="Y156" s="3" t="s">
        <v>337</v>
      </c>
    </row>
    <row r="157" spans="1:25" hidden="1" x14ac:dyDescent="0.2">
      <c r="A157" s="83" t="str">
        <f t="shared" si="2"/>
        <v>郑州瀚海海尚小薯条袋</v>
      </c>
      <c r="B157" s="3" t="s">
        <v>706</v>
      </c>
      <c r="C157" s="84">
        <v>44377</v>
      </c>
      <c r="D157" s="3" t="s">
        <v>359</v>
      </c>
      <c r="E157" s="3" t="s">
        <v>337</v>
      </c>
      <c r="F157" s="3" t="s">
        <v>337</v>
      </c>
      <c r="G157" s="70" t="s">
        <v>360</v>
      </c>
      <c r="H157" s="3" t="s">
        <v>339</v>
      </c>
      <c r="I157" s="3" t="s">
        <v>339</v>
      </c>
      <c r="J157" s="3">
        <v>5660</v>
      </c>
      <c r="K157" s="3">
        <v>0</v>
      </c>
      <c r="L157" s="3">
        <v>2004</v>
      </c>
      <c r="M157" s="3">
        <v>4020</v>
      </c>
      <c r="N157" s="3">
        <v>3656</v>
      </c>
      <c r="O157" s="70">
        <v>364</v>
      </c>
      <c r="P157" s="3">
        <v>0</v>
      </c>
      <c r="Q157" s="3">
        <v>0</v>
      </c>
      <c r="R157" s="3">
        <v>3.1678999999999999E-2</v>
      </c>
      <c r="S157" s="3">
        <v>11.53</v>
      </c>
      <c r="T157" s="3">
        <v>127.35</v>
      </c>
      <c r="U157" s="3">
        <v>115.82</v>
      </c>
      <c r="V157" s="70" t="s">
        <v>333</v>
      </c>
      <c r="W157" s="3" t="s">
        <v>343</v>
      </c>
      <c r="X157" s="3" t="s">
        <v>337</v>
      </c>
      <c r="Y157" s="3" t="s">
        <v>337</v>
      </c>
    </row>
    <row r="158" spans="1:25" hidden="1" x14ac:dyDescent="0.2">
      <c r="A158" s="83" t="str">
        <f t="shared" si="2"/>
        <v>华山龙源小薯条袋</v>
      </c>
      <c r="B158" s="3" t="s">
        <v>705</v>
      </c>
      <c r="C158" s="84">
        <v>44377</v>
      </c>
      <c r="D158" s="3" t="s">
        <v>359</v>
      </c>
      <c r="E158" s="3" t="s">
        <v>337</v>
      </c>
      <c r="F158" s="3" t="s">
        <v>337</v>
      </c>
      <c r="G158" s="70" t="s">
        <v>360</v>
      </c>
      <c r="H158" s="3" t="s">
        <v>339</v>
      </c>
      <c r="I158" s="3" t="s">
        <v>339</v>
      </c>
      <c r="J158" s="3">
        <v>4306</v>
      </c>
      <c r="K158" s="3">
        <v>0</v>
      </c>
      <c r="L158" s="3">
        <v>1170</v>
      </c>
      <c r="M158" s="3">
        <v>3135</v>
      </c>
      <c r="N158" s="3">
        <v>3136</v>
      </c>
      <c r="O158" s="70">
        <v>-1</v>
      </c>
      <c r="P158" s="3">
        <v>0</v>
      </c>
      <c r="Q158" s="3">
        <v>0</v>
      </c>
      <c r="R158" s="3">
        <v>3.1697000000000003E-2</v>
      </c>
      <c r="S158" s="3">
        <v>-0.03</v>
      </c>
      <c r="T158" s="3">
        <v>99.37</v>
      </c>
      <c r="U158" s="3">
        <v>99.4</v>
      </c>
      <c r="V158" s="70" t="s">
        <v>643</v>
      </c>
      <c r="W158" s="3" t="s">
        <v>343</v>
      </c>
      <c r="X158" s="3" t="s">
        <v>337</v>
      </c>
      <c r="Y158" s="3" t="s">
        <v>337</v>
      </c>
    </row>
    <row r="159" spans="1:25" hidden="1" x14ac:dyDescent="0.2">
      <c r="A159" s="83" t="str">
        <f t="shared" si="2"/>
        <v>新蔡水韵天街小薯条袋</v>
      </c>
      <c r="B159" s="3" t="s">
        <v>703</v>
      </c>
      <c r="C159" s="84">
        <v>44377</v>
      </c>
      <c r="D159" s="3" t="s">
        <v>359</v>
      </c>
      <c r="E159" s="3" t="s">
        <v>337</v>
      </c>
      <c r="F159" s="3" t="s">
        <v>337</v>
      </c>
      <c r="G159" s="70" t="s">
        <v>360</v>
      </c>
      <c r="H159" s="3" t="s">
        <v>339</v>
      </c>
      <c r="I159" s="3" t="s">
        <v>339</v>
      </c>
      <c r="J159" s="3">
        <v>2500</v>
      </c>
      <c r="K159" s="3">
        <v>5000</v>
      </c>
      <c r="L159" s="3">
        <v>1355</v>
      </c>
      <c r="M159" s="3">
        <v>5900</v>
      </c>
      <c r="N159" s="3">
        <v>6145</v>
      </c>
      <c r="O159" s="70">
        <v>-245</v>
      </c>
      <c r="P159" s="3">
        <v>0</v>
      </c>
      <c r="Q159" s="3">
        <v>0</v>
      </c>
      <c r="R159" s="3">
        <v>3.1661000000000002E-2</v>
      </c>
      <c r="S159" s="3">
        <v>-7.76</v>
      </c>
      <c r="T159" s="3">
        <v>186.8</v>
      </c>
      <c r="U159" s="3">
        <v>194.56</v>
      </c>
      <c r="V159" s="70" t="s">
        <v>335</v>
      </c>
      <c r="W159" s="3" t="s">
        <v>343</v>
      </c>
      <c r="X159" s="3" t="s">
        <v>337</v>
      </c>
      <c r="Y159" s="3" t="s">
        <v>337</v>
      </c>
    </row>
    <row r="160" spans="1:25" hidden="1" x14ac:dyDescent="0.2">
      <c r="A160" s="83" t="str">
        <f t="shared" si="2"/>
        <v>郑州康复中街小薯条袋</v>
      </c>
      <c r="B160" s="3" t="s">
        <v>704</v>
      </c>
      <c r="C160" s="84">
        <v>44377</v>
      </c>
      <c r="D160" s="3" t="s">
        <v>359</v>
      </c>
      <c r="E160" s="3" t="s">
        <v>337</v>
      </c>
      <c r="F160" s="3" t="s">
        <v>337</v>
      </c>
      <c r="G160" s="70" t="s">
        <v>360</v>
      </c>
      <c r="H160" s="3" t="s">
        <v>339</v>
      </c>
      <c r="I160" s="3" t="s">
        <v>339</v>
      </c>
      <c r="J160" s="3">
        <v>2200</v>
      </c>
      <c r="K160" s="3">
        <v>5000</v>
      </c>
      <c r="L160" s="3">
        <v>1905</v>
      </c>
      <c r="M160" s="3">
        <v>5200</v>
      </c>
      <c r="N160" s="3">
        <v>5295</v>
      </c>
      <c r="O160" s="70">
        <v>-95</v>
      </c>
      <c r="P160" s="3">
        <v>0</v>
      </c>
      <c r="Q160" s="3">
        <v>0</v>
      </c>
      <c r="R160" s="3">
        <v>3.1670999999999998E-2</v>
      </c>
      <c r="S160" s="3">
        <v>-3.01</v>
      </c>
      <c r="T160" s="3">
        <v>164.69</v>
      </c>
      <c r="U160" s="3">
        <v>167.7</v>
      </c>
      <c r="V160" s="70" t="s">
        <v>593</v>
      </c>
      <c r="W160" s="3" t="s">
        <v>343</v>
      </c>
      <c r="X160" s="3" t="s">
        <v>337</v>
      </c>
      <c r="Y160" s="3" t="s">
        <v>337</v>
      </c>
    </row>
    <row r="161" spans="1:25" hidden="1" x14ac:dyDescent="0.2">
      <c r="A161" s="83" t="str">
        <f t="shared" si="2"/>
        <v>郑州康复中街托盘纸</v>
      </c>
      <c r="B161" s="3" t="s">
        <v>704</v>
      </c>
      <c r="C161" s="84">
        <v>44377</v>
      </c>
      <c r="D161" s="3" t="s">
        <v>361</v>
      </c>
      <c r="E161" s="3" t="s">
        <v>337</v>
      </c>
      <c r="F161" s="3" t="s">
        <v>337</v>
      </c>
      <c r="G161" s="70" t="s">
        <v>29</v>
      </c>
      <c r="H161" s="3" t="s">
        <v>113</v>
      </c>
      <c r="I161" s="3" t="s">
        <v>113</v>
      </c>
      <c r="J161" s="3">
        <v>1000</v>
      </c>
      <c r="K161" s="3">
        <v>2000</v>
      </c>
      <c r="L161" s="3">
        <v>0</v>
      </c>
      <c r="M161" s="3">
        <v>2000</v>
      </c>
      <c r="N161" s="3">
        <v>3000</v>
      </c>
      <c r="O161" s="70">
        <v>-1000</v>
      </c>
      <c r="P161" s="3">
        <v>0</v>
      </c>
      <c r="Q161" s="3">
        <v>0</v>
      </c>
      <c r="R161" s="3">
        <v>4.5359999999999998E-2</v>
      </c>
      <c r="S161" s="3">
        <v>-45.36</v>
      </c>
      <c r="T161" s="3">
        <v>90.72</v>
      </c>
      <c r="U161" s="3">
        <v>136.08000000000001</v>
      </c>
      <c r="V161" s="70" t="s">
        <v>593</v>
      </c>
      <c r="W161" s="3" t="s">
        <v>343</v>
      </c>
      <c r="X161" s="3" t="s">
        <v>337</v>
      </c>
      <c r="Y161" s="3" t="s">
        <v>337</v>
      </c>
    </row>
    <row r="162" spans="1:25" hidden="1" x14ac:dyDescent="0.2">
      <c r="A162" s="83" t="str">
        <f t="shared" si="2"/>
        <v>新蔡水韵天街托盘纸</v>
      </c>
      <c r="B162" s="3" t="s">
        <v>703</v>
      </c>
      <c r="C162" s="84">
        <v>44377</v>
      </c>
      <c r="D162" s="3" t="s">
        <v>361</v>
      </c>
      <c r="E162" s="3" t="s">
        <v>337</v>
      </c>
      <c r="F162" s="3" t="s">
        <v>337</v>
      </c>
      <c r="G162" s="70" t="s">
        <v>29</v>
      </c>
      <c r="H162" s="3" t="s">
        <v>113</v>
      </c>
      <c r="I162" s="3" t="s">
        <v>113</v>
      </c>
      <c r="J162" s="3">
        <v>3000</v>
      </c>
      <c r="K162" s="3">
        <v>0</v>
      </c>
      <c r="L162" s="3">
        <v>0</v>
      </c>
      <c r="M162" s="3">
        <v>1000</v>
      </c>
      <c r="N162" s="3">
        <v>3000</v>
      </c>
      <c r="O162" s="70">
        <v>-2000</v>
      </c>
      <c r="P162" s="3">
        <v>0</v>
      </c>
      <c r="Q162" s="3">
        <v>0</v>
      </c>
      <c r="R162" s="3">
        <v>4.5359999999999998E-2</v>
      </c>
      <c r="S162" s="3">
        <v>-90.72</v>
      </c>
      <c r="T162" s="3">
        <v>45.36</v>
      </c>
      <c r="U162" s="3">
        <v>136.08000000000001</v>
      </c>
      <c r="V162" s="70" t="s">
        <v>335</v>
      </c>
      <c r="W162" s="3" t="s">
        <v>343</v>
      </c>
      <c r="X162" s="3" t="s">
        <v>337</v>
      </c>
      <c r="Y162" s="3" t="s">
        <v>337</v>
      </c>
    </row>
    <row r="163" spans="1:25" hidden="1" x14ac:dyDescent="0.2">
      <c r="A163" s="83" t="str">
        <f t="shared" si="2"/>
        <v>华山龙源托盘纸</v>
      </c>
      <c r="B163" s="3" t="s">
        <v>705</v>
      </c>
      <c r="C163" s="84">
        <v>44377</v>
      </c>
      <c r="D163" s="3" t="s">
        <v>361</v>
      </c>
      <c r="E163" s="3" t="s">
        <v>337</v>
      </c>
      <c r="F163" s="3" t="s">
        <v>337</v>
      </c>
      <c r="G163" s="70" t="s">
        <v>29</v>
      </c>
      <c r="H163" s="3" t="s">
        <v>113</v>
      </c>
      <c r="I163" s="3" t="s">
        <v>113</v>
      </c>
      <c r="J163" s="3">
        <v>1882</v>
      </c>
      <c r="K163" s="3">
        <v>0</v>
      </c>
      <c r="L163" s="3">
        <v>0</v>
      </c>
      <c r="M163" s="3">
        <v>1882</v>
      </c>
      <c r="N163" s="3">
        <v>1882</v>
      </c>
      <c r="O163" s="70">
        <v>0</v>
      </c>
      <c r="P163" s="3">
        <v>0</v>
      </c>
      <c r="Q163" s="3">
        <v>0</v>
      </c>
      <c r="R163" s="3">
        <v>4.5360999999999999E-2</v>
      </c>
      <c r="S163" s="3">
        <v>0</v>
      </c>
      <c r="T163" s="3">
        <v>85.37</v>
      </c>
      <c r="U163" s="3">
        <v>85.37</v>
      </c>
      <c r="V163" s="70" t="s">
        <v>643</v>
      </c>
      <c r="W163" s="3" t="s">
        <v>343</v>
      </c>
      <c r="X163" s="3" t="s">
        <v>337</v>
      </c>
      <c r="Y163" s="3" t="s">
        <v>337</v>
      </c>
    </row>
    <row r="164" spans="1:25" hidden="1" x14ac:dyDescent="0.2">
      <c r="A164" s="83" t="str">
        <f t="shared" si="2"/>
        <v>郑州瀚海海尚托盘纸</v>
      </c>
      <c r="B164" s="3" t="s">
        <v>706</v>
      </c>
      <c r="C164" s="84">
        <v>44377</v>
      </c>
      <c r="D164" s="3" t="s">
        <v>361</v>
      </c>
      <c r="E164" s="3" t="s">
        <v>337</v>
      </c>
      <c r="F164" s="3" t="s">
        <v>337</v>
      </c>
      <c r="G164" s="70" t="s">
        <v>29</v>
      </c>
      <c r="H164" s="3" t="s">
        <v>113</v>
      </c>
      <c r="I164" s="3" t="s">
        <v>113</v>
      </c>
      <c r="J164" s="3">
        <v>2300</v>
      </c>
      <c r="K164" s="3">
        <v>0</v>
      </c>
      <c r="L164" s="3">
        <v>0</v>
      </c>
      <c r="M164" s="3">
        <v>2500</v>
      </c>
      <c r="N164" s="3">
        <v>2300</v>
      </c>
      <c r="O164" s="70">
        <v>200</v>
      </c>
      <c r="P164" s="3">
        <v>0</v>
      </c>
      <c r="Q164" s="3">
        <v>0</v>
      </c>
      <c r="R164" s="3">
        <v>4.5359999999999998E-2</v>
      </c>
      <c r="S164" s="3">
        <v>9.07</v>
      </c>
      <c r="T164" s="3">
        <v>113.4</v>
      </c>
      <c r="U164" s="3">
        <v>104.33</v>
      </c>
      <c r="V164" s="70" t="s">
        <v>333</v>
      </c>
      <c r="W164" s="3" t="s">
        <v>343</v>
      </c>
      <c r="X164" s="3" t="s">
        <v>337</v>
      </c>
      <c r="Y164" s="3" t="s">
        <v>337</v>
      </c>
    </row>
    <row r="165" spans="1:25" hidden="1" x14ac:dyDescent="0.2">
      <c r="A165" s="83" t="str">
        <f t="shared" si="2"/>
        <v>郑州铁英街托盘纸</v>
      </c>
      <c r="B165" s="3" t="s">
        <v>707</v>
      </c>
      <c r="C165" s="84">
        <v>44377</v>
      </c>
      <c r="D165" s="3" t="s">
        <v>361</v>
      </c>
      <c r="E165" s="3" t="s">
        <v>337</v>
      </c>
      <c r="F165" s="3" t="s">
        <v>337</v>
      </c>
      <c r="G165" s="70" t="s">
        <v>29</v>
      </c>
      <c r="H165" s="3" t="s">
        <v>113</v>
      </c>
      <c r="I165" s="3" t="s">
        <v>113</v>
      </c>
      <c r="J165" s="3">
        <v>650</v>
      </c>
      <c r="K165" s="3">
        <v>0</v>
      </c>
      <c r="L165" s="3">
        <v>0</v>
      </c>
      <c r="M165" s="3">
        <v>1135</v>
      </c>
      <c r="N165" s="3">
        <v>650</v>
      </c>
      <c r="O165" s="70">
        <v>485</v>
      </c>
      <c r="P165" s="3">
        <v>0</v>
      </c>
      <c r="Q165" s="3">
        <v>0</v>
      </c>
      <c r="R165" s="3">
        <v>4.5357000000000001E-2</v>
      </c>
      <c r="S165" s="3">
        <v>22</v>
      </c>
      <c r="T165" s="3">
        <v>51.48</v>
      </c>
      <c r="U165" s="3">
        <v>29.48</v>
      </c>
      <c r="V165" s="70" t="s">
        <v>592</v>
      </c>
      <c r="W165" s="3" t="s">
        <v>343</v>
      </c>
      <c r="X165" s="3" t="s">
        <v>337</v>
      </c>
      <c r="Y165" s="3" t="s">
        <v>337</v>
      </c>
    </row>
    <row r="166" spans="1:25" hidden="1" x14ac:dyDescent="0.2">
      <c r="A166" s="83" t="str">
        <f t="shared" si="2"/>
        <v>郑州西悦城托盘纸</v>
      </c>
      <c r="B166" s="3" t="s">
        <v>708</v>
      </c>
      <c r="C166" s="84">
        <v>44377</v>
      </c>
      <c r="D166" s="3" t="s">
        <v>361</v>
      </c>
      <c r="E166" s="3" t="s">
        <v>337</v>
      </c>
      <c r="F166" s="3" t="s">
        <v>337</v>
      </c>
      <c r="G166" s="70" t="s">
        <v>29</v>
      </c>
      <c r="H166" s="3" t="s">
        <v>113</v>
      </c>
      <c r="I166" s="3" t="s">
        <v>113</v>
      </c>
      <c r="J166" s="3">
        <v>2000</v>
      </c>
      <c r="K166" s="3">
        <v>0</v>
      </c>
      <c r="L166" s="3">
        <v>0</v>
      </c>
      <c r="M166" s="3">
        <v>2000</v>
      </c>
      <c r="N166" s="3">
        <v>2000</v>
      </c>
      <c r="O166" s="70">
        <v>0</v>
      </c>
      <c r="P166" s="3">
        <v>0</v>
      </c>
      <c r="Q166" s="3">
        <v>0</v>
      </c>
      <c r="R166" s="3">
        <v>4.5359999999999998E-2</v>
      </c>
      <c r="S166" s="3">
        <v>0</v>
      </c>
      <c r="T166" s="3">
        <v>90.72</v>
      </c>
      <c r="U166" s="3">
        <v>90.72</v>
      </c>
      <c r="V166" s="70" t="s">
        <v>332</v>
      </c>
      <c r="W166" s="3" t="s">
        <v>343</v>
      </c>
      <c r="X166" s="3" t="s">
        <v>337</v>
      </c>
      <c r="Y166" s="3" t="s">
        <v>337</v>
      </c>
    </row>
    <row r="167" spans="1:25" hidden="1" x14ac:dyDescent="0.2">
      <c r="A167" s="83" t="str">
        <f t="shared" si="2"/>
        <v>方城锦城国际托盘纸</v>
      </c>
      <c r="B167" s="3" t="s">
        <v>712</v>
      </c>
      <c r="C167" s="84">
        <v>44377</v>
      </c>
      <c r="D167" s="3" t="s">
        <v>361</v>
      </c>
      <c r="E167" s="3" t="s">
        <v>337</v>
      </c>
      <c r="F167" s="3" t="s">
        <v>337</v>
      </c>
      <c r="G167" s="70" t="s">
        <v>29</v>
      </c>
      <c r="H167" s="3" t="s">
        <v>113</v>
      </c>
      <c r="I167" s="3" t="s">
        <v>113</v>
      </c>
      <c r="J167" s="3">
        <v>4000</v>
      </c>
      <c r="K167" s="3">
        <v>0</v>
      </c>
      <c r="L167" s="3">
        <v>0</v>
      </c>
      <c r="M167" s="3">
        <v>4000</v>
      </c>
      <c r="N167" s="3">
        <v>4000</v>
      </c>
      <c r="O167" s="70">
        <v>0</v>
      </c>
      <c r="P167" s="3">
        <v>0</v>
      </c>
      <c r="Q167" s="3">
        <v>0</v>
      </c>
      <c r="R167" s="3">
        <v>4.5359999999999998E-2</v>
      </c>
      <c r="S167" s="3">
        <v>0</v>
      </c>
      <c r="T167" s="3">
        <v>181.44</v>
      </c>
      <c r="U167" s="3">
        <v>181.44</v>
      </c>
      <c r="V167" s="70" t="s">
        <v>594</v>
      </c>
      <c r="W167" s="3" t="s">
        <v>343</v>
      </c>
      <c r="X167" s="3" t="s">
        <v>337</v>
      </c>
      <c r="Y167" s="3" t="s">
        <v>337</v>
      </c>
    </row>
    <row r="168" spans="1:25" hidden="1" x14ac:dyDescent="0.2">
      <c r="A168" s="83" t="str">
        <f t="shared" si="2"/>
        <v>清丰凤鸣托盘纸</v>
      </c>
      <c r="B168" s="3" t="s">
        <v>713</v>
      </c>
      <c r="C168" s="84">
        <v>44377</v>
      </c>
      <c r="D168" s="3" t="s">
        <v>361</v>
      </c>
      <c r="E168" s="3" t="s">
        <v>337</v>
      </c>
      <c r="F168" s="3" t="s">
        <v>337</v>
      </c>
      <c r="G168" s="70" t="s">
        <v>29</v>
      </c>
      <c r="H168" s="3" t="s">
        <v>113</v>
      </c>
      <c r="I168" s="3" t="s">
        <v>113</v>
      </c>
      <c r="J168" s="3">
        <v>1020</v>
      </c>
      <c r="K168" s="3">
        <v>0</v>
      </c>
      <c r="L168" s="3">
        <v>0</v>
      </c>
      <c r="M168" s="3">
        <v>1020</v>
      </c>
      <c r="N168" s="3">
        <v>1020</v>
      </c>
      <c r="O168" s="70">
        <v>0</v>
      </c>
      <c r="P168" s="3">
        <v>0</v>
      </c>
      <c r="Q168" s="3">
        <v>0</v>
      </c>
      <c r="R168" s="3">
        <v>4.5363000000000001E-2</v>
      </c>
      <c r="S168" s="3">
        <v>0</v>
      </c>
      <c r="T168" s="3">
        <v>46.27</v>
      </c>
      <c r="U168" s="3">
        <v>46.27</v>
      </c>
      <c r="V168" s="70" t="s">
        <v>334</v>
      </c>
      <c r="W168" s="3" t="s">
        <v>343</v>
      </c>
      <c r="X168" s="3" t="s">
        <v>337</v>
      </c>
      <c r="Y168" s="3" t="s">
        <v>337</v>
      </c>
    </row>
    <row r="169" spans="1:25" hidden="1" x14ac:dyDescent="0.2">
      <c r="A169" s="83" t="str">
        <f t="shared" si="2"/>
        <v>郑州裕华托盘纸</v>
      </c>
      <c r="B169" s="3" t="s">
        <v>711</v>
      </c>
      <c r="C169" s="84">
        <v>44377</v>
      </c>
      <c r="D169" s="3" t="s">
        <v>361</v>
      </c>
      <c r="E169" s="3" t="s">
        <v>337</v>
      </c>
      <c r="F169" s="3" t="s">
        <v>337</v>
      </c>
      <c r="G169" s="70" t="s">
        <v>29</v>
      </c>
      <c r="H169" s="3" t="s">
        <v>113</v>
      </c>
      <c r="I169" s="3" t="s">
        <v>113</v>
      </c>
      <c r="J169" s="3">
        <v>1500</v>
      </c>
      <c r="K169" s="3">
        <v>0</v>
      </c>
      <c r="L169" s="3">
        <v>0</v>
      </c>
      <c r="M169" s="3">
        <v>1000</v>
      </c>
      <c r="N169" s="3">
        <v>1500</v>
      </c>
      <c r="O169" s="70">
        <v>-500</v>
      </c>
      <c r="P169" s="3">
        <v>0</v>
      </c>
      <c r="Q169" s="3">
        <v>0</v>
      </c>
      <c r="R169" s="3">
        <v>4.5359999999999998E-2</v>
      </c>
      <c r="S169" s="3">
        <v>-22.68</v>
      </c>
      <c r="T169" s="3">
        <v>45.36</v>
      </c>
      <c r="U169" s="3">
        <v>68.040000000000006</v>
      </c>
      <c r="V169" s="70" t="s">
        <v>641</v>
      </c>
      <c r="W169" s="3" t="s">
        <v>343</v>
      </c>
      <c r="X169" s="3" t="s">
        <v>337</v>
      </c>
      <c r="Y169" s="3" t="s">
        <v>337</v>
      </c>
    </row>
    <row r="170" spans="1:25" hidden="1" x14ac:dyDescent="0.2">
      <c r="A170" s="83" t="str">
        <f t="shared" si="2"/>
        <v>滑县滑台托盘纸</v>
      </c>
      <c r="B170" s="3" t="s">
        <v>710</v>
      </c>
      <c r="C170" s="84">
        <v>44377</v>
      </c>
      <c r="D170" s="3" t="s">
        <v>361</v>
      </c>
      <c r="E170" s="3" t="s">
        <v>337</v>
      </c>
      <c r="F170" s="3" t="s">
        <v>337</v>
      </c>
      <c r="G170" s="70" t="s">
        <v>29</v>
      </c>
      <c r="H170" s="3" t="s">
        <v>113</v>
      </c>
      <c r="I170" s="3" t="s">
        <v>113</v>
      </c>
      <c r="J170" s="3">
        <v>2000</v>
      </c>
      <c r="K170" s="3">
        <v>0</v>
      </c>
      <c r="L170" s="3">
        <v>0</v>
      </c>
      <c r="M170" s="3">
        <v>2000</v>
      </c>
      <c r="N170" s="3">
        <v>2000</v>
      </c>
      <c r="O170" s="70">
        <v>0</v>
      </c>
      <c r="P170" s="3">
        <v>0</v>
      </c>
      <c r="Q170" s="3">
        <v>0</v>
      </c>
      <c r="R170" s="3">
        <v>4.5359999999999998E-2</v>
      </c>
      <c r="S170" s="3">
        <v>0</v>
      </c>
      <c r="T170" s="3">
        <v>90.72</v>
      </c>
      <c r="U170" s="3">
        <v>90.72</v>
      </c>
      <c r="V170" s="70" t="s">
        <v>639</v>
      </c>
      <c r="W170" s="3" t="s">
        <v>343</v>
      </c>
      <c r="X170" s="3" t="s">
        <v>337</v>
      </c>
      <c r="Y170" s="3" t="s">
        <v>337</v>
      </c>
    </row>
    <row r="171" spans="1:25" hidden="1" x14ac:dyDescent="0.2">
      <c r="A171" s="83" t="str">
        <f t="shared" si="2"/>
        <v>郑州盛华里托盘纸</v>
      </c>
      <c r="B171" s="3" t="s">
        <v>709</v>
      </c>
      <c r="C171" s="84">
        <v>44377</v>
      </c>
      <c r="D171" s="3" t="s">
        <v>361</v>
      </c>
      <c r="E171" s="3" t="s">
        <v>337</v>
      </c>
      <c r="F171" s="3" t="s">
        <v>337</v>
      </c>
      <c r="G171" s="70" t="s">
        <v>29</v>
      </c>
      <c r="H171" s="3" t="s">
        <v>113</v>
      </c>
      <c r="I171" s="3" t="s">
        <v>113</v>
      </c>
      <c r="J171" s="3">
        <v>3000</v>
      </c>
      <c r="K171" s="3">
        <v>0</v>
      </c>
      <c r="L171" s="3">
        <v>0</v>
      </c>
      <c r="M171" s="3">
        <v>3000</v>
      </c>
      <c r="N171" s="3">
        <v>3000</v>
      </c>
      <c r="O171" s="70">
        <v>0</v>
      </c>
      <c r="P171" s="3">
        <v>0</v>
      </c>
      <c r="Q171" s="3">
        <v>0</v>
      </c>
      <c r="R171" s="3">
        <v>4.5359999999999998E-2</v>
      </c>
      <c r="S171" s="3">
        <v>0</v>
      </c>
      <c r="T171" s="3">
        <v>136.08000000000001</v>
      </c>
      <c r="U171" s="3">
        <v>136.08000000000001</v>
      </c>
      <c r="V171" s="70" t="s">
        <v>637</v>
      </c>
      <c r="W171" s="3" t="s">
        <v>343</v>
      </c>
      <c r="X171" s="3" t="s">
        <v>337</v>
      </c>
      <c r="Y171" s="3" t="s">
        <v>337</v>
      </c>
    </row>
    <row r="172" spans="1:25" hidden="1" x14ac:dyDescent="0.2">
      <c r="A172" s="83" t="str">
        <f t="shared" si="2"/>
        <v>郑州政六街托盘纸</v>
      </c>
      <c r="B172" s="3" t="s">
        <v>714</v>
      </c>
      <c r="C172" s="84">
        <v>44377</v>
      </c>
      <c r="D172" s="3" t="s">
        <v>361</v>
      </c>
      <c r="E172" s="3" t="s">
        <v>337</v>
      </c>
      <c r="F172" s="3" t="s">
        <v>337</v>
      </c>
      <c r="G172" s="70" t="s">
        <v>29</v>
      </c>
      <c r="H172" s="3" t="s">
        <v>113</v>
      </c>
      <c r="I172" s="3" t="s">
        <v>113</v>
      </c>
      <c r="J172" s="3">
        <v>3040</v>
      </c>
      <c r="K172" s="3">
        <v>0</v>
      </c>
      <c r="L172" s="3">
        <v>0</v>
      </c>
      <c r="M172" s="3">
        <v>1475</v>
      </c>
      <c r="N172" s="3">
        <v>3040</v>
      </c>
      <c r="O172" s="70">
        <v>-1565</v>
      </c>
      <c r="P172" s="3">
        <v>0</v>
      </c>
      <c r="Q172" s="3">
        <v>0</v>
      </c>
      <c r="R172" s="3">
        <v>4.5356E-2</v>
      </c>
      <c r="S172" s="3">
        <v>-70.98</v>
      </c>
      <c r="T172" s="3">
        <v>66.900000000000006</v>
      </c>
      <c r="U172" s="3">
        <v>137.88</v>
      </c>
      <c r="V172" s="70" t="s">
        <v>591</v>
      </c>
      <c r="W172" s="3" t="s">
        <v>343</v>
      </c>
      <c r="X172" s="3" t="s">
        <v>337</v>
      </c>
      <c r="Y172" s="3" t="s">
        <v>337</v>
      </c>
    </row>
    <row r="173" spans="1:25" hidden="1" x14ac:dyDescent="0.2">
      <c r="A173" s="83" t="str">
        <f t="shared" si="2"/>
        <v>郑州政六街打包袋</v>
      </c>
      <c r="B173" s="3" t="s">
        <v>714</v>
      </c>
      <c r="C173" s="84">
        <v>44377</v>
      </c>
      <c r="D173" s="3" t="s">
        <v>362</v>
      </c>
      <c r="E173" s="3" t="s">
        <v>337</v>
      </c>
      <c r="F173" s="3" t="s">
        <v>337</v>
      </c>
      <c r="G173" s="70" t="s">
        <v>77</v>
      </c>
      <c r="H173" s="3" t="s">
        <v>363</v>
      </c>
      <c r="I173" s="3" t="s">
        <v>339</v>
      </c>
      <c r="J173" s="3">
        <v>0</v>
      </c>
      <c r="K173" s="3">
        <v>1000</v>
      </c>
      <c r="L173" s="3">
        <v>0</v>
      </c>
      <c r="M173" s="3">
        <v>400</v>
      </c>
      <c r="N173" s="3">
        <v>1000</v>
      </c>
      <c r="O173" s="70">
        <v>-600</v>
      </c>
      <c r="P173" s="3">
        <v>0</v>
      </c>
      <c r="Q173" s="3">
        <v>0</v>
      </c>
      <c r="R173" s="3">
        <v>6.6400000000000001E-2</v>
      </c>
      <c r="S173" s="3">
        <v>-39.840000000000003</v>
      </c>
      <c r="T173" s="3">
        <v>26.56</v>
      </c>
      <c r="U173" s="3">
        <v>66.400000000000006</v>
      </c>
      <c r="V173" s="70" t="s">
        <v>591</v>
      </c>
      <c r="W173" s="3" t="s">
        <v>343</v>
      </c>
      <c r="X173" s="3" t="s">
        <v>337</v>
      </c>
      <c r="Y173" s="3" t="s">
        <v>337</v>
      </c>
    </row>
    <row r="174" spans="1:25" hidden="1" x14ac:dyDescent="0.2">
      <c r="A174" s="83" t="str">
        <f t="shared" si="2"/>
        <v>滑县滑台打包袋</v>
      </c>
      <c r="B174" s="3" t="s">
        <v>710</v>
      </c>
      <c r="C174" s="84">
        <v>44377</v>
      </c>
      <c r="D174" s="3" t="s">
        <v>362</v>
      </c>
      <c r="E174" s="3" t="s">
        <v>337</v>
      </c>
      <c r="F174" s="3" t="s">
        <v>337</v>
      </c>
      <c r="G174" s="70" t="s">
        <v>77</v>
      </c>
      <c r="H174" s="3" t="s">
        <v>363</v>
      </c>
      <c r="I174" s="3" t="s">
        <v>339</v>
      </c>
      <c r="J174" s="3">
        <v>2700</v>
      </c>
      <c r="K174" s="3">
        <v>1500</v>
      </c>
      <c r="L174" s="3">
        <v>0</v>
      </c>
      <c r="M174" s="3">
        <v>2700</v>
      </c>
      <c r="N174" s="3">
        <v>4200</v>
      </c>
      <c r="O174" s="70">
        <v>-1500</v>
      </c>
      <c r="P174" s="3">
        <v>0</v>
      </c>
      <c r="Q174" s="3">
        <v>0</v>
      </c>
      <c r="R174" s="3">
        <v>6.4799999999999996E-2</v>
      </c>
      <c r="S174" s="3">
        <v>-97.2</v>
      </c>
      <c r="T174" s="3">
        <v>174.96</v>
      </c>
      <c r="U174" s="3">
        <v>272.16000000000003</v>
      </c>
      <c r="V174" s="70" t="s">
        <v>639</v>
      </c>
      <c r="W174" s="3" t="s">
        <v>343</v>
      </c>
      <c r="X174" s="3" t="s">
        <v>337</v>
      </c>
      <c r="Y174" s="3" t="s">
        <v>337</v>
      </c>
    </row>
    <row r="175" spans="1:25" hidden="1" x14ac:dyDescent="0.2">
      <c r="A175" s="83" t="str">
        <f t="shared" si="2"/>
        <v>郑州裕华打包袋</v>
      </c>
      <c r="B175" s="3" t="s">
        <v>711</v>
      </c>
      <c r="C175" s="84">
        <v>44377</v>
      </c>
      <c r="D175" s="3" t="s">
        <v>362</v>
      </c>
      <c r="E175" s="3" t="s">
        <v>337</v>
      </c>
      <c r="F175" s="3" t="s">
        <v>337</v>
      </c>
      <c r="G175" s="70" t="s">
        <v>77</v>
      </c>
      <c r="H175" s="3" t="s">
        <v>363</v>
      </c>
      <c r="I175" s="3" t="s">
        <v>339</v>
      </c>
      <c r="J175" s="3">
        <v>0</v>
      </c>
      <c r="K175" s="3">
        <v>1000</v>
      </c>
      <c r="L175" s="3">
        <v>0</v>
      </c>
      <c r="M175" s="3">
        <v>2000</v>
      </c>
      <c r="N175" s="3">
        <v>1000</v>
      </c>
      <c r="O175" s="70">
        <v>1000</v>
      </c>
      <c r="P175" s="3">
        <v>0</v>
      </c>
      <c r="Q175" s="3">
        <v>0</v>
      </c>
      <c r="R175" s="3">
        <v>6.4799999999999996E-2</v>
      </c>
      <c r="S175" s="3">
        <v>64.8</v>
      </c>
      <c r="T175" s="3">
        <v>129.6</v>
      </c>
      <c r="U175" s="3">
        <v>64.8</v>
      </c>
      <c r="V175" s="70" t="s">
        <v>641</v>
      </c>
      <c r="W175" s="3" t="s">
        <v>343</v>
      </c>
      <c r="X175" s="3" t="s">
        <v>337</v>
      </c>
      <c r="Y175" s="3" t="s">
        <v>337</v>
      </c>
    </row>
    <row r="176" spans="1:25" hidden="1" x14ac:dyDescent="0.2">
      <c r="A176" s="83" t="str">
        <f t="shared" si="2"/>
        <v>方城锦城国际打包袋</v>
      </c>
      <c r="B176" s="3" t="s">
        <v>712</v>
      </c>
      <c r="C176" s="84">
        <v>44377</v>
      </c>
      <c r="D176" s="3" t="s">
        <v>362</v>
      </c>
      <c r="E176" s="3" t="s">
        <v>337</v>
      </c>
      <c r="F176" s="3" t="s">
        <v>337</v>
      </c>
      <c r="G176" s="70" t="s">
        <v>77</v>
      </c>
      <c r="H176" s="3" t="s">
        <v>363</v>
      </c>
      <c r="I176" s="3" t="s">
        <v>339</v>
      </c>
      <c r="J176" s="3">
        <v>564</v>
      </c>
      <c r="K176" s="3">
        <v>2500</v>
      </c>
      <c r="L176" s="3">
        <v>0</v>
      </c>
      <c r="M176" s="3">
        <v>700</v>
      </c>
      <c r="N176" s="3">
        <v>3064</v>
      </c>
      <c r="O176" s="70">
        <v>-2364</v>
      </c>
      <c r="P176" s="3">
        <v>0</v>
      </c>
      <c r="Q176" s="3">
        <v>0</v>
      </c>
      <c r="R176" s="3">
        <v>6.4370999999999998E-2</v>
      </c>
      <c r="S176" s="3">
        <v>-152.16999999999999</v>
      </c>
      <c r="T176" s="3">
        <v>45.06</v>
      </c>
      <c r="U176" s="3">
        <v>197.23</v>
      </c>
      <c r="V176" s="70" t="s">
        <v>594</v>
      </c>
      <c r="W176" s="3" t="s">
        <v>343</v>
      </c>
      <c r="X176" s="3" t="s">
        <v>337</v>
      </c>
      <c r="Y176" s="3" t="s">
        <v>337</v>
      </c>
    </row>
    <row r="177" spans="1:25" hidden="1" x14ac:dyDescent="0.2">
      <c r="A177" s="83" t="str">
        <f t="shared" si="2"/>
        <v>清丰凤鸣打包袋</v>
      </c>
      <c r="B177" s="3" t="s">
        <v>713</v>
      </c>
      <c r="C177" s="84">
        <v>44377</v>
      </c>
      <c r="D177" s="3" t="s">
        <v>362</v>
      </c>
      <c r="E177" s="3" t="s">
        <v>337</v>
      </c>
      <c r="F177" s="3" t="s">
        <v>337</v>
      </c>
      <c r="G177" s="70" t="s">
        <v>77</v>
      </c>
      <c r="H177" s="3" t="s">
        <v>363</v>
      </c>
      <c r="I177" s="3" t="s">
        <v>339</v>
      </c>
      <c r="J177" s="3">
        <v>2730</v>
      </c>
      <c r="K177" s="3">
        <v>0</v>
      </c>
      <c r="L177" s="3">
        <v>0</v>
      </c>
      <c r="M177" s="3">
        <v>1120</v>
      </c>
      <c r="N177" s="3">
        <v>2730</v>
      </c>
      <c r="O177" s="70">
        <v>-1610</v>
      </c>
      <c r="P177" s="3">
        <v>0</v>
      </c>
      <c r="Q177" s="3">
        <v>0</v>
      </c>
      <c r="R177" s="3">
        <v>6.25E-2</v>
      </c>
      <c r="S177" s="3">
        <v>-100.63</v>
      </c>
      <c r="T177" s="3">
        <v>70</v>
      </c>
      <c r="U177" s="3">
        <v>170.63</v>
      </c>
      <c r="V177" s="70" t="s">
        <v>334</v>
      </c>
      <c r="W177" s="3" t="s">
        <v>343</v>
      </c>
      <c r="X177" s="3" t="s">
        <v>337</v>
      </c>
      <c r="Y177" s="3" t="s">
        <v>337</v>
      </c>
    </row>
    <row r="178" spans="1:25" hidden="1" x14ac:dyDescent="0.2">
      <c r="A178" s="83" t="str">
        <f t="shared" si="2"/>
        <v>郑州西悦城打包袋</v>
      </c>
      <c r="B178" s="3" t="s">
        <v>708</v>
      </c>
      <c r="C178" s="84">
        <v>44377</v>
      </c>
      <c r="D178" s="3" t="s">
        <v>362</v>
      </c>
      <c r="E178" s="3" t="s">
        <v>337</v>
      </c>
      <c r="F178" s="3" t="s">
        <v>337</v>
      </c>
      <c r="G178" s="70" t="s">
        <v>77</v>
      </c>
      <c r="H178" s="3" t="s">
        <v>363</v>
      </c>
      <c r="I178" s="3" t="s">
        <v>339</v>
      </c>
      <c r="J178" s="3">
        <v>2500</v>
      </c>
      <c r="K178" s="3">
        <v>0</v>
      </c>
      <c r="L178" s="3">
        <v>0</v>
      </c>
      <c r="M178" s="3">
        <v>1200</v>
      </c>
      <c r="N178" s="3">
        <v>2500</v>
      </c>
      <c r="O178" s="70">
        <v>-1300</v>
      </c>
      <c r="P178" s="3">
        <v>0</v>
      </c>
      <c r="Q178" s="3">
        <v>0</v>
      </c>
      <c r="R178" s="3">
        <v>6.25E-2</v>
      </c>
      <c r="S178" s="3">
        <v>-81.25</v>
      </c>
      <c r="T178" s="3">
        <v>75</v>
      </c>
      <c r="U178" s="3">
        <v>156.25</v>
      </c>
      <c r="V178" s="70" t="s">
        <v>332</v>
      </c>
      <c r="W178" s="3" t="s">
        <v>343</v>
      </c>
      <c r="X178" s="3" t="s">
        <v>337</v>
      </c>
      <c r="Y178" s="3" t="s">
        <v>337</v>
      </c>
    </row>
    <row r="179" spans="1:25" hidden="1" x14ac:dyDescent="0.2">
      <c r="A179" s="83" t="str">
        <f t="shared" si="2"/>
        <v>新蔡水韵天街打包袋</v>
      </c>
      <c r="B179" s="3" t="s">
        <v>703</v>
      </c>
      <c r="C179" s="84">
        <v>44377</v>
      </c>
      <c r="D179" s="3" t="s">
        <v>362</v>
      </c>
      <c r="E179" s="3" t="s">
        <v>337</v>
      </c>
      <c r="F179" s="3" t="s">
        <v>337</v>
      </c>
      <c r="G179" s="70" t="s">
        <v>77</v>
      </c>
      <c r="H179" s="3" t="s">
        <v>363</v>
      </c>
      <c r="I179" s="3" t="s">
        <v>339</v>
      </c>
      <c r="J179" s="3">
        <v>600</v>
      </c>
      <c r="K179" s="3">
        <v>500</v>
      </c>
      <c r="L179" s="3">
        <v>0</v>
      </c>
      <c r="M179" s="3">
        <v>300</v>
      </c>
      <c r="N179" s="3">
        <v>1100</v>
      </c>
      <c r="O179" s="70">
        <v>-800</v>
      </c>
      <c r="P179" s="3">
        <v>0</v>
      </c>
      <c r="Q179" s="3">
        <v>0</v>
      </c>
      <c r="R179" s="3">
        <v>6.3533000000000006E-2</v>
      </c>
      <c r="S179" s="3">
        <v>-50.83</v>
      </c>
      <c r="T179" s="3">
        <v>19.059999999999999</v>
      </c>
      <c r="U179" s="3">
        <v>69.89</v>
      </c>
      <c r="V179" s="70" t="s">
        <v>335</v>
      </c>
      <c r="W179" s="3" t="s">
        <v>343</v>
      </c>
      <c r="X179" s="3" t="s">
        <v>337</v>
      </c>
      <c r="Y179" s="3" t="s">
        <v>337</v>
      </c>
    </row>
    <row r="180" spans="1:25" hidden="1" x14ac:dyDescent="0.2">
      <c r="A180" s="83" t="str">
        <f t="shared" si="2"/>
        <v>新蔡水韵天街门店大号打包袋</v>
      </c>
      <c r="B180" s="3" t="s">
        <v>703</v>
      </c>
      <c r="C180" s="84">
        <v>44377</v>
      </c>
      <c r="D180" s="3" t="s">
        <v>364</v>
      </c>
      <c r="E180" s="3" t="s">
        <v>337</v>
      </c>
      <c r="F180" s="3" t="s">
        <v>337</v>
      </c>
      <c r="G180" s="70" t="s">
        <v>365</v>
      </c>
      <c r="H180" s="3" t="s">
        <v>343</v>
      </c>
      <c r="I180" s="3" t="s">
        <v>339</v>
      </c>
      <c r="J180" s="3">
        <v>100</v>
      </c>
      <c r="K180" s="3">
        <v>0</v>
      </c>
      <c r="L180" s="3">
        <v>0</v>
      </c>
      <c r="M180" s="3">
        <v>0</v>
      </c>
      <c r="N180" s="3">
        <v>100</v>
      </c>
      <c r="O180" s="70">
        <v>-100</v>
      </c>
      <c r="P180" s="3">
        <v>0</v>
      </c>
      <c r="Q180" s="3">
        <v>0</v>
      </c>
      <c r="R180" s="3">
        <v>0.11849999999999999</v>
      </c>
      <c r="S180" s="3">
        <v>-11.85</v>
      </c>
      <c r="T180" s="3">
        <v>0</v>
      </c>
      <c r="U180" s="3">
        <v>11.85</v>
      </c>
      <c r="V180" s="70" t="s">
        <v>335</v>
      </c>
      <c r="W180" s="3" t="s">
        <v>343</v>
      </c>
      <c r="X180" s="3" t="s">
        <v>337</v>
      </c>
      <c r="Y180" s="3" t="s">
        <v>337</v>
      </c>
    </row>
    <row r="181" spans="1:25" hidden="1" x14ac:dyDescent="0.2">
      <c r="A181" s="83" t="str">
        <f t="shared" si="2"/>
        <v>方城锦城国际门店大号打包袋</v>
      </c>
      <c r="B181" s="3" t="s">
        <v>712</v>
      </c>
      <c r="C181" s="84">
        <v>44377</v>
      </c>
      <c r="D181" s="3" t="s">
        <v>364</v>
      </c>
      <c r="E181" s="3" t="s">
        <v>337</v>
      </c>
      <c r="F181" s="3" t="s">
        <v>337</v>
      </c>
      <c r="G181" s="70" t="s">
        <v>365</v>
      </c>
      <c r="H181" s="3" t="s">
        <v>343</v>
      </c>
      <c r="I181" s="3" t="s">
        <v>339</v>
      </c>
      <c r="J181" s="3">
        <v>400</v>
      </c>
      <c r="K181" s="3">
        <v>0</v>
      </c>
      <c r="L181" s="3">
        <v>0</v>
      </c>
      <c r="M181" s="3">
        <v>400</v>
      </c>
      <c r="N181" s="3">
        <v>400</v>
      </c>
      <c r="O181" s="70">
        <v>0</v>
      </c>
      <c r="P181" s="3">
        <v>0</v>
      </c>
      <c r="Q181" s="3">
        <v>0</v>
      </c>
      <c r="R181" s="3">
        <v>0.11849999999999999</v>
      </c>
      <c r="S181" s="3">
        <v>0</v>
      </c>
      <c r="T181" s="3">
        <v>47.4</v>
      </c>
      <c r="U181" s="3">
        <v>47.4</v>
      </c>
      <c r="V181" s="70" t="s">
        <v>594</v>
      </c>
      <c r="W181" s="3" t="s">
        <v>343</v>
      </c>
      <c r="X181" s="3" t="s">
        <v>337</v>
      </c>
      <c r="Y181" s="3" t="s">
        <v>337</v>
      </c>
    </row>
    <row r="182" spans="1:25" hidden="1" x14ac:dyDescent="0.2">
      <c r="A182" s="83" t="str">
        <f t="shared" si="2"/>
        <v>清丰凤鸣门店大号打包袋</v>
      </c>
      <c r="B182" s="3" t="s">
        <v>713</v>
      </c>
      <c r="C182" s="84">
        <v>44377</v>
      </c>
      <c r="D182" s="3" t="s">
        <v>364</v>
      </c>
      <c r="E182" s="3" t="s">
        <v>337</v>
      </c>
      <c r="F182" s="3" t="s">
        <v>337</v>
      </c>
      <c r="G182" s="70" t="s">
        <v>365</v>
      </c>
      <c r="H182" s="3" t="s">
        <v>343</v>
      </c>
      <c r="I182" s="3" t="s">
        <v>339</v>
      </c>
      <c r="J182" s="3">
        <v>290</v>
      </c>
      <c r="K182" s="3">
        <v>0</v>
      </c>
      <c r="L182" s="3">
        <v>0</v>
      </c>
      <c r="M182" s="3">
        <v>263</v>
      </c>
      <c r="N182" s="3">
        <v>290</v>
      </c>
      <c r="O182" s="70">
        <v>-27</v>
      </c>
      <c r="P182" s="3">
        <v>0</v>
      </c>
      <c r="Q182" s="3">
        <v>0</v>
      </c>
      <c r="R182" s="3">
        <v>0.118479</v>
      </c>
      <c r="S182" s="3">
        <v>-3.2</v>
      </c>
      <c r="T182" s="3">
        <v>31.16</v>
      </c>
      <c r="U182" s="3">
        <v>34.36</v>
      </c>
      <c r="V182" s="70" t="s">
        <v>334</v>
      </c>
      <c r="W182" s="3" t="s">
        <v>343</v>
      </c>
      <c r="X182" s="3" t="s">
        <v>337</v>
      </c>
      <c r="Y182" s="3" t="s">
        <v>337</v>
      </c>
    </row>
    <row r="183" spans="1:25" hidden="1" x14ac:dyDescent="0.2">
      <c r="A183" s="83" t="str">
        <f t="shared" si="2"/>
        <v>清丰凤鸣单杯袋</v>
      </c>
      <c r="B183" s="3" t="s">
        <v>713</v>
      </c>
      <c r="C183" s="84">
        <v>44377</v>
      </c>
      <c r="D183" s="3" t="s">
        <v>366</v>
      </c>
      <c r="E183" s="3" t="s">
        <v>337</v>
      </c>
      <c r="F183" s="3" t="s">
        <v>337</v>
      </c>
      <c r="G183" s="70" t="s">
        <v>79</v>
      </c>
      <c r="H183" s="3" t="s">
        <v>363</v>
      </c>
      <c r="I183" s="3" t="s">
        <v>339</v>
      </c>
      <c r="J183" s="3">
        <v>3900</v>
      </c>
      <c r="K183" s="3">
        <v>0</v>
      </c>
      <c r="L183" s="3">
        <v>0</v>
      </c>
      <c r="M183" s="3">
        <v>3300</v>
      </c>
      <c r="N183" s="3">
        <v>3900</v>
      </c>
      <c r="O183" s="70">
        <v>-600</v>
      </c>
      <c r="P183" s="3">
        <v>0</v>
      </c>
      <c r="Q183" s="3">
        <v>0</v>
      </c>
      <c r="R183" s="3">
        <v>3.8100000000000002E-2</v>
      </c>
      <c r="S183" s="3">
        <v>-22.86</v>
      </c>
      <c r="T183" s="3">
        <v>125.73</v>
      </c>
      <c r="U183" s="3">
        <v>148.59</v>
      </c>
      <c r="V183" s="70" t="s">
        <v>334</v>
      </c>
      <c r="W183" s="3" t="s">
        <v>343</v>
      </c>
      <c r="X183" s="3" t="s">
        <v>337</v>
      </c>
      <c r="Y183" s="3" t="s">
        <v>337</v>
      </c>
    </row>
    <row r="184" spans="1:25" hidden="1" x14ac:dyDescent="0.2">
      <c r="A184" s="83" t="str">
        <f t="shared" si="2"/>
        <v>方城锦城国际单杯袋</v>
      </c>
      <c r="B184" s="3" t="s">
        <v>712</v>
      </c>
      <c r="C184" s="84">
        <v>44377</v>
      </c>
      <c r="D184" s="3" t="s">
        <v>366</v>
      </c>
      <c r="E184" s="3" t="s">
        <v>337</v>
      </c>
      <c r="F184" s="3" t="s">
        <v>337</v>
      </c>
      <c r="G184" s="70" t="s">
        <v>79</v>
      </c>
      <c r="H184" s="3" t="s">
        <v>363</v>
      </c>
      <c r="I184" s="3" t="s">
        <v>339</v>
      </c>
      <c r="J184" s="3">
        <v>1321</v>
      </c>
      <c r="K184" s="3">
        <v>1000</v>
      </c>
      <c r="L184" s="3">
        <v>0</v>
      </c>
      <c r="M184" s="3">
        <v>1120</v>
      </c>
      <c r="N184" s="3">
        <v>2321</v>
      </c>
      <c r="O184" s="70">
        <v>-1201</v>
      </c>
      <c r="P184" s="3">
        <v>0</v>
      </c>
      <c r="Q184" s="3">
        <v>0</v>
      </c>
      <c r="R184" s="3">
        <v>3.8098E-2</v>
      </c>
      <c r="S184" s="3">
        <v>-45.76</v>
      </c>
      <c r="T184" s="3">
        <v>42.67</v>
      </c>
      <c r="U184" s="3">
        <v>88.43</v>
      </c>
      <c r="V184" s="70" t="s">
        <v>594</v>
      </c>
      <c r="W184" s="3" t="s">
        <v>343</v>
      </c>
      <c r="X184" s="3" t="s">
        <v>337</v>
      </c>
      <c r="Y184" s="3" t="s">
        <v>337</v>
      </c>
    </row>
    <row r="185" spans="1:25" hidden="1" x14ac:dyDescent="0.2">
      <c r="A185" s="83" t="str">
        <f t="shared" si="2"/>
        <v>郑州裕华单杯袋</v>
      </c>
      <c r="B185" s="3" t="s">
        <v>711</v>
      </c>
      <c r="C185" s="84">
        <v>44377</v>
      </c>
      <c r="D185" s="3" t="s">
        <v>366</v>
      </c>
      <c r="E185" s="3" t="s">
        <v>337</v>
      </c>
      <c r="F185" s="3" t="s">
        <v>337</v>
      </c>
      <c r="G185" s="70" t="s">
        <v>79</v>
      </c>
      <c r="H185" s="3" t="s">
        <v>363</v>
      </c>
      <c r="I185" s="3" t="s">
        <v>339</v>
      </c>
      <c r="J185" s="3">
        <v>3800</v>
      </c>
      <c r="K185" s="3">
        <v>0</v>
      </c>
      <c r="L185" s="3">
        <v>0</v>
      </c>
      <c r="M185" s="3">
        <v>1500</v>
      </c>
      <c r="N185" s="3">
        <v>3800</v>
      </c>
      <c r="O185" s="70">
        <v>-2300</v>
      </c>
      <c r="P185" s="3">
        <v>0</v>
      </c>
      <c r="Q185" s="3">
        <v>0</v>
      </c>
      <c r="R185" s="3">
        <v>3.8100000000000002E-2</v>
      </c>
      <c r="S185" s="3">
        <v>-87.63</v>
      </c>
      <c r="T185" s="3">
        <v>57.15</v>
      </c>
      <c r="U185" s="3">
        <v>144.78</v>
      </c>
      <c r="V185" s="70" t="s">
        <v>641</v>
      </c>
      <c r="W185" s="3" t="s">
        <v>343</v>
      </c>
      <c r="X185" s="3" t="s">
        <v>337</v>
      </c>
      <c r="Y185" s="3" t="s">
        <v>337</v>
      </c>
    </row>
    <row r="186" spans="1:25" hidden="1" x14ac:dyDescent="0.2">
      <c r="A186" s="83" t="str">
        <f t="shared" si="2"/>
        <v>滑县滑台单杯袋</v>
      </c>
      <c r="B186" s="3" t="s">
        <v>710</v>
      </c>
      <c r="C186" s="84">
        <v>44377</v>
      </c>
      <c r="D186" s="3" t="s">
        <v>366</v>
      </c>
      <c r="E186" s="3" t="s">
        <v>337</v>
      </c>
      <c r="F186" s="3" t="s">
        <v>337</v>
      </c>
      <c r="G186" s="70" t="s">
        <v>79</v>
      </c>
      <c r="H186" s="3" t="s">
        <v>363</v>
      </c>
      <c r="I186" s="3" t="s">
        <v>339</v>
      </c>
      <c r="J186" s="3">
        <v>4100</v>
      </c>
      <c r="K186" s="3">
        <v>0</v>
      </c>
      <c r="L186" s="3">
        <v>0</v>
      </c>
      <c r="M186" s="3">
        <v>1700</v>
      </c>
      <c r="N186" s="3">
        <v>4100</v>
      </c>
      <c r="O186" s="70">
        <v>-2400</v>
      </c>
      <c r="P186" s="3">
        <v>0</v>
      </c>
      <c r="Q186" s="3">
        <v>0</v>
      </c>
      <c r="R186" s="3">
        <v>3.8100000000000002E-2</v>
      </c>
      <c r="S186" s="3">
        <v>-91.44</v>
      </c>
      <c r="T186" s="3">
        <v>64.77</v>
      </c>
      <c r="U186" s="3">
        <v>156.21</v>
      </c>
      <c r="V186" s="70" t="s">
        <v>639</v>
      </c>
      <c r="W186" s="3" t="s">
        <v>343</v>
      </c>
      <c r="X186" s="3" t="s">
        <v>337</v>
      </c>
      <c r="Y186" s="3" t="s">
        <v>337</v>
      </c>
    </row>
    <row r="187" spans="1:25" hidden="1" x14ac:dyDescent="0.2">
      <c r="A187" s="83" t="str">
        <f t="shared" si="2"/>
        <v>郑州盛华里单杯袋</v>
      </c>
      <c r="B187" s="3" t="s">
        <v>709</v>
      </c>
      <c r="C187" s="84">
        <v>44377</v>
      </c>
      <c r="D187" s="3" t="s">
        <v>366</v>
      </c>
      <c r="E187" s="3" t="s">
        <v>337</v>
      </c>
      <c r="F187" s="3" t="s">
        <v>337</v>
      </c>
      <c r="G187" s="70" t="s">
        <v>79</v>
      </c>
      <c r="H187" s="3" t="s">
        <v>363</v>
      </c>
      <c r="I187" s="3" t="s">
        <v>339</v>
      </c>
      <c r="J187" s="3">
        <v>0</v>
      </c>
      <c r="K187" s="3">
        <v>2000</v>
      </c>
      <c r="L187" s="3">
        <v>0</v>
      </c>
      <c r="M187" s="3">
        <v>0</v>
      </c>
      <c r="N187" s="3">
        <v>2000</v>
      </c>
      <c r="O187" s="70">
        <v>-2000</v>
      </c>
      <c r="P187" s="3">
        <v>0</v>
      </c>
      <c r="Q187" s="3">
        <v>0</v>
      </c>
      <c r="R187" s="3">
        <v>3.8100000000000002E-2</v>
      </c>
      <c r="S187" s="3">
        <v>-76.2</v>
      </c>
      <c r="T187" s="3">
        <v>0</v>
      </c>
      <c r="U187" s="3">
        <v>76.2</v>
      </c>
      <c r="V187" s="70" t="s">
        <v>637</v>
      </c>
      <c r="W187" s="3" t="s">
        <v>343</v>
      </c>
      <c r="X187" s="3" t="s">
        <v>337</v>
      </c>
      <c r="Y187" s="3" t="s">
        <v>337</v>
      </c>
    </row>
    <row r="188" spans="1:25" hidden="1" x14ac:dyDescent="0.2">
      <c r="A188" s="83" t="str">
        <f t="shared" si="2"/>
        <v>新蔡水韵天街单杯袋</v>
      </c>
      <c r="B188" s="3" t="s">
        <v>703</v>
      </c>
      <c r="C188" s="84">
        <v>44377</v>
      </c>
      <c r="D188" s="3" t="s">
        <v>366</v>
      </c>
      <c r="E188" s="3" t="s">
        <v>337</v>
      </c>
      <c r="F188" s="3" t="s">
        <v>337</v>
      </c>
      <c r="G188" s="70" t="s">
        <v>79</v>
      </c>
      <c r="H188" s="3" t="s">
        <v>363</v>
      </c>
      <c r="I188" s="3" t="s">
        <v>339</v>
      </c>
      <c r="J188" s="3">
        <v>1000</v>
      </c>
      <c r="K188" s="3">
        <v>1000</v>
      </c>
      <c r="L188" s="3">
        <v>0</v>
      </c>
      <c r="M188" s="3">
        <v>200</v>
      </c>
      <c r="N188" s="3">
        <v>2000</v>
      </c>
      <c r="O188" s="70">
        <v>-1800</v>
      </c>
      <c r="P188" s="3">
        <v>0</v>
      </c>
      <c r="Q188" s="3">
        <v>0</v>
      </c>
      <c r="R188" s="3">
        <v>3.8100000000000002E-2</v>
      </c>
      <c r="S188" s="3">
        <v>-68.58</v>
      </c>
      <c r="T188" s="3">
        <v>7.62</v>
      </c>
      <c r="U188" s="3">
        <v>76.2</v>
      </c>
      <c r="V188" s="70" t="s">
        <v>335</v>
      </c>
      <c r="W188" s="3" t="s">
        <v>343</v>
      </c>
      <c r="X188" s="3" t="s">
        <v>337</v>
      </c>
      <c r="Y188" s="3" t="s">
        <v>337</v>
      </c>
    </row>
    <row r="189" spans="1:25" hidden="1" x14ac:dyDescent="0.2">
      <c r="A189" s="83" t="str">
        <f t="shared" si="2"/>
        <v>郑州康复中街单杯袋</v>
      </c>
      <c r="B189" s="3" t="s">
        <v>704</v>
      </c>
      <c r="C189" s="84">
        <v>44377</v>
      </c>
      <c r="D189" s="3" t="s">
        <v>366</v>
      </c>
      <c r="E189" s="3" t="s">
        <v>337</v>
      </c>
      <c r="F189" s="3" t="s">
        <v>337</v>
      </c>
      <c r="G189" s="70" t="s">
        <v>79</v>
      </c>
      <c r="H189" s="3" t="s">
        <v>363</v>
      </c>
      <c r="I189" s="3" t="s">
        <v>339</v>
      </c>
      <c r="J189" s="3">
        <v>659</v>
      </c>
      <c r="K189" s="3">
        <v>0</v>
      </c>
      <c r="L189" s="3">
        <v>0</v>
      </c>
      <c r="M189" s="3">
        <v>1000</v>
      </c>
      <c r="N189" s="3">
        <v>659</v>
      </c>
      <c r="O189" s="70">
        <v>341</v>
      </c>
      <c r="P189" s="3">
        <v>0</v>
      </c>
      <c r="Q189" s="3">
        <v>0</v>
      </c>
      <c r="R189" s="3">
        <v>3.8100000000000002E-2</v>
      </c>
      <c r="S189" s="3">
        <v>12.99</v>
      </c>
      <c r="T189" s="3">
        <v>38.1</v>
      </c>
      <c r="U189" s="3">
        <v>25.11</v>
      </c>
      <c r="V189" s="70" t="s">
        <v>593</v>
      </c>
      <c r="W189" s="3" t="s">
        <v>343</v>
      </c>
      <c r="X189" s="3" t="s">
        <v>337</v>
      </c>
      <c r="Y189" s="3" t="s">
        <v>337</v>
      </c>
    </row>
    <row r="190" spans="1:25" hidden="1" x14ac:dyDescent="0.2">
      <c r="A190" s="83" t="str">
        <f t="shared" si="2"/>
        <v>郑州西悦城单杯袋</v>
      </c>
      <c r="B190" s="3" t="s">
        <v>708</v>
      </c>
      <c r="C190" s="84">
        <v>44377</v>
      </c>
      <c r="D190" s="3" t="s">
        <v>366</v>
      </c>
      <c r="E190" s="3" t="s">
        <v>337</v>
      </c>
      <c r="F190" s="3" t="s">
        <v>337</v>
      </c>
      <c r="G190" s="70" t="s">
        <v>79</v>
      </c>
      <c r="H190" s="3" t="s">
        <v>363</v>
      </c>
      <c r="I190" s="3" t="s">
        <v>339</v>
      </c>
      <c r="J190" s="3">
        <v>2700</v>
      </c>
      <c r="K190" s="3">
        <v>0</v>
      </c>
      <c r="L190" s="3">
        <v>0</v>
      </c>
      <c r="M190" s="3">
        <v>300</v>
      </c>
      <c r="N190" s="3">
        <v>2700</v>
      </c>
      <c r="O190" s="70">
        <v>-2400</v>
      </c>
      <c r="P190" s="3">
        <v>0</v>
      </c>
      <c r="Q190" s="3">
        <v>0</v>
      </c>
      <c r="R190" s="3">
        <v>3.8100000000000002E-2</v>
      </c>
      <c r="S190" s="3">
        <v>-91.44</v>
      </c>
      <c r="T190" s="3">
        <v>11.43</v>
      </c>
      <c r="U190" s="3">
        <v>102.87</v>
      </c>
      <c r="V190" s="70" t="s">
        <v>332</v>
      </c>
      <c r="W190" s="3" t="s">
        <v>343</v>
      </c>
      <c r="X190" s="3" t="s">
        <v>337</v>
      </c>
      <c r="Y190" s="3" t="s">
        <v>337</v>
      </c>
    </row>
    <row r="191" spans="1:25" hidden="1" x14ac:dyDescent="0.2">
      <c r="A191" s="83" t="str">
        <f t="shared" si="2"/>
        <v>华山龙源单杯袋</v>
      </c>
      <c r="B191" s="3" t="s">
        <v>705</v>
      </c>
      <c r="C191" s="84">
        <v>44377</v>
      </c>
      <c r="D191" s="3" t="s">
        <v>366</v>
      </c>
      <c r="E191" s="3" t="s">
        <v>337</v>
      </c>
      <c r="F191" s="3" t="s">
        <v>337</v>
      </c>
      <c r="G191" s="70" t="s">
        <v>79</v>
      </c>
      <c r="H191" s="3" t="s">
        <v>363</v>
      </c>
      <c r="I191" s="3" t="s">
        <v>339</v>
      </c>
      <c r="J191" s="3">
        <v>1498</v>
      </c>
      <c r="K191" s="3">
        <v>0</v>
      </c>
      <c r="L191" s="3">
        <v>0</v>
      </c>
      <c r="M191" s="3">
        <v>800</v>
      </c>
      <c r="N191" s="3">
        <v>1498</v>
      </c>
      <c r="O191" s="70">
        <v>-698</v>
      </c>
      <c r="P191" s="3">
        <v>0</v>
      </c>
      <c r="Q191" s="3">
        <v>0</v>
      </c>
      <c r="R191" s="3">
        <v>3.8100000000000002E-2</v>
      </c>
      <c r="S191" s="3">
        <v>-26.59</v>
      </c>
      <c r="T191" s="3">
        <v>30.48</v>
      </c>
      <c r="U191" s="3">
        <v>57.07</v>
      </c>
      <c r="V191" s="70" t="s">
        <v>643</v>
      </c>
      <c r="W191" s="3" t="s">
        <v>343</v>
      </c>
      <c r="X191" s="3" t="s">
        <v>337</v>
      </c>
      <c r="Y191" s="3" t="s">
        <v>337</v>
      </c>
    </row>
    <row r="192" spans="1:25" hidden="1" x14ac:dyDescent="0.2">
      <c r="A192" s="83" t="str">
        <f t="shared" si="2"/>
        <v>郑州政六街单杯袋</v>
      </c>
      <c r="B192" s="3" t="s">
        <v>714</v>
      </c>
      <c r="C192" s="84">
        <v>44377</v>
      </c>
      <c r="D192" s="3" t="s">
        <v>366</v>
      </c>
      <c r="E192" s="3" t="s">
        <v>337</v>
      </c>
      <c r="F192" s="3" t="s">
        <v>337</v>
      </c>
      <c r="G192" s="70" t="s">
        <v>79</v>
      </c>
      <c r="H192" s="3" t="s">
        <v>363</v>
      </c>
      <c r="I192" s="3" t="s">
        <v>339</v>
      </c>
      <c r="J192" s="3">
        <v>2457</v>
      </c>
      <c r="K192" s="3">
        <v>3000</v>
      </c>
      <c r="L192" s="3">
        <v>0</v>
      </c>
      <c r="M192" s="3">
        <v>100</v>
      </c>
      <c r="N192" s="3">
        <v>5457</v>
      </c>
      <c r="O192" s="70">
        <v>-5357</v>
      </c>
      <c r="P192" s="3">
        <v>0</v>
      </c>
      <c r="Q192" s="3">
        <v>0</v>
      </c>
      <c r="R192" s="3">
        <v>3.8100000000000002E-2</v>
      </c>
      <c r="S192" s="3">
        <v>-204.1</v>
      </c>
      <c r="T192" s="3">
        <v>3.81</v>
      </c>
      <c r="U192" s="3">
        <v>207.91</v>
      </c>
      <c r="V192" s="70" t="s">
        <v>591</v>
      </c>
      <c r="W192" s="3" t="s">
        <v>343</v>
      </c>
      <c r="X192" s="3" t="s">
        <v>337</v>
      </c>
      <c r="Y192" s="3" t="s">
        <v>337</v>
      </c>
    </row>
    <row r="193" spans="1:25" hidden="1" x14ac:dyDescent="0.2">
      <c r="A193" s="83" t="str">
        <f t="shared" si="2"/>
        <v>华山龙源双杯袋</v>
      </c>
      <c r="B193" s="3" t="s">
        <v>705</v>
      </c>
      <c r="C193" s="84">
        <v>44377</v>
      </c>
      <c r="D193" s="3" t="s">
        <v>367</v>
      </c>
      <c r="E193" s="3" t="s">
        <v>337</v>
      </c>
      <c r="F193" s="3" t="s">
        <v>337</v>
      </c>
      <c r="G193" s="70" t="s">
        <v>78</v>
      </c>
      <c r="H193" s="3" t="s">
        <v>363</v>
      </c>
      <c r="I193" s="3" t="s">
        <v>339</v>
      </c>
      <c r="J193" s="3">
        <v>993</v>
      </c>
      <c r="K193" s="3">
        <v>0</v>
      </c>
      <c r="L193" s="3">
        <v>0</v>
      </c>
      <c r="M193" s="3">
        <v>800</v>
      </c>
      <c r="N193" s="3">
        <v>993</v>
      </c>
      <c r="O193" s="70">
        <v>-193</v>
      </c>
      <c r="P193" s="3">
        <v>0</v>
      </c>
      <c r="Q193" s="3">
        <v>0</v>
      </c>
      <c r="R193" s="3">
        <v>5.7149999999999999E-2</v>
      </c>
      <c r="S193" s="3">
        <v>-11.03</v>
      </c>
      <c r="T193" s="3">
        <v>45.72</v>
      </c>
      <c r="U193" s="3">
        <v>56.75</v>
      </c>
      <c r="V193" s="70" t="s">
        <v>643</v>
      </c>
      <c r="W193" s="3" t="s">
        <v>343</v>
      </c>
      <c r="X193" s="3" t="s">
        <v>337</v>
      </c>
      <c r="Y193" s="3" t="s">
        <v>337</v>
      </c>
    </row>
    <row r="194" spans="1:25" hidden="1" x14ac:dyDescent="0.2">
      <c r="A194" s="83" t="str">
        <f t="shared" si="2"/>
        <v>郑州西悦城双杯袋</v>
      </c>
      <c r="B194" s="3" t="s">
        <v>708</v>
      </c>
      <c r="C194" s="84">
        <v>44377</v>
      </c>
      <c r="D194" s="3" t="s">
        <v>367</v>
      </c>
      <c r="E194" s="3" t="s">
        <v>337</v>
      </c>
      <c r="F194" s="3" t="s">
        <v>337</v>
      </c>
      <c r="G194" s="70" t="s">
        <v>78</v>
      </c>
      <c r="H194" s="3" t="s">
        <v>363</v>
      </c>
      <c r="I194" s="3" t="s">
        <v>339</v>
      </c>
      <c r="J194" s="3">
        <v>3500</v>
      </c>
      <c r="K194" s="3">
        <v>0</v>
      </c>
      <c r="L194" s="3">
        <v>0</v>
      </c>
      <c r="M194" s="3">
        <v>2100</v>
      </c>
      <c r="N194" s="3">
        <v>3500</v>
      </c>
      <c r="O194" s="70">
        <v>-1400</v>
      </c>
      <c r="P194" s="3">
        <v>0</v>
      </c>
      <c r="Q194" s="3">
        <v>0</v>
      </c>
      <c r="R194" s="3">
        <v>5.7147999999999997E-2</v>
      </c>
      <c r="S194" s="3">
        <v>-80.010000000000005</v>
      </c>
      <c r="T194" s="3">
        <v>120.01</v>
      </c>
      <c r="U194" s="3">
        <v>200.02</v>
      </c>
      <c r="V194" s="70" t="s">
        <v>332</v>
      </c>
      <c r="W194" s="3" t="s">
        <v>343</v>
      </c>
      <c r="X194" s="3" t="s">
        <v>337</v>
      </c>
      <c r="Y194" s="3" t="s">
        <v>337</v>
      </c>
    </row>
    <row r="195" spans="1:25" hidden="1" x14ac:dyDescent="0.2">
      <c r="A195" s="83" t="str">
        <f t="shared" ref="A195:A258" si="3">V195&amp;G195</f>
        <v>郑州铁英街双杯袋</v>
      </c>
      <c r="B195" s="3" t="s">
        <v>707</v>
      </c>
      <c r="C195" s="84">
        <v>44377</v>
      </c>
      <c r="D195" s="3" t="s">
        <v>367</v>
      </c>
      <c r="E195" s="3" t="s">
        <v>337</v>
      </c>
      <c r="F195" s="3" t="s">
        <v>337</v>
      </c>
      <c r="G195" s="70" t="s">
        <v>78</v>
      </c>
      <c r="H195" s="3" t="s">
        <v>363</v>
      </c>
      <c r="I195" s="3" t="s">
        <v>339</v>
      </c>
      <c r="J195" s="3">
        <v>861</v>
      </c>
      <c r="K195" s="3">
        <v>0</v>
      </c>
      <c r="L195" s="3">
        <v>0</v>
      </c>
      <c r="M195" s="3">
        <v>817</v>
      </c>
      <c r="N195" s="3">
        <v>861</v>
      </c>
      <c r="O195" s="70">
        <v>-44</v>
      </c>
      <c r="P195" s="3">
        <v>0</v>
      </c>
      <c r="Q195" s="3">
        <v>0</v>
      </c>
      <c r="R195" s="3">
        <v>5.7160000000000002E-2</v>
      </c>
      <c r="S195" s="3">
        <v>-2.52</v>
      </c>
      <c r="T195" s="3">
        <v>46.7</v>
      </c>
      <c r="U195" s="3">
        <v>49.21</v>
      </c>
      <c r="V195" s="70" t="s">
        <v>592</v>
      </c>
      <c r="W195" s="3" t="s">
        <v>343</v>
      </c>
      <c r="X195" s="3" t="s">
        <v>337</v>
      </c>
      <c r="Y195" s="3" t="s">
        <v>337</v>
      </c>
    </row>
    <row r="196" spans="1:25" hidden="1" x14ac:dyDescent="0.2">
      <c r="A196" s="83" t="str">
        <f t="shared" si="3"/>
        <v>郑州康复中街双杯袋</v>
      </c>
      <c r="B196" s="3" t="s">
        <v>704</v>
      </c>
      <c r="C196" s="84">
        <v>44377</v>
      </c>
      <c r="D196" s="3" t="s">
        <v>367</v>
      </c>
      <c r="E196" s="3" t="s">
        <v>337</v>
      </c>
      <c r="F196" s="3" t="s">
        <v>337</v>
      </c>
      <c r="G196" s="70" t="s">
        <v>78</v>
      </c>
      <c r="H196" s="3" t="s">
        <v>363</v>
      </c>
      <c r="I196" s="3" t="s">
        <v>339</v>
      </c>
      <c r="J196" s="3">
        <v>800</v>
      </c>
      <c r="K196" s="3">
        <v>0</v>
      </c>
      <c r="L196" s="3">
        <v>0</v>
      </c>
      <c r="M196" s="3">
        <v>500</v>
      </c>
      <c r="N196" s="3">
        <v>800</v>
      </c>
      <c r="O196" s="70">
        <v>-300</v>
      </c>
      <c r="P196" s="3">
        <v>0</v>
      </c>
      <c r="Q196" s="3">
        <v>0</v>
      </c>
      <c r="R196" s="3">
        <v>5.7140000000000003E-2</v>
      </c>
      <c r="S196" s="3">
        <v>-17.14</v>
      </c>
      <c r="T196" s="3">
        <v>28.57</v>
      </c>
      <c r="U196" s="3">
        <v>45.71</v>
      </c>
      <c r="V196" s="70" t="s">
        <v>593</v>
      </c>
      <c r="W196" s="3" t="s">
        <v>343</v>
      </c>
      <c r="X196" s="3" t="s">
        <v>337</v>
      </c>
      <c r="Y196" s="3" t="s">
        <v>337</v>
      </c>
    </row>
    <row r="197" spans="1:25" hidden="1" x14ac:dyDescent="0.2">
      <c r="A197" s="83" t="str">
        <f t="shared" si="3"/>
        <v>新蔡水韵天街双杯袋</v>
      </c>
      <c r="B197" s="3" t="s">
        <v>703</v>
      </c>
      <c r="C197" s="84">
        <v>44377</v>
      </c>
      <c r="D197" s="3" t="s">
        <v>367</v>
      </c>
      <c r="E197" s="3" t="s">
        <v>337</v>
      </c>
      <c r="F197" s="3" t="s">
        <v>337</v>
      </c>
      <c r="G197" s="70" t="s">
        <v>78</v>
      </c>
      <c r="H197" s="3" t="s">
        <v>363</v>
      </c>
      <c r="I197" s="3" t="s">
        <v>339</v>
      </c>
      <c r="J197" s="3">
        <v>400</v>
      </c>
      <c r="K197" s="3">
        <v>0</v>
      </c>
      <c r="L197" s="3">
        <v>0</v>
      </c>
      <c r="M197" s="3">
        <v>100</v>
      </c>
      <c r="N197" s="3">
        <v>400</v>
      </c>
      <c r="O197" s="70">
        <v>-300</v>
      </c>
      <c r="P197" s="3">
        <v>0</v>
      </c>
      <c r="Q197" s="3">
        <v>0</v>
      </c>
      <c r="R197" s="3">
        <v>5.7099999999999998E-2</v>
      </c>
      <c r="S197" s="3">
        <v>-17.13</v>
      </c>
      <c r="T197" s="3">
        <v>5.71</v>
      </c>
      <c r="U197" s="3">
        <v>22.84</v>
      </c>
      <c r="V197" s="70" t="s">
        <v>335</v>
      </c>
      <c r="W197" s="3" t="s">
        <v>343</v>
      </c>
      <c r="X197" s="3" t="s">
        <v>337</v>
      </c>
      <c r="Y197" s="3" t="s">
        <v>337</v>
      </c>
    </row>
    <row r="198" spans="1:25" hidden="1" x14ac:dyDescent="0.2">
      <c r="A198" s="83" t="str">
        <f t="shared" si="3"/>
        <v>郑州盛华里双杯袋</v>
      </c>
      <c r="B198" s="3" t="s">
        <v>709</v>
      </c>
      <c r="C198" s="84">
        <v>44377</v>
      </c>
      <c r="D198" s="3" t="s">
        <v>367</v>
      </c>
      <c r="E198" s="3" t="s">
        <v>337</v>
      </c>
      <c r="F198" s="3" t="s">
        <v>337</v>
      </c>
      <c r="G198" s="70" t="s">
        <v>78</v>
      </c>
      <c r="H198" s="3" t="s">
        <v>363</v>
      </c>
      <c r="I198" s="3" t="s">
        <v>339</v>
      </c>
      <c r="J198" s="3">
        <v>1000</v>
      </c>
      <c r="K198" s="3">
        <v>0</v>
      </c>
      <c r="L198" s="3">
        <v>0</v>
      </c>
      <c r="M198" s="3">
        <v>1000</v>
      </c>
      <c r="N198" s="3">
        <v>1000</v>
      </c>
      <c r="O198" s="70">
        <v>0</v>
      </c>
      <c r="P198" s="3">
        <v>0</v>
      </c>
      <c r="Q198" s="3">
        <v>0</v>
      </c>
      <c r="R198" s="3">
        <v>5.7149999999999999E-2</v>
      </c>
      <c r="S198" s="3">
        <v>0</v>
      </c>
      <c r="T198" s="3">
        <v>57.15</v>
      </c>
      <c r="U198" s="3">
        <v>57.15</v>
      </c>
      <c r="V198" s="70" t="s">
        <v>637</v>
      </c>
      <c r="W198" s="3" t="s">
        <v>343</v>
      </c>
      <c r="X198" s="3" t="s">
        <v>337</v>
      </c>
      <c r="Y198" s="3" t="s">
        <v>337</v>
      </c>
    </row>
    <row r="199" spans="1:25" hidden="1" x14ac:dyDescent="0.2">
      <c r="A199" s="83" t="str">
        <f t="shared" si="3"/>
        <v>滑县滑台双杯袋</v>
      </c>
      <c r="B199" s="3" t="s">
        <v>710</v>
      </c>
      <c r="C199" s="84">
        <v>44377</v>
      </c>
      <c r="D199" s="3" t="s">
        <v>367</v>
      </c>
      <c r="E199" s="3" t="s">
        <v>337</v>
      </c>
      <c r="F199" s="3" t="s">
        <v>337</v>
      </c>
      <c r="G199" s="70" t="s">
        <v>78</v>
      </c>
      <c r="H199" s="3" t="s">
        <v>363</v>
      </c>
      <c r="I199" s="3" t="s">
        <v>339</v>
      </c>
      <c r="J199" s="3">
        <v>550</v>
      </c>
      <c r="K199" s="3">
        <v>4000</v>
      </c>
      <c r="L199" s="3">
        <v>0</v>
      </c>
      <c r="M199" s="3">
        <v>4200</v>
      </c>
      <c r="N199" s="3">
        <v>4550</v>
      </c>
      <c r="O199" s="70">
        <v>-350</v>
      </c>
      <c r="P199" s="3">
        <v>0</v>
      </c>
      <c r="Q199" s="3">
        <v>0</v>
      </c>
      <c r="R199" s="3">
        <v>5.7149999999999999E-2</v>
      </c>
      <c r="S199" s="3">
        <v>-20</v>
      </c>
      <c r="T199" s="3">
        <v>240.03</v>
      </c>
      <c r="U199" s="3">
        <v>260.02999999999997</v>
      </c>
      <c r="V199" s="70" t="s">
        <v>639</v>
      </c>
      <c r="W199" s="3" t="s">
        <v>343</v>
      </c>
      <c r="X199" s="3" t="s">
        <v>337</v>
      </c>
      <c r="Y199" s="3" t="s">
        <v>337</v>
      </c>
    </row>
    <row r="200" spans="1:25" hidden="1" x14ac:dyDescent="0.2">
      <c r="A200" s="83" t="str">
        <f t="shared" si="3"/>
        <v>方城锦城国际双杯袋</v>
      </c>
      <c r="B200" s="3" t="s">
        <v>712</v>
      </c>
      <c r="C200" s="84">
        <v>44377</v>
      </c>
      <c r="D200" s="3" t="s">
        <v>367</v>
      </c>
      <c r="E200" s="3" t="s">
        <v>337</v>
      </c>
      <c r="F200" s="3" t="s">
        <v>337</v>
      </c>
      <c r="G200" s="70" t="s">
        <v>78</v>
      </c>
      <c r="H200" s="3" t="s">
        <v>363</v>
      </c>
      <c r="I200" s="3" t="s">
        <v>339</v>
      </c>
      <c r="J200" s="3">
        <v>1065</v>
      </c>
      <c r="K200" s="3">
        <v>0</v>
      </c>
      <c r="L200" s="3">
        <v>0</v>
      </c>
      <c r="M200" s="3">
        <v>460</v>
      </c>
      <c r="N200" s="3">
        <v>1065</v>
      </c>
      <c r="O200" s="70">
        <v>-605</v>
      </c>
      <c r="P200" s="3">
        <v>0</v>
      </c>
      <c r="Q200" s="3">
        <v>0</v>
      </c>
      <c r="R200" s="3">
        <v>5.7152000000000001E-2</v>
      </c>
      <c r="S200" s="3">
        <v>-34.58</v>
      </c>
      <c r="T200" s="3">
        <v>26.29</v>
      </c>
      <c r="U200" s="3">
        <v>60.87</v>
      </c>
      <c r="V200" s="70" t="s">
        <v>594</v>
      </c>
      <c r="W200" s="3" t="s">
        <v>343</v>
      </c>
      <c r="X200" s="3" t="s">
        <v>337</v>
      </c>
      <c r="Y200" s="3" t="s">
        <v>337</v>
      </c>
    </row>
    <row r="201" spans="1:25" hidden="1" x14ac:dyDescent="0.2">
      <c r="A201" s="83" t="str">
        <f t="shared" si="3"/>
        <v>清丰凤鸣双杯袋</v>
      </c>
      <c r="B201" s="3" t="s">
        <v>713</v>
      </c>
      <c r="C201" s="84">
        <v>44377</v>
      </c>
      <c r="D201" s="3" t="s">
        <v>367</v>
      </c>
      <c r="E201" s="3" t="s">
        <v>337</v>
      </c>
      <c r="F201" s="3" t="s">
        <v>337</v>
      </c>
      <c r="G201" s="70" t="s">
        <v>78</v>
      </c>
      <c r="H201" s="3" t="s">
        <v>363</v>
      </c>
      <c r="I201" s="3" t="s">
        <v>339</v>
      </c>
      <c r="J201" s="3">
        <v>5260</v>
      </c>
      <c r="K201" s="3">
        <v>0</v>
      </c>
      <c r="L201" s="3">
        <v>0</v>
      </c>
      <c r="M201" s="3">
        <v>5030</v>
      </c>
      <c r="N201" s="3">
        <v>5260</v>
      </c>
      <c r="O201" s="70">
        <v>-230</v>
      </c>
      <c r="P201" s="3">
        <v>0</v>
      </c>
      <c r="Q201" s="3">
        <v>0</v>
      </c>
      <c r="R201" s="3">
        <v>5.7151E-2</v>
      </c>
      <c r="S201" s="3">
        <v>-13.14</v>
      </c>
      <c r="T201" s="3">
        <v>287.47000000000003</v>
      </c>
      <c r="U201" s="3">
        <v>300.61</v>
      </c>
      <c r="V201" s="70" t="s">
        <v>334</v>
      </c>
      <c r="W201" s="3" t="s">
        <v>343</v>
      </c>
      <c r="X201" s="3" t="s">
        <v>337</v>
      </c>
      <c r="Y201" s="3" t="s">
        <v>337</v>
      </c>
    </row>
    <row r="202" spans="1:25" hidden="1" x14ac:dyDescent="0.2">
      <c r="A202" s="83" t="str">
        <f t="shared" si="3"/>
        <v>方城锦城国际橙C原材料</v>
      </c>
      <c r="B202" s="3" t="s">
        <v>712</v>
      </c>
      <c r="C202" s="84">
        <v>44377</v>
      </c>
      <c r="D202" s="3" t="s">
        <v>368</v>
      </c>
      <c r="E202" s="3" t="s">
        <v>337</v>
      </c>
      <c r="F202" s="3" t="s">
        <v>337</v>
      </c>
      <c r="G202" s="70" t="s">
        <v>369</v>
      </c>
      <c r="H202" s="3" t="s">
        <v>370</v>
      </c>
      <c r="I202" s="3" t="s">
        <v>89</v>
      </c>
      <c r="J202" s="3">
        <v>5200</v>
      </c>
      <c r="K202" s="3">
        <v>10080</v>
      </c>
      <c r="L202" s="3">
        <v>12682.6</v>
      </c>
      <c r="M202" s="3">
        <v>2600</v>
      </c>
      <c r="N202" s="3">
        <v>2597.4</v>
      </c>
      <c r="O202" s="70">
        <v>2.6</v>
      </c>
      <c r="P202" s="3">
        <v>0</v>
      </c>
      <c r="Q202" s="3">
        <v>0</v>
      </c>
      <c r="R202" s="3">
        <v>1.9304000000000002E-2</v>
      </c>
      <c r="S202" s="3">
        <v>0.05</v>
      </c>
      <c r="T202" s="3">
        <v>50.19</v>
      </c>
      <c r="U202" s="3">
        <v>50.14</v>
      </c>
      <c r="V202" s="70" t="s">
        <v>594</v>
      </c>
      <c r="W202" s="3" t="s">
        <v>343</v>
      </c>
      <c r="X202" s="3" t="s">
        <v>337</v>
      </c>
      <c r="Y202" s="3" t="s">
        <v>337</v>
      </c>
    </row>
    <row r="203" spans="1:25" hidden="1" x14ac:dyDescent="0.2">
      <c r="A203" s="83" t="str">
        <f t="shared" si="3"/>
        <v>清丰凤鸣橙C原材料</v>
      </c>
      <c r="B203" s="3" t="s">
        <v>713</v>
      </c>
      <c r="C203" s="84">
        <v>44377</v>
      </c>
      <c r="D203" s="3" t="s">
        <v>368</v>
      </c>
      <c r="E203" s="3" t="s">
        <v>337</v>
      </c>
      <c r="F203" s="3" t="s">
        <v>337</v>
      </c>
      <c r="G203" s="70" t="s">
        <v>369</v>
      </c>
      <c r="H203" s="3" t="s">
        <v>370</v>
      </c>
      <c r="I203" s="3" t="s">
        <v>89</v>
      </c>
      <c r="J203" s="3">
        <v>2100</v>
      </c>
      <c r="K203" s="3">
        <v>20160</v>
      </c>
      <c r="L203" s="3">
        <v>15469.2</v>
      </c>
      <c r="M203" s="3">
        <v>7200</v>
      </c>
      <c r="N203" s="3">
        <v>6790.8</v>
      </c>
      <c r="O203" s="70">
        <v>409.2</v>
      </c>
      <c r="P203" s="3">
        <v>0</v>
      </c>
      <c r="Q203" s="3">
        <v>0</v>
      </c>
      <c r="R203" s="3">
        <v>1.9306E-2</v>
      </c>
      <c r="S203" s="3">
        <v>7.9</v>
      </c>
      <c r="T203" s="3">
        <v>139</v>
      </c>
      <c r="U203" s="3">
        <v>131.1</v>
      </c>
      <c r="V203" s="70" t="s">
        <v>334</v>
      </c>
      <c r="W203" s="3" t="s">
        <v>343</v>
      </c>
      <c r="X203" s="3" t="s">
        <v>337</v>
      </c>
      <c r="Y203" s="3" t="s">
        <v>337</v>
      </c>
    </row>
    <row r="204" spans="1:25" hidden="1" x14ac:dyDescent="0.2">
      <c r="A204" s="83" t="str">
        <f t="shared" si="3"/>
        <v>郑州裕华橙C原材料</v>
      </c>
      <c r="B204" s="3" t="s">
        <v>711</v>
      </c>
      <c r="C204" s="84">
        <v>44377</v>
      </c>
      <c r="D204" s="3" t="s">
        <v>368</v>
      </c>
      <c r="E204" s="3" t="s">
        <v>337</v>
      </c>
      <c r="F204" s="3" t="s">
        <v>337</v>
      </c>
      <c r="G204" s="70" t="s">
        <v>369</v>
      </c>
      <c r="H204" s="3" t="s">
        <v>370</v>
      </c>
      <c r="I204" s="3" t="s">
        <v>89</v>
      </c>
      <c r="J204" s="3">
        <v>6200</v>
      </c>
      <c r="K204" s="3">
        <v>0</v>
      </c>
      <c r="L204" s="3">
        <v>4838.8999999999996</v>
      </c>
      <c r="M204" s="3">
        <v>1620</v>
      </c>
      <c r="N204" s="3">
        <v>1361.1</v>
      </c>
      <c r="O204" s="70">
        <v>258.89999999999998</v>
      </c>
      <c r="P204" s="3">
        <v>0</v>
      </c>
      <c r="Q204" s="3">
        <v>0</v>
      </c>
      <c r="R204" s="3">
        <v>1.9302E-2</v>
      </c>
      <c r="S204" s="3">
        <v>5</v>
      </c>
      <c r="T204" s="3">
        <v>31.27</v>
      </c>
      <c r="U204" s="3">
        <v>26.27</v>
      </c>
      <c r="V204" s="70" t="s">
        <v>641</v>
      </c>
      <c r="W204" s="3" t="s">
        <v>343</v>
      </c>
      <c r="X204" s="3" t="s">
        <v>337</v>
      </c>
      <c r="Y204" s="3" t="s">
        <v>337</v>
      </c>
    </row>
    <row r="205" spans="1:25" hidden="1" x14ac:dyDescent="0.2">
      <c r="A205" s="83" t="str">
        <f t="shared" si="3"/>
        <v>滑县滑台橙C原材料</v>
      </c>
      <c r="B205" s="3" t="s">
        <v>710</v>
      </c>
      <c r="C205" s="84">
        <v>44377</v>
      </c>
      <c r="D205" s="3" t="s">
        <v>368</v>
      </c>
      <c r="E205" s="3" t="s">
        <v>337</v>
      </c>
      <c r="F205" s="3" t="s">
        <v>337</v>
      </c>
      <c r="G205" s="70" t="s">
        <v>369</v>
      </c>
      <c r="H205" s="3" t="s">
        <v>370</v>
      </c>
      <c r="I205" s="3" t="s">
        <v>89</v>
      </c>
      <c r="J205" s="3">
        <v>27000</v>
      </c>
      <c r="K205" s="3">
        <v>20160</v>
      </c>
      <c r="L205" s="3">
        <v>9512.6</v>
      </c>
      <c r="M205" s="3">
        <v>40320</v>
      </c>
      <c r="N205" s="3">
        <v>37647.4</v>
      </c>
      <c r="O205" s="70">
        <v>2672.6</v>
      </c>
      <c r="P205" s="3">
        <v>0</v>
      </c>
      <c r="Q205" s="3">
        <v>0</v>
      </c>
      <c r="R205" s="3">
        <v>1.9307000000000001E-2</v>
      </c>
      <c r="S205" s="3">
        <v>51.6</v>
      </c>
      <c r="T205" s="3">
        <v>778.45</v>
      </c>
      <c r="U205" s="3">
        <v>726.86</v>
      </c>
      <c r="V205" s="70" t="s">
        <v>639</v>
      </c>
      <c r="W205" s="3" t="s">
        <v>343</v>
      </c>
      <c r="X205" s="3" t="s">
        <v>337</v>
      </c>
      <c r="Y205" s="3" t="s">
        <v>337</v>
      </c>
    </row>
    <row r="206" spans="1:25" hidden="1" x14ac:dyDescent="0.2">
      <c r="A206" s="83" t="str">
        <f t="shared" si="3"/>
        <v>郑州盛华里橙C原材料</v>
      </c>
      <c r="B206" s="3" t="s">
        <v>709</v>
      </c>
      <c r="C206" s="84">
        <v>44377</v>
      </c>
      <c r="D206" s="3" t="s">
        <v>368</v>
      </c>
      <c r="E206" s="3" t="s">
        <v>337</v>
      </c>
      <c r="F206" s="3" t="s">
        <v>337</v>
      </c>
      <c r="G206" s="70" t="s">
        <v>369</v>
      </c>
      <c r="H206" s="3" t="s">
        <v>370</v>
      </c>
      <c r="I206" s="3" t="s">
        <v>89</v>
      </c>
      <c r="J206" s="3">
        <v>18000</v>
      </c>
      <c r="K206" s="3">
        <v>0</v>
      </c>
      <c r="L206" s="3">
        <v>2627.2</v>
      </c>
      <c r="M206" s="3">
        <v>15000</v>
      </c>
      <c r="N206" s="3">
        <v>15372.8</v>
      </c>
      <c r="O206" s="70">
        <v>-372.8</v>
      </c>
      <c r="P206" s="3">
        <v>0</v>
      </c>
      <c r="Q206" s="3">
        <v>0</v>
      </c>
      <c r="R206" s="3">
        <v>1.9306E-2</v>
      </c>
      <c r="S206" s="3">
        <v>-7.2</v>
      </c>
      <c r="T206" s="3">
        <v>289.58999999999997</v>
      </c>
      <c r="U206" s="3">
        <v>296.79000000000002</v>
      </c>
      <c r="V206" s="70" t="s">
        <v>637</v>
      </c>
      <c r="W206" s="3" t="s">
        <v>343</v>
      </c>
      <c r="X206" s="3" t="s">
        <v>337</v>
      </c>
      <c r="Y206" s="3" t="s">
        <v>337</v>
      </c>
    </row>
    <row r="207" spans="1:25" hidden="1" x14ac:dyDescent="0.2">
      <c r="A207" s="83" t="str">
        <f t="shared" si="3"/>
        <v>新蔡水韵天街橙C原材料</v>
      </c>
      <c r="B207" s="3" t="s">
        <v>703</v>
      </c>
      <c r="C207" s="84">
        <v>44377</v>
      </c>
      <c r="D207" s="3" t="s">
        <v>368</v>
      </c>
      <c r="E207" s="3" t="s">
        <v>337</v>
      </c>
      <c r="F207" s="3" t="s">
        <v>337</v>
      </c>
      <c r="G207" s="70" t="s">
        <v>369</v>
      </c>
      <c r="H207" s="3" t="s">
        <v>370</v>
      </c>
      <c r="I207" s="3" t="s">
        <v>89</v>
      </c>
      <c r="J207" s="3">
        <v>7700</v>
      </c>
      <c r="K207" s="3">
        <v>0</v>
      </c>
      <c r="L207" s="3">
        <v>6160.3</v>
      </c>
      <c r="M207" s="3">
        <v>1440</v>
      </c>
      <c r="N207" s="3">
        <v>1539.7</v>
      </c>
      <c r="O207" s="70">
        <v>-99.7</v>
      </c>
      <c r="P207" s="3">
        <v>0</v>
      </c>
      <c r="Q207" s="3">
        <v>0</v>
      </c>
      <c r="R207" s="3">
        <v>1.9299E-2</v>
      </c>
      <c r="S207" s="3">
        <v>-1.92</v>
      </c>
      <c r="T207" s="3">
        <v>27.79</v>
      </c>
      <c r="U207" s="3">
        <v>29.71</v>
      </c>
      <c r="V207" s="70" t="s">
        <v>335</v>
      </c>
      <c r="W207" s="3" t="s">
        <v>343</v>
      </c>
      <c r="X207" s="3" t="s">
        <v>337</v>
      </c>
      <c r="Y207" s="3" t="s">
        <v>337</v>
      </c>
    </row>
    <row r="208" spans="1:25" hidden="1" x14ac:dyDescent="0.2">
      <c r="A208" s="83" t="str">
        <f t="shared" si="3"/>
        <v>郑州康复中街橙C原材料</v>
      </c>
      <c r="B208" s="3" t="s">
        <v>704</v>
      </c>
      <c r="C208" s="84">
        <v>44377</v>
      </c>
      <c r="D208" s="3" t="s">
        <v>368</v>
      </c>
      <c r="E208" s="3" t="s">
        <v>337</v>
      </c>
      <c r="F208" s="3" t="s">
        <v>337</v>
      </c>
      <c r="G208" s="70" t="s">
        <v>369</v>
      </c>
      <c r="H208" s="3" t="s">
        <v>370</v>
      </c>
      <c r="I208" s="3" t="s">
        <v>89</v>
      </c>
      <c r="J208" s="3">
        <v>4893</v>
      </c>
      <c r="K208" s="3">
        <v>10080</v>
      </c>
      <c r="L208" s="3">
        <v>6600.1</v>
      </c>
      <c r="M208" s="3">
        <v>8200</v>
      </c>
      <c r="N208" s="3">
        <v>8372.9</v>
      </c>
      <c r="O208" s="70">
        <v>-172.9</v>
      </c>
      <c r="P208" s="3">
        <v>0</v>
      </c>
      <c r="Q208" s="3">
        <v>0</v>
      </c>
      <c r="R208" s="3">
        <v>1.9304999999999999E-2</v>
      </c>
      <c r="S208" s="3">
        <v>-3.34</v>
      </c>
      <c r="T208" s="3">
        <v>158.30000000000001</v>
      </c>
      <c r="U208" s="3">
        <v>161.63999999999999</v>
      </c>
      <c r="V208" s="70" t="s">
        <v>593</v>
      </c>
      <c r="W208" s="3" t="s">
        <v>343</v>
      </c>
      <c r="X208" s="3" t="s">
        <v>337</v>
      </c>
      <c r="Y208" s="3" t="s">
        <v>337</v>
      </c>
    </row>
    <row r="209" spans="1:25" hidden="1" x14ac:dyDescent="0.2">
      <c r="A209" s="83" t="str">
        <f t="shared" si="3"/>
        <v>郑州铁英街橙C原材料</v>
      </c>
      <c r="B209" s="3" t="s">
        <v>707</v>
      </c>
      <c r="C209" s="84">
        <v>44377</v>
      </c>
      <c r="D209" s="3" t="s">
        <v>368</v>
      </c>
      <c r="E209" s="3" t="s">
        <v>337</v>
      </c>
      <c r="F209" s="3" t="s">
        <v>337</v>
      </c>
      <c r="G209" s="70" t="s">
        <v>369</v>
      </c>
      <c r="H209" s="3" t="s">
        <v>370</v>
      </c>
      <c r="I209" s="3" t="s">
        <v>89</v>
      </c>
      <c r="J209" s="3">
        <v>9200</v>
      </c>
      <c r="K209" s="3">
        <v>0</v>
      </c>
      <c r="L209" s="3">
        <v>3879.5</v>
      </c>
      <c r="M209" s="3">
        <v>5934</v>
      </c>
      <c r="N209" s="3">
        <v>5320.5</v>
      </c>
      <c r="O209" s="70">
        <v>613.5</v>
      </c>
      <c r="P209" s="3">
        <v>0</v>
      </c>
      <c r="Q209" s="3">
        <v>0</v>
      </c>
      <c r="R209" s="3">
        <v>1.9304000000000002E-2</v>
      </c>
      <c r="S209" s="3">
        <v>11.84</v>
      </c>
      <c r="T209" s="3">
        <v>114.55</v>
      </c>
      <c r="U209" s="3">
        <v>102.71</v>
      </c>
      <c r="V209" s="70" t="s">
        <v>592</v>
      </c>
      <c r="W209" s="3" t="s">
        <v>343</v>
      </c>
      <c r="X209" s="3" t="s">
        <v>337</v>
      </c>
      <c r="Y209" s="3" t="s">
        <v>337</v>
      </c>
    </row>
    <row r="210" spans="1:25" hidden="1" x14ac:dyDescent="0.2">
      <c r="A210" s="83" t="str">
        <f t="shared" si="3"/>
        <v>郑州西悦城橙C原材料</v>
      </c>
      <c r="B210" s="3" t="s">
        <v>708</v>
      </c>
      <c r="C210" s="84">
        <v>44377</v>
      </c>
      <c r="D210" s="3" t="s">
        <v>368</v>
      </c>
      <c r="E210" s="3" t="s">
        <v>337</v>
      </c>
      <c r="F210" s="3" t="s">
        <v>337</v>
      </c>
      <c r="G210" s="70" t="s">
        <v>369</v>
      </c>
      <c r="H210" s="3" t="s">
        <v>370</v>
      </c>
      <c r="I210" s="3" t="s">
        <v>89</v>
      </c>
      <c r="J210" s="3">
        <v>4000</v>
      </c>
      <c r="K210" s="3">
        <v>10080</v>
      </c>
      <c r="L210" s="3">
        <v>10409.4</v>
      </c>
      <c r="M210" s="3">
        <v>4000</v>
      </c>
      <c r="N210" s="3">
        <v>3670.6</v>
      </c>
      <c r="O210" s="70">
        <v>329.4</v>
      </c>
      <c r="P210" s="3">
        <v>0</v>
      </c>
      <c r="Q210" s="3">
        <v>0</v>
      </c>
      <c r="R210" s="3">
        <v>1.9303000000000001E-2</v>
      </c>
      <c r="S210" s="3">
        <v>6.36</v>
      </c>
      <c r="T210" s="3">
        <v>77.209999999999994</v>
      </c>
      <c r="U210" s="3">
        <v>70.849999999999994</v>
      </c>
      <c r="V210" s="70" t="s">
        <v>332</v>
      </c>
      <c r="W210" s="3" t="s">
        <v>343</v>
      </c>
      <c r="X210" s="3" t="s">
        <v>337</v>
      </c>
      <c r="Y210" s="3" t="s">
        <v>337</v>
      </c>
    </row>
    <row r="211" spans="1:25" hidden="1" x14ac:dyDescent="0.2">
      <c r="A211" s="83" t="str">
        <f t="shared" si="3"/>
        <v>华山龙源橙C原材料</v>
      </c>
      <c r="B211" s="3" t="s">
        <v>705</v>
      </c>
      <c r="C211" s="84">
        <v>44377</v>
      </c>
      <c r="D211" s="3" t="s">
        <v>368</v>
      </c>
      <c r="E211" s="3" t="s">
        <v>337</v>
      </c>
      <c r="F211" s="3" t="s">
        <v>337</v>
      </c>
      <c r="G211" s="70" t="s">
        <v>369</v>
      </c>
      <c r="H211" s="3" t="s">
        <v>370</v>
      </c>
      <c r="I211" s="3" t="s">
        <v>89</v>
      </c>
      <c r="J211" s="3">
        <v>7220</v>
      </c>
      <c r="K211" s="3">
        <v>0</v>
      </c>
      <c r="L211" s="3">
        <v>4471.1000000000004</v>
      </c>
      <c r="M211" s="3">
        <v>3360</v>
      </c>
      <c r="N211" s="3">
        <v>2748.9</v>
      </c>
      <c r="O211" s="70">
        <v>611.1</v>
      </c>
      <c r="P211" s="3">
        <v>0</v>
      </c>
      <c r="Q211" s="3">
        <v>0</v>
      </c>
      <c r="R211" s="3">
        <v>1.9307000000000001E-2</v>
      </c>
      <c r="S211" s="3">
        <v>11.8</v>
      </c>
      <c r="T211" s="3">
        <v>64.87</v>
      </c>
      <c r="U211" s="3">
        <v>53.07</v>
      </c>
      <c r="V211" s="70" t="s">
        <v>643</v>
      </c>
      <c r="W211" s="3" t="s">
        <v>343</v>
      </c>
      <c r="X211" s="3" t="s">
        <v>337</v>
      </c>
      <c r="Y211" s="3" t="s">
        <v>337</v>
      </c>
    </row>
    <row r="212" spans="1:25" hidden="1" x14ac:dyDescent="0.2">
      <c r="A212" s="83" t="str">
        <f t="shared" si="3"/>
        <v>郑州瀚海海尚橙C原材料</v>
      </c>
      <c r="B212" s="3" t="s">
        <v>706</v>
      </c>
      <c r="C212" s="84">
        <v>44377</v>
      </c>
      <c r="D212" s="3" t="s">
        <v>368</v>
      </c>
      <c r="E212" s="3" t="s">
        <v>337</v>
      </c>
      <c r="F212" s="3" t="s">
        <v>337</v>
      </c>
      <c r="G212" s="70" t="s">
        <v>369</v>
      </c>
      <c r="H212" s="3" t="s">
        <v>370</v>
      </c>
      <c r="I212" s="3" t="s">
        <v>89</v>
      </c>
      <c r="J212" s="3">
        <v>3600</v>
      </c>
      <c r="K212" s="3">
        <v>0</v>
      </c>
      <c r="L212" s="3">
        <v>3879.8</v>
      </c>
      <c r="M212" s="3">
        <v>80</v>
      </c>
      <c r="N212" s="3">
        <v>-279.8</v>
      </c>
      <c r="O212" s="70">
        <v>359.8</v>
      </c>
      <c r="P212" s="3">
        <v>0</v>
      </c>
      <c r="Q212" s="3">
        <v>0</v>
      </c>
      <c r="R212" s="3">
        <v>1.95E-2</v>
      </c>
      <c r="S212" s="3">
        <v>7.02</v>
      </c>
      <c r="T212" s="3">
        <v>1.56</v>
      </c>
      <c r="U212" s="3">
        <v>-5.46</v>
      </c>
      <c r="V212" s="70" t="s">
        <v>333</v>
      </c>
      <c r="W212" s="3" t="s">
        <v>343</v>
      </c>
      <c r="X212" s="3" t="s">
        <v>337</v>
      </c>
      <c r="Y212" s="3" t="s">
        <v>337</v>
      </c>
    </row>
    <row r="213" spans="1:25" hidden="1" x14ac:dyDescent="0.2">
      <c r="A213" s="83" t="str">
        <f t="shared" si="3"/>
        <v>郑州政六街橙C原材料</v>
      </c>
      <c r="B213" s="3" t="s">
        <v>714</v>
      </c>
      <c r="C213" s="84">
        <v>44377</v>
      </c>
      <c r="D213" s="3" t="s">
        <v>368</v>
      </c>
      <c r="E213" s="3" t="s">
        <v>337</v>
      </c>
      <c r="F213" s="3" t="s">
        <v>337</v>
      </c>
      <c r="G213" s="70" t="s">
        <v>369</v>
      </c>
      <c r="H213" s="3" t="s">
        <v>370</v>
      </c>
      <c r="I213" s="3" t="s">
        <v>89</v>
      </c>
      <c r="J213" s="3">
        <v>9240</v>
      </c>
      <c r="K213" s="3">
        <v>10080</v>
      </c>
      <c r="L213" s="3">
        <v>6256.3</v>
      </c>
      <c r="M213" s="3">
        <v>12124</v>
      </c>
      <c r="N213" s="3">
        <v>13063.7</v>
      </c>
      <c r="O213" s="70">
        <v>-939.7</v>
      </c>
      <c r="P213" s="3">
        <v>0</v>
      </c>
      <c r="Q213" s="3">
        <v>0</v>
      </c>
      <c r="R213" s="3">
        <v>1.9304999999999999E-2</v>
      </c>
      <c r="S213" s="3">
        <v>-18.14</v>
      </c>
      <c r="T213" s="3">
        <v>234.05</v>
      </c>
      <c r="U213" s="3">
        <v>252.19</v>
      </c>
      <c r="V213" s="70" t="s">
        <v>591</v>
      </c>
      <c r="W213" s="3" t="s">
        <v>343</v>
      </c>
      <c r="X213" s="3" t="s">
        <v>337</v>
      </c>
      <c r="Y213" s="3" t="s">
        <v>337</v>
      </c>
    </row>
    <row r="214" spans="1:25" hidden="1" x14ac:dyDescent="0.2">
      <c r="A214" s="83" t="str">
        <f t="shared" si="3"/>
        <v>郑州政六街16A冷杯</v>
      </c>
      <c r="B214" s="3" t="s">
        <v>714</v>
      </c>
      <c r="C214" s="84">
        <v>44377</v>
      </c>
      <c r="D214" s="3" t="s">
        <v>371</v>
      </c>
      <c r="E214" s="3" t="s">
        <v>337</v>
      </c>
      <c r="F214" s="3" t="s">
        <v>337</v>
      </c>
      <c r="G214" s="70" t="s">
        <v>372</v>
      </c>
      <c r="H214" s="3" t="s">
        <v>343</v>
      </c>
      <c r="I214" s="3" t="s">
        <v>339</v>
      </c>
      <c r="J214" s="3">
        <v>1720</v>
      </c>
      <c r="K214" s="3">
        <v>3900</v>
      </c>
      <c r="L214" s="3">
        <v>4277</v>
      </c>
      <c r="M214" s="3">
        <v>1330</v>
      </c>
      <c r="N214" s="3">
        <v>1343</v>
      </c>
      <c r="O214" s="70">
        <v>-13</v>
      </c>
      <c r="P214" s="3">
        <v>0</v>
      </c>
      <c r="Q214" s="3">
        <v>0</v>
      </c>
      <c r="R214" s="3">
        <v>0.15956400000000001</v>
      </c>
      <c r="S214" s="3">
        <v>-2.0699999999999998</v>
      </c>
      <c r="T214" s="3">
        <v>212.22</v>
      </c>
      <c r="U214" s="3">
        <v>214.29</v>
      </c>
      <c r="V214" s="70" t="s">
        <v>591</v>
      </c>
      <c r="W214" s="3" t="s">
        <v>343</v>
      </c>
      <c r="X214" s="3" t="s">
        <v>337</v>
      </c>
      <c r="Y214" s="3" t="s">
        <v>337</v>
      </c>
    </row>
    <row r="215" spans="1:25" hidden="1" x14ac:dyDescent="0.2">
      <c r="A215" s="83" t="str">
        <f t="shared" si="3"/>
        <v>郑州瀚海海尚16A冷杯</v>
      </c>
      <c r="B215" s="3" t="s">
        <v>706</v>
      </c>
      <c r="C215" s="84">
        <v>44377</v>
      </c>
      <c r="D215" s="3" t="s">
        <v>371</v>
      </c>
      <c r="E215" s="3" t="s">
        <v>337</v>
      </c>
      <c r="F215" s="3" t="s">
        <v>337</v>
      </c>
      <c r="G215" s="70" t="s">
        <v>372</v>
      </c>
      <c r="H215" s="3" t="s">
        <v>343</v>
      </c>
      <c r="I215" s="3" t="s">
        <v>339</v>
      </c>
      <c r="J215" s="3">
        <v>2004</v>
      </c>
      <c r="K215" s="3">
        <v>1300</v>
      </c>
      <c r="L215" s="3">
        <v>2595</v>
      </c>
      <c r="M215" s="3">
        <v>725</v>
      </c>
      <c r="N215" s="3">
        <v>709</v>
      </c>
      <c r="O215" s="70">
        <v>16</v>
      </c>
      <c r="P215" s="3">
        <v>0</v>
      </c>
      <c r="Q215" s="3">
        <v>0</v>
      </c>
      <c r="R215" s="3">
        <v>0.15951699999999999</v>
      </c>
      <c r="S215" s="3">
        <v>2.5499999999999998</v>
      </c>
      <c r="T215" s="3">
        <v>115.65</v>
      </c>
      <c r="U215" s="3">
        <v>113.1</v>
      </c>
      <c r="V215" s="70" t="s">
        <v>333</v>
      </c>
      <c r="W215" s="3" t="s">
        <v>343</v>
      </c>
      <c r="X215" s="3" t="s">
        <v>337</v>
      </c>
      <c r="Y215" s="3" t="s">
        <v>337</v>
      </c>
    </row>
    <row r="216" spans="1:25" hidden="1" x14ac:dyDescent="0.2">
      <c r="A216" s="83" t="str">
        <f t="shared" si="3"/>
        <v>华山龙源16A冷杯</v>
      </c>
      <c r="B216" s="3" t="s">
        <v>705</v>
      </c>
      <c r="C216" s="84">
        <v>44377</v>
      </c>
      <c r="D216" s="3" t="s">
        <v>371</v>
      </c>
      <c r="E216" s="3" t="s">
        <v>337</v>
      </c>
      <c r="F216" s="3" t="s">
        <v>337</v>
      </c>
      <c r="G216" s="70" t="s">
        <v>372</v>
      </c>
      <c r="H216" s="3" t="s">
        <v>343</v>
      </c>
      <c r="I216" s="3" t="s">
        <v>339</v>
      </c>
      <c r="J216" s="3">
        <v>796</v>
      </c>
      <c r="K216" s="3">
        <v>1300</v>
      </c>
      <c r="L216" s="3">
        <v>1082</v>
      </c>
      <c r="M216" s="3">
        <v>1038</v>
      </c>
      <c r="N216" s="3">
        <v>1014</v>
      </c>
      <c r="O216" s="70">
        <v>24</v>
      </c>
      <c r="P216" s="3">
        <v>0</v>
      </c>
      <c r="Q216" s="3">
        <v>0</v>
      </c>
      <c r="R216" s="3">
        <v>0.15948000000000001</v>
      </c>
      <c r="S216" s="3">
        <v>3.83</v>
      </c>
      <c r="T216" s="3">
        <v>165.54</v>
      </c>
      <c r="U216" s="3">
        <v>161.71</v>
      </c>
      <c r="V216" s="70" t="s">
        <v>643</v>
      </c>
      <c r="W216" s="3" t="s">
        <v>343</v>
      </c>
      <c r="X216" s="3" t="s">
        <v>337</v>
      </c>
      <c r="Y216" s="3" t="s">
        <v>337</v>
      </c>
    </row>
    <row r="217" spans="1:25" hidden="1" x14ac:dyDescent="0.2">
      <c r="A217" s="83" t="str">
        <f t="shared" si="3"/>
        <v>郑州西悦城16A冷杯</v>
      </c>
      <c r="B217" s="3" t="s">
        <v>708</v>
      </c>
      <c r="C217" s="84">
        <v>44377</v>
      </c>
      <c r="D217" s="3" t="s">
        <v>371</v>
      </c>
      <c r="E217" s="3" t="s">
        <v>337</v>
      </c>
      <c r="F217" s="3" t="s">
        <v>337</v>
      </c>
      <c r="G217" s="70" t="s">
        <v>372</v>
      </c>
      <c r="H217" s="3" t="s">
        <v>343</v>
      </c>
      <c r="I217" s="3" t="s">
        <v>339</v>
      </c>
      <c r="J217" s="3">
        <v>670</v>
      </c>
      <c r="K217" s="3">
        <v>3900</v>
      </c>
      <c r="L217" s="3">
        <v>3972</v>
      </c>
      <c r="M217" s="3">
        <v>580</v>
      </c>
      <c r="N217" s="3">
        <v>598</v>
      </c>
      <c r="O217" s="70">
        <v>-18</v>
      </c>
      <c r="P217" s="3">
        <v>0</v>
      </c>
      <c r="Q217" s="3">
        <v>0</v>
      </c>
      <c r="R217" s="3">
        <v>0.159552</v>
      </c>
      <c r="S217" s="3">
        <v>-2.87</v>
      </c>
      <c r="T217" s="3">
        <v>92.54</v>
      </c>
      <c r="U217" s="3">
        <v>95.41</v>
      </c>
      <c r="V217" s="70" t="s">
        <v>332</v>
      </c>
      <c r="W217" s="3" t="s">
        <v>343</v>
      </c>
      <c r="X217" s="3" t="s">
        <v>337</v>
      </c>
      <c r="Y217" s="3" t="s">
        <v>337</v>
      </c>
    </row>
    <row r="218" spans="1:25" hidden="1" x14ac:dyDescent="0.2">
      <c r="A218" s="83" t="str">
        <f t="shared" si="3"/>
        <v>郑州铁英街16A冷杯</v>
      </c>
      <c r="B218" s="3" t="s">
        <v>707</v>
      </c>
      <c r="C218" s="84">
        <v>44377</v>
      </c>
      <c r="D218" s="3" t="s">
        <v>371</v>
      </c>
      <c r="E218" s="3" t="s">
        <v>337</v>
      </c>
      <c r="F218" s="3" t="s">
        <v>337</v>
      </c>
      <c r="G218" s="70" t="s">
        <v>372</v>
      </c>
      <c r="H218" s="3" t="s">
        <v>343</v>
      </c>
      <c r="I218" s="3" t="s">
        <v>339</v>
      </c>
      <c r="J218" s="3">
        <v>1050</v>
      </c>
      <c r="K218" s="3">
        <v>1300</v>
      </c>
      <c r="L218" s="3">
        <v>1814</v>
      </c>
      <c r="M218" s="3">
        <v>541</v>
      </c>
      <c r="N218" s="3">
        <v>536</v>
      </c>
      <c r="O218" s="70">
        <v>5</v>
      </c>
      <c r="P218" s="3">
        <v>0</v>
      </c>
      <c r="Q218" s="3">
        <v>0</v>
      </c>
      <c r="R218" s="3">
        <v>0.15946399999999999</v>
      </c>
      <c r="S218" s="3">
        <v>0.8</v>
      </c>
      <c r="T218" s="3">
        <v>86.27</v>
      </c>
      <c r="U218" s="3">
        <v>85.47</v>
      </c>
      <c r="V218" s="70" t="s">
        <v>592</v>
      </c>
      <c r="W218" s="3" t="s">
        <v>343</v>
      </c>
      <c r="X218" s="3" t="s">
        <v>337</v>
      </c>
      <c r="Y218" s="3" t="s">
        <v>337</v>
      </c>
    </row>
    <row r="219" spans="1:25" hidden="1" x14ac:dyDescent="0.2">
      <c r="A219" s="83" t="str">
        <f t="shared" si="3"/>
        <v>郑州康复中街16A冷杯</v>
      </c>
      <c r="B219" s="3" t="s">
        <v>704</v>
      </c>
      <c r="C219" s="84">
        <v>44377</v>
      </c>
      <c r="D219" s="3" t="s">
        <v>371</v>
      </c>
      <c r="E219" s="3" t="s">
        <v>337</v>
      </c>
      <c r="F219" s="3" t="s">
        <v>337</v>
      </c>
      <c r="G219" s="70" t="s">
        <v>372</v>
      </c>
      <c r="H219" s="3" t="s">
        <v>343</v>
      </c>
      <c r="I219" s="3" t="s">
        <v>339</v>
      </c>
      <c r="J219" s="3">
        <v>697</v>
      </c>
      <c r="K219" s="3">
        <v>3900</v>
      </c>
      <c r="L219" s="3">
        <v>3597</v>
      </c>
      <c r="M219" s="3">
        <v>1000</v>
      </c>
      <c r="N219" s="3">
        <v>1000</v>
      </c>
      <c r="O219" s="70">
        <v>0</v>
      </c>
      <c r="P219" s="3">
        <v>0</v>
      </c>
      <c r="Q219" s="3">
        <v>0</v>
      </c>
      <c r="R219" s="3">
        <v>0.15948999999999999</v>
      </c>
      <c r="S219" s="3">
        <v>0</v>
      </c>
      <c r="T219" s="3">
        <v>159.49</v>
      </c>
      <c r="U219" s="3">
        <v>159.49</v>
      </c>
      <c r="V219" s="70" t="s">
        <v>593</v>
      </c>
      <c r="W219" s="3" t="s">
        <v>343</v>
      </c>
      <c r="X219" s="3" t="s">
        <v>337</v>
      </c>
      <c r="Y219" s="3" t="s">
        <v>337</v>
      </c>
    </row>
    <row r="220" spans="1:25" hidden="1" x14ac:dyDescent="0.2">
      <c r="A220" s="83" t="str">
        <f t="shared" si="3"/>
        <v>新蔡水韵天街16A冷杯</v>
      </c>
      <c r="B220" s="3" t="s">
        <v>703</v>
      </c>
      <c r="C220" s="84">
        <v>44377</v>
      </c>
      <c r="D220" s="3" t="s">
        <v>371</v>
      </c>
      <c r="E220" s="3" t="s">
        <v>337</v>
      </c>
      <c r="F220" s="3" t="s">
        <v>337</v>
      </c>
      <c r="G220" s="70" t="s">
        <v>372</v>
      </c>
      <c r="H220" s="3" t="s">
        <v>343</v>
      </c>
      <c r="I220" s="3" t="s">
        <v>339</v>
      </c>
      <c r="J220" s="3">
        <v>639</v>
      </c>
      <c r="K220" s="3">
        <v>2600</v>
      </c>
      <c r="L220" s="3">
        <v>1857</v>
      </c>
      <c r="M220" s="3">
        <v>1367</v>
      </c>
      <c r="N220" s="3">
        <v>1382</v>
      </c>
      <c r="O220" s="70">
        <v>-15</v>
      </c>
      <c r="P220" s="3">
        <v>0</v>
      </c>
      <c r="Q220" s="3">
        <v>0</v>
      </c>
      <c r="R220" s="3">
        <v>0.15954599999999999</v>
      </c>
      <c r="S220" s="3">
        <v>-2.39</v>
      </c>
      <c r="T220" s="3">
        <v>218.1</v>
      </c>
      <c r="U220" s="3">
        <v>220.49</v>
      </c>
      <c r="V220" s="70" t="s">
        <v>335</v>
      </c>
      <c r="W220" s="3" t="s">
        <v>343</v>
      </c>
      <c r="X220" s="3" t="s">
        <v>337</v>
      </c>
      <c r="Y220" s="3" t="s">
        <v>337</v>
      </c>
    </row>
    <row r="221" spans="1:25" hidden="1" x14ac:dyDescent="0.2">
      <c r="A221" s="83" t="str">
        <f t="shared" si="3"/>
        <v>郑州盛华里16A冷杯</v>
      </c>
      <c r="B221" s="3" t="s">
        <v>709</v>
      </c>
      <c r="C221" s="84">
        <v>44377</v>
      </c>
      <c r="D221" s="3" t="s">
        <v>371</v>
      </c>
      <c r="E221" s="3" t="s">
        <v>337</v>
      </c>
      <c r="F221" s="3" t="s">
        <v>337</v>
      </c>
      <c r="G221" s="70" t="s">
        <v>372</v>
      </c>
      <c r="H221" s="3" t="s">
        <v>343</v>
      </c>
      <c r="I221" s="3" t="s">
        <v>339</v>
      </c>
      <c r="J221" s="3">
        <v>610</v>
      </c>
      <c r="K221" s="3">
        <v>1300</v>
      </c>
      <c r="L221" s="3">
        <v>1373</v>
      </c>
      <c r="M221" s="3">
        <v>537</v>
      </c>
      <c r="N221" s="3">
        <v>537</v>
      </c>
      <c r="O221" s="70">
        <v>0</v>
      </c>
      <c r="P221" s="3">
        <v>0</v>
      </c>
      <c r="Q221" s="3">
        <v>0</v>
      </c>
      <c r="R221" s="3">
        <v>0.15945999999999999</v>
      </c>
      <c r="S221" s="3">
        <v>0</v>
      </c>
      <c r="T221" s="3">
        <v>85.63</v>
      </c>
      <c r="U221" s="3">
        <v>85.63</v>
      </c>
      <c r="V221" s="70" t="s">
        <v>637</v>
      </c>
      <c r="W221" s="3" t="s">
        <v>343</v>
      </c>
      <c r="X221" s="3" t="s">
        <v>337</v>
      </c>
      <c r="Y221" s="3" t="s">
        <v>337</v>
      </c>
    </row>
    <row r="222" spans="1:25" hidden="1" x14ac:dyDescent="0.2">
      <c r="A222" s="83" t="str">
        <f t="shared" si="3"/>
        <v>滑县滑台16A冷杯</v>
      </c>
      <c r="B222" s="3" t="s">
        <v>710</v>
      </c>
      <c r="C222" s="84">
        <v>44377</v>
      </c>
      <c r="D222" s="3" t="s">
        <v>371</v>
      </c>
      <c r="E222" s="3" t="s">
        <v>337</v>
      </c>
      <c r="F222" s="3" t="s">
        <v>337</v>
      </c>
      <c r="G222" s="70" t="s">
        <v>372</v>
      </c>
      <c r="H222" s="3" t="s">
        <v>343</v>
      </c>
      <c r="I222" s="3" t="s">
        <v>339</v>
      </c>
      <c r="J222" s="3">
        <v>880</v>
      </c>
      <c r="K222" s="3">
        <v>2600</v>
      </c>
      <c r="L222" s="3">
        <v>2581</v>
      </c>
      <c r="M222" s="3">
        <v>893</v>
      </c>
      <c r="N222" s="3">
        <v>899</v>
      </c>
      <c r="O222" s="70">
        <v>-6</v>
      </c>
      <c r="P222" s="3">
        <v>0</v>
      </c>
      <c r="Q222" s="3">
        <v>0</v>
      </c>
      <c r="R222" s="3">
        <v>0.15954099999999999</v>
      </c>
      <c r="S222" s="3">
        <v>-0.96</v>
      </c>
      <c r="T222" s="3">
        <v>142.47</v>
      </c>
      <c r="U222" s="3">
        <v>143.43</v>
      </c>
      <c r="V222" s="70" t="s">
        <v>639</v>
      </c>
      <c r="W222" s="3" t="s">
        <v>343</v>
      </c>
      <c r="X222" s="3" t="s">
        <v>337</v>
      </c>
      <c r="Y222" s="3" t="s">
        <v>337</v>
      </c>
    </row>
    <row r="223" spans="1:25" hidden="1" x14ac:dyDescent="0.2">
      <c r="A223" s="83" t="str">
        <f t="shared" si="3"/>
        <v>郑州裕华16A冷杯</v>
      </c>
      <c r="B223" s="3" t="s">
        <v>711</v>
      </c>
      <c r="C223" s="84">
        <v>44377</v>
      </c>
      <c r="D223" s="3" t="s">
        <v>371</v>
      </c>
      <c r="E223" s="3" t="s">
        <v>337</v>
      </c>
      <c r="F223" s="3" t="s">
        <v>337</v>
      </c>
      <c r="G223" s="70" t="s">
        <v>372</v>
      </c>
      <c r="H223" s="3" t="s">
        <v>343</v>
      </c>
      <c r="I223" s="3" t="s">
        <v>339</v>
      </c>
      <c r="J223" s="3">
        <v>1650</v>
      </c>
      <c r="K223" s="3">
        <v>1300</v>
      </c>
      <c r="L223" s="3">
        <v>1712</v>
      </c>
      <c r="M223" s="3">
        <v>1092</v>
      </c>
      <c r="N223" s="3">
        <v>1238</v>
      </c>
      <c r="O223" s="70">
        <v>-146</v>
      </c>
      <c r="P223" s="3">
        <v>0</v>
      </c>
      <c r="Q223" s="3">
        <v>0</v>
      </c>
      <c r="R223" s="3">
        <v>0.159551</v>
      </c>
      <c r="S223" s="3">
        <v>-23.29</v>
      </c>
      <c r="T223" s="3">
        <v>174.23</v>
      </c>
      <c r="U223" s="3">
        <v>197.52</v>
      </c>
      <c r="V223" s="70" t="s">
        <v>641</v>
      </c>
      <c r="W223" s="3" t="s">
        <v>343</v>
      </c>
      <c r="X223" s="3" t="s">
        <v>337</v>
      </c>
      <c r="Y223" s="3" t="s">
        <v>337</v>
      </c>
    </row>
    <row r="224" spans="1:25" hidden="1" x14ac:dyDescent="0.2">
      <c r="A224" s="83" t="str">
        <f t="shared" si="3"/>
        <v>清丰凤鸣16A冷杯</v>
      </c>
      <c r="B224" s="3" t="s">
        <v>713</v>
      </c>
      <c r="C224" s="84">
        <v>44377</v>
      </c>
      <c r="D224" s="3" t="s">
        <v>371</v>
      </c>
      <c r="E224" s="3" t="s">
        <v>337</v>
      </c>
      <c r="F224" s="3" t="s">
        <v>337</v>
      </c>
      <c r="G224" s="70" t="s">
        <v>372</v>
      </c>
      <c r="H224" s="3" t="s">
        <v>343</v>
      </c>
      <c r="I224" s="3" t="s">
        <v>339</v>
      </c>
      <c r="J224" s="3">
        <v>1418</v>
      </c>
      <c r="K224" s="3">
        <v>1300</v>
      </c>
      <c r="L224" s="3">
        <v>1274</v>
      </c>
      <c r="M224" s="3">
        <v>1438</v>
      </c>
      <c r="N224" s="3">
        <v>1444</v>
      </c>
      <c r="O224" s="70">
        <v>-6</v>
      </c>
      <c r="P224" s="3">
        <v>0</v>
      </c>
      <c r="Q224" s="3">
        <v>0</v>
      </c>
      <c r="R224" s="3">
        <v>0.159555</v>
      </c>
      <c r="S224" s="3">
        <v>-0.96</v>
      </c>
      <c r="T224" s="3">
        <v>229.44</v>
      </c>
      <c r="U224" s="3">
        <v>230.4</v>
      </c>
      <c r="V224" s="70" t="s">
        <v>334</v>
      </c>
      <c r="W224" s="3" t="s">
        <v>343</v>
      </c>
      <c r="X224" s="3" t="s">
        <v>337</v>
      </c>
      <c r="Y224" s="3" t="s">
        <v>337</v>
      </c>
    </row>
    <row r="225" spans="1:25" hidden="1" x14ac:dyDescent="0.2">
      <c r="A225" s="83" t="str">
        <f t="shared" si="3"/>
        <v>16A冷杯</v>
      </c>
      <c r="B225" s="3" t="s">
        <v>713</v>
      </c>
      <c r="C225" s="84">
        <v>44377</v>
      </c>
      <c r="D225" s="3" t="s">
        <v>371</v>
      </c>
      <c r="E225" s="3" t="s">
        <v>337</v>
      </c>
      <c r="F225" s="3" t="s">
        <v>337</v>
      </c>
      <c r="G225" s="70" t="s">
        <v>372</v>
      </c>
      <c r="H225" s="3" t="s">
        <v>343</v>
      </c>
      <c r="I225" s="3" t="s">
        <v>339</v>
      </c>
      <c r="J225" s="3">
        <v>0</v>
      </c>
      <c r="K225" s="3">
        <v>0</v>
      </c>
      <c r="L225" s="3">
        <v>0</v>
      </c>
      <c r="M225" s="3">
        <v>0</v>
      </c>
      <c r="N225" s="3">
        <v>0</v>
      </c>
      <c r="O225" s="70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70" t="s">
        <v>343</v>
      </c>
      <c r="W225" s="3" t="s">
        <v>343</v>
      </c>
      <c r="X225" s="3" t="s">
        <v>337</v>
      </c>
      <c r="Y225" s="3" t="s">
        <v>337</v>
      </c>
    </row>
    <row r="226" spans="1:25" hidden="1" x14ac:dyDescent="0.2">
      <c r="A226" s="83" t="str">
        <f t="shared" si="3"/>
        <v>方城锦城国际16A冷杯</v>
      </c>
      <c r="B226" s="3" t="s">
        <v>712</v>
      </c>
      <c r="C226" s="84">
        <v>44377</v>
      </c>
      <c r="D226" s="3" t="s">
        <v>371</v>
      </c>
      <c r="E226" s="3" t="s">
        <v>337</v>
      </c>
      <c r="F226" s="3" t="s">
        <v>337</v>
      </c>
      <c r="G226" s="70" t="s">
        <v>372</v>
      </c>
      <c r="H226" s="3" t="s">
        <v>343</v>
      </c>
      <c r="I226" s="3" t="s">
        <v>339</v>
      </c>
      <c r="J226" s="3">
        <v>1328</v>
      </c>
      <c r="K226" s="3">
        <v>1300</v>
      </c>
      <c r="L226" s="3">
        <v>1803</v>
      </c>
      <c r="M226" s="3">
        <v>825</v>
      </c>
      <c r="N226" s="3">
        <v>825</v>
      </c>
      <c r="O226" s="70">
        <v>0</v>
      </c>
      <c r="P226" s="3">
        <v>0</v>
      </c>
      <c r="Q226" s="3">
        <v>0</v>
      </c>
      <c r="R226" s="3">
        <v>0.15951499999999999</v>
      </c>
      <c r="S226" s="3">
        <v>0</v>
      </c>
      <c r="T226" s="3">
        <v>131.6</v>
      </c>
      <c r="U226" s="3">
        <v>131.6</v>
      </c>
      <c r="V226" s="70" t="s">
        <v>594</v>
      </c>
      <c r="W226" s="3" t="s">
        <v>343</v>
      </c>
      <c r="X226" s="3" t="s">
        <v>337</v>
      </c>
      <c r="Y226" s="3" t="s">
        <v>337</v>
      </c>
    </row>
    <row r="227" spans="1:25" hidden="1" x14ac:dyDescent="0.2">
      <c r="A227" s="83" t="str">
        <f t="shared" si="3"/>
        <v>方城锦城国际16A冷杯盖</v>
      </c>
      <c r="B227" s="3" t="s">
        <v>712</v>
      </c>
      <c r="C227" s="84">
        <v>44377</v>
      </c>
      <c r="D227" s="3" t="s">
        <v>373</v>
      </c>
      <c r="E227" s="3" t="s">
        <v>337</v>
      </c>
      <c r="F227" s="3" t="s">
        <v>337</v>
      </c>
      <c r="G227" s="70" t="s">
        <v>374</v>
      </c>
      <c r="H227" s="3" t="s">
        <v>363</v>
      </c>
      <c r="I227" s="3" t="s">
        <v>339</v>
      </c>
      <c r="J227" s="3">
        <v>2340</v>
      </c>
      <c r="K227" s="3">
        <v>0</v>
      </c>
      <c r="L227" s="3">
        <v>1857</v>
      </c>
      <c r="M227" s="3">
        <v>1885</v>
      </c>
      <c r="N227" s="3">
        <v>483</v>
      </c>
      <c r="O227" s="70">
        <v>1402</v>
      </c>
      <c r="P227" s="3">
        <v>0</v>
      </c>
      <c r="Q227" s="3">
        <v>0</v>
      </c>
      <c r="R227" s="3">
        <v>4.5373999999999998E-2</v>
      </c>
      <c r="S227" s="3">
        <v>63.61</v>
      </c>
      <c r="T227" s="3">
        <v>85.53</v>
      </c>
      <c r="U227" s="3">
        <v>21.92</v>
      </c>
      <c r="V227" s="70" t="s">
        <v>594</v>
      </c>
      <c r="W227" s="3" t="s">
        <v>343</v>
      </c>
      <c r="X227" s="3" t="s">
        <v>337</v>
      </c>
      <c r="Y227" s="3" t="s">
        <v>337</v>
      </c>
    </row>
    <row r="228" spans="1:25" hidden="1" x14ac:dyDescent="0.2">
      <c r="A228" s="83" t="str">
        <f t="shared" si="3"/>
        <v>清丰凤鸣16A冷杯盖</v>
      </c>
      <c r="B228" s="3" t="s">
        <v>713</v>
      </c>
      <c r="C228" s="84">
        <v>44377</v>
      </c>
      <c r="D228" s="3" t="s">
        <v>373</v>
      </c>
      <c r="E228" s="3" t="s">
        <v>337</v>
      </c>
      <c r="F228" s="3" t="s">
        <v>337</v>
      </c>
      <c r="G228" s="70" t="s">
        <v>374</v>
      </c>
      <c r="H228" s="3" t="s">
        <v>363</v>
      </c>
      <c r="I228" s="3" t="s">
        <v>339</v>
      </c>
      <c r="J228" s="3">
        <v>910</v>
      </c>
      <c r="K228" s="3">
        <v>0</v>
      </c>
      <c r="L228" s="3">
        <v>1380</v>
      </c>
      <c r="M228" s="3">
        <v>0</v>
      </c>
      <c r="N228" s="3">
        <v>-470</v>
      </c>
      <c r="O228" s="70">
        <v>470</v>
      </c>
      <c r="P228" s="3">
        <v>0</v>
      </c>
      <c r="Q228" s="3">
        <v>0</v>
      </c>
      <c r="R228" s="3">
        <v>4.5308000000000001E-2</v>
      </c>
      <c r="S228" s="3">
        <v>21.29</v>
      </c>
      <c r="T228" s="3">
        <v>0</v>
      </c>
      <c r="U228" s="3">
        <v>-21.29</v>
      </c>
      <c r="V228" s="70" t="s">
        <v>334</v>
      </c>
      <c r="W228" s="3" t="s">
        <v>343</v>
      </c>
      <c r="X228" s="3" t="s">
        <v>337</v>
      </c>
      <c r="Y228" s="3" t="s">
        <v>337</v>
      </c>
    </row>
    <row r="229" spans="1:25" hidden="1" x14ac:dyDescent="0.2">
      <c r="A229" s="83" t="str">
        <f t="shared" si="3"/>
        <v>郑州裕华16A冷杯盖</v>
      </c>
      <c r="B229" s="3" t="s">
        <v>711</v>
      </c>
      <c r="C229" s="84">
        <v>44377</v>
      </c>
      <c r="D229" s="3" t="s">
        <v>373</v>
      </c>
      <c r="E229" s="3" t="s">
        <v>337</v>
      </c>
      <c r="F229" s="3" t="s">
        <v>337</v>
      </c>
      <c r="G229" s="70" t="s">
        <v>374</v>
      </c>
      <c r="H229" s="3" t="s">
        <v>363</v>
      </c>
      <c r="I229" s="3" t="s">
        <v>339</v>
      </c>
      <c r="J229" s="3">
        <v>2600</v>
      </c>
      <c r="K229" s="3">
        <v>0</v>
      </c>
      <c r="L229" s="3">
        <v>1778</v>
      </c>
      <c r="M229" s="3">
        <v>884</v>
      </c>
      <c r="N229" s="3">
        <v>822</v>
      </c>
      <c r="O229" s="70">
        <v>62</v>
      </c>
      <c r="P229" s="3">
        <v>0</v>
      </c>
      <c r="Q229" s="3">
        <v>0</v>
      </c>
      <c r="R229" s="3">
        <v>4.5372999999999997E-2</v>
      </c>
      <c r="S229" s="3">
        <v>2.81</v>
      </c>
      <c r="T229" s="3">
        <v>40.11</v>
      </c>
      <c r="U229" s="3">
        <v>37.299999999999997</v>
      </c>
      <c r="V229" s="70" t="s">
        <v>641</v>
      </c>
      <c r="W229" s="3" t="s">
        <v>343</v>
      </c>
      <c r="X229" s="3" t="s">
        <v>337</v>
      </c>
      <c r="Y229" s="3" t="s">
        <v>337</v>
      </c>
    </row>
    <row r="230" spans="1:25" hidden="1" x14ac:dyDescent="0.2">
      <c r="A230" s="83" t="str">
        <f t="shared" si="3"/>
        <v>滑县滑台16A冷杯盖</v>
      </c>
      <c r="B230" s="3" t="s">
        <v>710</v>
      </c>
      <c r="C230" s="84">
        <v>44377</v>
      </c>
      <c r="D230" s="3" t="s">
        <v>373</v>
      </c>
      <c r="E230" s="3" t="s">
        <v>337</v>
      </c>
      <c r="F230" s="3" t="s">
        <v>337</v>
      </c>
      <c r="G230" s="70" t="s">
        <v>374</v>
      </c>
      <c r="H230" s="3" t="s">
        <v>363</v>
      </c>
      <c r="I230" s="3" t="s">
        <v>339</v>
      </c>
      <c r="J230" s="3">
        <v>0</v>
      </c>
      <c r="K230" s="3">
        <v>2600</v>
      </c>
      <c r="L230" s="3">
        <v>2652</v>
      </c>
      <c r="M230" s="3">
        <v>2269</v>
      </c>
      <c r="N230" s="3">
        <v>-52</v>
      </c>
      <c r="O230" s="70">
        <v>2321</v>
      </c>
      <c r="P230" s="3">
        <v>0</v>
      </c>
      <c r="Q230" s="3">
        <v>0</v>
      </c>
      <c r="R230" s="3">
        <v>4.5393999999999997E-2</v>
      </c>
      <c r="S230" s="3">
        <v>105.36</v>
      </c>
      <c r="T230" s="3">
        <v>103</v>
      </c>
      <c r="U230" s="3">
        <v>-2.36</v>
      </c>
      <c r="V230" s="70" t="s">
        <v>639</v>
      </c>
      <c r="W230" s="3" t="s">
        <v>343</v>
      </c>
      <c r="X230" s="3" t="s">
        <v>337</v>
      </c>
      <c r="Y230" s="3" t="s">
        <v>337</v>
      </c>
    </row>
    <row r="231" spans="1:25" hidden="1" x14ac:dyDescent="0.2">
      <c r="A231" s="83" t="str">
        <f t="shared" si="3"/>
        <v>郑州盛华里16A冷杯盖</v>
      </c>
      <c r="B231" s="3" t="s">
        <v>709</v>
      </c>
      <c r="C231" s="84">
        <v>44377</v>
      </c>
      <c r="D231" s="3" t="s">
        <v>373</v>
      </c>
      <c r="E231" s="3" t="s">
        <v>337</v>
      </c>
      <c r="F231" s="3" t="s">
        <v>337</v>
      </c>
      <c r="G231" s="70" t="s">
        <v>374</v>
      </c>
      <c r="H231" s="3" t="s">
        <v>363</v>
      </c>
      <c r="I231" s="3" t="s">
        <v>339</v>
      </c>
      <c r="J231" s="3">
        <v>2500</v>
      </c>
      <c r="K231" s="3">
        <v>0</v>
      </c>
      <c r="L231" s="3">
        <v>1418</v>
      </c>
      <c r="M231" s="3">
        <v>1080</v>
      </c>
      <c r="N231" s="3">
        <v>1082</v>
      </c>
      <c r="O231" s="70">
        <v>-2</v>
      </c>
      <c r="P231" s="3">
        <v>0</v>
      </c>
      <c r="Q231" s="3">
        <v>0</v>
      </c>
      <c r="R231" s="3">
        <v>4.5360999999999999E-2</v>
      </c>
      <c r="S231" s="3">
        <v>-0.09</v>
      </c>
      <c r="T231" s="3">
        <v>48.99</v>
      </c>
      <c r="U231" s="3">
        <v>49.08</v>
      </c>
      <c r="V231" s="70" t="s">
        <v>637</v>
      </c>
      <c r="W231" s="3" t="s">
        <v>343</v>
      </c>
      <c r="X231" s="3" t="s">
        <v>337</v>
      </c>
      <c r="Y231" s="3" t="s">
        <v>337</v>
      </c>
    </row>
    <row r="232" spans="1:25" hidden="1" x14ac:dyDescent="0.2">
      <c r="A232" s="83" t="str">
        <f t="shared" si="3"/>
        <v>新蔡水韵天街16A冷杯盖</v>
      </c>
      <c r="B232" s="3" t="s">
        <v>703</v>
      </c>
      <c r="C232" s="84">
        <v>44377</v>
      </c>
      <c r="D232" s="3" t="s">
        <v>373</v>
      </c>
      <c r="E232" s="3" t="s">
        <v>337</v>
      </c>
      <c r="F232" s="3" t="s">
        <v>337</v>
      </c>
      <c r="G232" s="70" t="s">
        <v>374</v>
      </c>
      <c r="H232" s="3" t="s">
        <v>363</v>
      </c>
      <c r="I232" s="3" t="s">
        <v>339</v>
      </c>
      <c r="J232" s="3">
        <v>0</v>
      </c>
      <c r="K232" s="3">
        <v>0</v>
      </c>
      <c r="L232" s="3">
        <v>1860</v>
      </c>
      <c r="M232" s="3">
        <v>0</v>
      </c>
      <c r="N232" s="3">
        <v>-1860</v>
      </c>
      <c r="O232" s="70">
        <v>1860</v>
      </c>
      <c r="P232" s="3">
        <v>0</v>
      </c>
      <c r="Q232" s="3">
        <v>0</v>
      </c>
      <c r="R232" s="3">
        <v>4.5697000000000002E-2</v>
      </c>
      <c r="S232" s="3">
        <v>85</v>
      </c>
      <c r="T232" s="3">
        <v>0</v>
      </c>
      <c r="U232" s="3">
        <v>-85</v>
      </c>
      <c r="V232" s="70" t="s">
        <v>335</v>
      </c>
      <c r="W232" s="3" t="s">
        <v>343</v>
      </c>
      <c r="X232" s="3" t="s">
        <v>337</v>
      </c>
      <c r="Y232" s="3" t="s">
        <v>337</v>
      </c>
    </row>
    <row r="233" spans="1:25" hidden="1" x14ac:dyDescent="0.2">
      <c r="A233" s="83" t="str">
        <f t="shared" si="3"/>
        <v>郑州康复中街16A冷杯盖</v>
      </c>
      <c r="B233" s="3" t="s">
        <v>704</v>
      </c>
      <c r="C233" s="84">
        <v>44377</v>
      </c>
      <c r="D233" s="3" t="s">
        <v>373</v>
      </c>
      <c r="E233" s="3" t="s">
        <v>337</v>
      </c>
      <c r="F233" s="3" t="s">
        <v>337</v>
      </c>
      <c r="G233" s="70" t="s">
        <v>374</v>
      </c>
      <c r="H233" s="3" t="s">
        <v>363</v>
      </c>
      <c r="I233" s="3" t="s">
        <v>339</v>
      </c>
      <c r="J233" s="3">
        <v>2078</v>
      </c>
      <c r="K233" s="3">
        <v>0</v>
      </c>
      <c r="L233" s="3">
        <v>3911</v>
      </c>
      <c r="M233" s="3">
        <v>987</v>
      </c>
      <c r="N233" s="3">
        <v>-1833</v>
      </c>
      <c r="O233" s="70">
        <v>2820</v>
      </c>
      <c r="P233" s="3">
        <v>0</v>
      </c>
      <c r="Q233" s="3">
        <v>0</v>
      </c>
      <c r="R233" s="3">
        <v>4.5338999999999997E-2</v>
      </c>
      <c r="S233" s="3">
        <v>127.86</v>
      </c>
      <c r="T233" s="3">
        <v>44.75</v>
      </c>
      <c r="U233" s="3">
        <v>-83.11</v>
      </c>
      <c r="V233" s="70" t="s">
        <v>593</v>
      </c>
      <c r="W233" s="3" t="s">
        <v>343</v>
      </c>
      <c r="X233" s="3" t="s">
        <v>337</v>
      </c>
      <c r="Y233" s="3" t="s">
        <v>337</v>
      </c>
    </row>
    <row r="234" spans="1:25" hidden="1" x14ac:dyDescent="0.2">
      <c r="A234" s="83" t="str">
        <f t="shared" si="3"/>
        <v>郑州西悦城16A冷杯盖</v>
      </c>
      <c r="B234" s="3" t="s">
        <v>708</v>
      </c>
      <c r="C234" s="84">
        <v>44377</v>
      </c>
      <c r="D234" s="3" t="s">
        <v>373</v>
      </c>
      <c r="E234" s="3" t="s">
        <v>337</v>
      </c>
      <c r="F234" s="3" t="s">
        <v>337</v>
      </c>
      <c r="G234" s="70" t="s">
        <v>374</v>
      </c>
      <c r="H234" s="3" t="s">
        <v>363</v>
      </c>
      <c r="I234" s="3" t="s">
        <v>339</v>
      </c>
      <c r="J234" s="3">
        <v>0</v>
      </c>
      <c r="K234" s="3">
        <v>0</v>
      </c>
      <c r="L234" s="3">
        <v>4075</v>
      </c>
      <c r="M234" s="3">
        <v>0</v>
      </c>
      <c r="N234" s="3">
        <v>-4075</v>
      </c>
      <c r="O234" s="70">
        <v>4075</v>
      </c>
      <c r="P234" s="3">
        <v>0</v>
      </c>
      <c r="Q234" s="3">
        <v>0</v>
      </c>
      <c r="R234" s="3">
        <v>4.5697000000000002E-2</v>
      </c>
      <c r="S234" s="3">
        <v>186.22</v>
      </c>
      <c r="T234" s="3">
        <v>0</v>
      </c>
      <c r="U234" s="3">
        <v>-186.22</v>
      </c>
      <c r="V234" s="70" t="s">
        <v>332</v>
      </c>
      <c r="W234" s="3" t="s">
        <v>343</v>
      </c>
      <c r="X234" s="3" t="s">
        <v>337</v>
      </c>
      <c r="Y234" s="3" t="s">
        <v>337</v>
      </c>
    </row>
    <row r="235" spans="1:25" hidden="1" x14ac:dyDescent="0.2">
      <c r="A235" s="83" t="str">
        <f t="shared" si="3"/>
        <v>郑州铁英街16A冷杯盖</v>
      </c>
      <c r="B235" s="3" t="s">
        <v>707</v>
      </c>
      <c r="C235" s="84">
        <v>44377</v>
      </c>
      <c r="D235" s="3" t="s">
        <v>373</v>
      </c>
      <c r="E235" s="3" t="s">
        <v>337</v>
      </c>
      <c r="F235" s="3" t="s">
        <v>337</v>
      </c>
      <c r="G235" s="70" t="s">
        <v>374</v>
      </c>
      <c r="H235" s="3" t="s">
        <v>363</v>
      </c>
      <c r="I235" s="3" t="s">
        <v>339</v>
      </c>
      <c r="J235" s="3">
        <v>1500</v>
      </c>
      <c r="K235" s="3">
        <v>0</v>
      </c>
      <c r="L235" s="3">
        <v>1997</v>
      </c>
      <c r="M235" s="3">
        <v>780</v>
      </c>
      <c r="N235" s="3">
        <v>-497</v>
      </c>
      <c r="O235" s="70">
        <v>1277</v>
      </c>
      <c r="P235" s="3">
        <v>0</v>
      </c>
      <c r="Q235" s="3">
        <v>0</v>
      </c>
      <c r="R235" s="3">
        <v>4.5321E-2</v>
      </c>
      <c r="S235" s="3">
        <v>57.87</v>
      </c>
      <c r="T235" s="3">
        <v>35.35</v>
      </c>
      <c r="U235" s="3">
        <v>-22.52</v>
      </c>
      <c r="V235" s="70" t="s">
        <v>592</v>
      </c>
      <c r="W235" s="3" t="s">
        <v>343</v>
      </c>
      <c r="X235" s="3" t="s">
        <v>337</v>
      </c>
      <c r="Y235" s="3" t="s">
        <v>337</v>
      </c>
    </row>
    <row r="236" spans="1:25" hidden="1" x14ac:dyDescent="0.2">
      <c r="A236" s="83" t="str">
        <f t="shared" si="3"/>
        <v>华山龙源16A冷杯盖</v>
      </c>
      <c r="B236" s="3" t="s">
        <v>705</v>
      </c>
      <c r="C236" s="84">
        <v>44377</v>
      </c>
      <c r="D236" s="3" t="s">
        <v>373</v>
      </c>
      <c r="E236" s="3" t="s">
        <v>337</v>
      </c>
      <c r="F236" s="3" t="s">
        <v>337</v>
      </c>
      <c r="G236" s="70" t="s">
        <v>374</v>
      </c>
      <c r="H236" s="3" t="s">
        <v>363</v>
      </c>
      <c r="I236" s="3" t="s">
        <v>339</v>
      </c>
      <c r="J236" s="3">
        <v>0</v>
      </c>
      <c r="K236" s="3">
        <v>1040</v>
      </c>
      <c r="L236" s="3">
        <v>1219</v>
      </c>
      <c r="M236" s="3">
        <v>796</v>
      </c>
      <c r="N236" s="3">
        <v>-179</v>
      </c>
      <c r="O236" s="70">
        <v>975</v>
      </c>
      <c r="P236" s="3">
        <v>0</v>
      </c>
      <c r="Q236" s="3">
        <v>0</v>
      </c>
      <c r="R236" s="3">
        <v>4.7135999999999997E-2</v>
      </c>
      <c r="S236" s="3">
        <v>45.96</v>
      </c>
      <c r="T236" s="3">
        <v>37.520000000000003</v>
      </c>
      <c r="U236" s="3">
        <v>-8.44</v>
      </c>
      <c r="V236" s="70" t="s">
        <v>643</v>
      </c>
      <c r="W236" s="3" t="s">
        <v>343</v>
      </c>
      <c r="X236" s="3" t="s">
        <v>337</v>
      </c>
      <c r="Y236" s="3" t="s">
        <v>337</v>
      </c>
    </row>
    <row r="237" spans="1:25" hidden="1" x14ac:dyDescent="0.2">
      <c r="A237" s="83" t="str">
        <f t="shared" si="3"/>
        <v>郑州瀚海海尚16A冷杯盖</v>
      </c>
      <c r="B237" s="3" t="s">
        <v>706</v>
      </c>
      <c r="C237" s="84">
        <v>44377</v>
      </c>
      <c r="D237" s="3" t="s">
        <v>373</v>
      </c>
      <c r="E237" s="3" t="s">
        <v>337</v>
      </c>
      <c r="F237" s="3" t="s">
        <v>337</v>
      </c>
      <c r="G237" s="70" t="s">
        <v>374</v>
      </c>
      <c r="H237" s="3" t="s">
        <v>363</v>
      </c>
      <c r="I237" s="3" t="s">
        <v>339</v>
      </c>
      <c r="J237" s="3">
        <v>2600</v>
      </c>
      <c r="K237" s="3">
        <v>2600</v>
      </c>
      <c r="L237" s="3">
        <v>4652</v>
      </c>
      <c r="M237" s="3">
        <v>3400</v>
      </c>
      <c r="N237" s="3">
        <v>548</v>
      </c>
      <c r="O237" s="70">
        <v>2852</v>
      </c>
      <c r="P237" s="3">
        <v>0</v>
      </c>
      <c r="Q237" s="3">
        <v>0</v>
      </c>
      <c r="R237" s="3">
        <v>4.5381999999999999E-2</v>
      </c>
      <c r="S237" s="3">
        <v>129.43</v>
      </c>
      <c r="T237" s="3">
        <v>154.30000000000001</v>
      </c>
      <c r="U237" s="3">
        <v>24.87</v>
      </c>
      <c r="V237" s="70" t="s">
        <v>333</v>
      </c>
      <c r="W237" s="3" t="s">
        <v>343</v>
      </c>
      <c r="X237" s="3" t="s">
        <v>337</v>
      </c>
      <c r="Y237" s="3" t="s">
        <v>337</v>
      </c>
    </row>
    <row r="238" spans="1:25" hidden="1" x14ac:dyDescent="0.2">
      <c r="A238" s="83" t="str">
        <f t="shared" si="3"/>
        <v>郑州政六街16A冷杯盖</v>
      </c>
      <c r="B238" s="3" t="s">
        <v>714</v>
      </c>
      <c r="C238" s="84">
        <v>44377</v>
      </c>
      <c r="D238" s="3" t="s">
        <v>373</v>
      </c>
      <c r="E238" s="3" t="s">
        <v>337</v>
      </c>
      <c r="F238" s="3" t="s">
        <v>337</v>
      </c>
      <c r="G238" s="70" t="s">
        <v>374</v>
      </c>
      <c r="H238" s="3" t="s">
        <v>363</v>
      </c>
      <c r="I238" s="3" t="s">
        <v>339</v>
      </c>
      <c r="J238" s="3">
        <v>2470</v>
      </c>
      <c r="K238" s="3">
        <v>0</v>
      </c>
      <c r="L238" s="3">
        <v>4323</v>
      </c>
      <c r="M238" s="3">
        <v>1560</v>
      </c>
      <c r="N238" s="3">
        <v>-1853</v>
      </c>
      <c r="O238" s="70">
        <v>3413</v>
      </c>
      <c r="P238" s="3">
        <v>0</v>
      </c>
      <c r="Q238" s="3">
        <v>0</v>
      </c>
      <c r="R238" s="3">
        <v>4.5404E-2</v>
      </c>
      <c r="S238" s="3">
        <v>154.96</v>
      </c>
      <c r="T238" s="3">
        <v>70.83</v>
      </c>
      <c r="U238" s="3">
        <v>-84.13</v>
      </c>
      <c r="V238" s="70" t="s">
        <v>591</v>
      </c>
      <c r="W238" s="3" t="s">
        <v>343</v>
      </c>
      <c r="X238" s="3" t="s">
        <v>337</v>
      </c>
      <c r="Y238" s="3" t="s">
        <v>337</v>
      </c>
    </row>
    <row r="239" spans="1:25" hidden="1" x14ac:dyDescent="0.2">
      <c r="A239" s="83" t="str">
        <f t="shared" si="3"/>
        <v>郑州政六街一次性手套</v>
      </c>
      <c r="B239" s="3" t="s">
        <v>714</v>
      </c>
      <c r="C239" s="84">
        <v>44377</v>
      </c>
      <c r="D239" s="3" t="s">
        <v>375</v>
      </c>
      <c r="E239" s="3" t="s">
        <v>337</v>
      </c>
      <c r="F239" s="3" t="s">
        <v>337</v>
      </c>
      <c r="G239" s="70" t="s">
        <v>376</v>
      </c>
      <c r="H239" s="3" t="s">
        <v>377</v>
      </c>
      <c r="I239" s="3" t="s">
        <v>354</v>
      </c>
      <c r="J239" s="3">
        <v>5</v>
      </c>
      <c r="K239" s="3">
        <v>400</v>
      </c>
      <c r="L239" s="3">
        <v>0</v>
      </c>
      <c r="M239" s="3">
        <v>280</v>
      </c>
      <c r="N239" s="3">
        <v>405</v>
      </c>
      <c r="O239" s="70">
        <v>-125</v>
      </c>
      <c r="P239" s="3">
        <v>0</v>
      </c>
      <c r="Q239" s="3">
        <v>0</v>
      </c>
      <c r="R239" s="3">
        <v>1.55</v>
      </c>
      <c r="S239" s="3">
        <v>-193.75</v>
      </c>
      <c r="T239" s="3">
        <v>434</v>
      </c>
      <c r="U239" s="3">
        <v>627.75</v>
      </c>
      <c r="V239" s="70" t="s">
        <v>591</v>
      </c>
      <c r="W239" s="3" t="s">
        <v>343</v>
      </c>
      <c r="X239" s="3" t="s">
        <v>337</v>
      </c>
      <c r="Y239" s="3" t="s">
        <v>337</v>
      </c>
    </row>
    <row r="240" spans="1:25" hidden="1" x14ac:dyDescent="0.2">
      <c r="A240" s="83" t="str">
        <f t="shared" si="3"/>
        <v>华山龙源一次性手套</v>
      </c>
      <c r="B240" s="3" t="s">
        <v>705</v>
      </c>
      <c r="C240" s="84">
        <v>44377</v>
      </c>
      <c r="D240" s="3" t="s">
        <v>375</v>
      </c>
      <c r="E240" s="3" t="s">
        <v>337</v>
      </c>
      <c r="F240" s="3" t="s">
        <v>337</v>
      </c>
      <c r="G240" s="70" t="s">
        <v>376</v>
      </c>
      <c r="H240" s="3" t="s">
        <v>377</v>
      </c>
      <c r="I240" s="3" t="s">
        <v>354</v>
      </c>
      <c r="J240" s="3">
        <v>56</v>
      </c>
      <c r="K240" s="3">
        <v>100</v>
      </c>
      <c r="L240" s="3">
        <v>0</v>
      </c>
      <c r="M240" s="3">
        <v>100</v>
      </c>
      <c r="N240" s="3">
        <v>156</v>
      </c>
      <c r="O240" s="70">
        <v>-56</v>
      </c>
      <c r="P240" s="3">
        <v>0</v>
      </c>
      <c r="Q240" s="3">
        <v>0</v>
      </c>
      <c r="R240" s="3">
        <v>1.55</v>
      </c>
      <c r="S240" s="3">
        <v>-86.8</v>
      </c>
      <c r="T240" s="3">
        <v>155</v>
      </c>
      <c r="U240" s="3">
        <v>241.8</v>
      </c>
      <c r="V240" s="70" t="s">
        <v>643</v>
      </c>
      <c r="W240" s="3" t="s">
        <v>343</v>
      </c>
      <c r="X240" s="3" t="s">
        <v>337</v>
      </c>
      <c r="Y240" s="3" t="s">
        <v>337</v>
      </c>
    </row>
    <row r="241" spans="1:25" hidden="1" x14ac:dyDescent="0.2">
      <c r="A241" s="83" t="str">
        <f t="shared" si="3"/>
        <v>郑州西悦城一次性手套</v>
      </c>
      <c r="B241" s="3" t="s">
        <v>708</v>
      </c>
      <c r="C241" s="84">
        <v>44377</v>
      </c>
      <c r="D241" s="3" t="s">
        <v>375</v>
      </c>
      <c r="E241" s="3" t="s">
        <v>337</v>
      </c>
      <c r="F241" s="3" t="s">
        <v>337</v>
      </c>
      <c r="G241" s="70" t="s">
        <v>376</v>
      </c>
      <c r="H241" s="3" t="s">
        <v>377</v>
      </c>
      <c r="I241" s="3" t="s">
        <v>354</v>
      </c>
      <c r="J241" s="3">
        <v>45</v>
      </c>
      <c r="K241" s="3">
        <v>100</v>
      </c>
      <c r="L241" s="3">
        <v>0</v>
      </c>
      <c r="M241" s="3">
        <v>50</v>
      </c>
      <c r="N241" s="3">
        <v>145</v>
      </c>
      <c r="O241" s="70">
        <v>-95</v>
      </c>
      <c r="P241" s="3">
        <v>0</v>
      </c>
      <c r="Q241" s="3">
        <v>0</v>
      </c>
      <c r="R241" s="3">
        <v>1.55</v>
      </c>
      <c r="S241" s="3">
        <v>-147.25</v>
      </c>
      <c r="T241" s="3">
        <v>77.5</v>
      </c>
      <c r="U241" s="3">
        <v>224.75</v>
      </c>
      <c r="V241" s="70" t="s">
        <v>332</v>
      </c>
      <c r="W241" s="3" t="s">
        <v>343</v>
      </c>
      <c r="X241" s="3" t="s">
        <v>337</v>
      </c>
      <c r="Y241" s="3" t="s">
        <v>337</v>
      </c>
    </row>
    <row r="242" spans="1:25" hidden="1" x14ac:dyDescent="0.2">
      <c r="A242" s="83" t="str">
        <f t="shared" si="3"/>
        <v>郑州铁英街一次性手套</v>
      </c>
      <c r="B242" s="3" t="s">
        <v>707</v>
      </c>
      <c r="C242" s="84">
        <v>44377</v>
      </c>
      <c r="D242" s="3" t="s">
        <v>375</v>
      </c>
      <c r="E242" s="3" t="s">
        <v>337</v>
      </c>
      <c r="F242" s="3" t="s">
        <v>337</v>
      </c>
      <c r="G242" s="70" t="s">
        <v>376</v>
      </c>
      <c r="H242" s="3" t="s">
        <v>377</v>
      </c>
      <c r="I242" s="3" t="s">
        <v>354</v>
      </c>
      <c r="J242" s="3">
        <v>82</v>
      </c>
      <c r="K242" s="3">
        <v>0</v>
      </c>
      <c r="L242" s="3">
        <v>0</v>
      </c>
      <c r="M242" s="3">
        <v>31</v>
      </c>
      <c r="N242" s="3">
        <v>82</v>
      </c>
      <c r="O242" s="70">
        <v>-51</v>
      </c>
      <c r="P242" s="3">
        <v>0</v>
      </c>
      <c r="Q242" s="3">
        <v>0</v>
      </c>
      <c r="R242" s="3">
        <v>1.55</v>
      </c>
      <c r="S242" s="3">
        <v>-79.05</v>
      </c>
      <c r="T242" s="3">
        <v>48.05</v>
      </c>
      <c r="U242" s="3">
        <v>127.1</v>
      </c>
      <c r="V242" s="70" t="s">
        <v>592</v>
      </c>
      <c r="W242" s="3" t="s">
        <v>343</v>
      </c>
      <c r="X242" s="3" t="s">
        <v>337</v>
      </c>
      <c r="Y242" s="3" t="s">
        <v>337</v>
      </c>
    </row>
    <row r="243" spans="1:25" hidden="1" x14ac:dyDescent="0.2">
      <c r="A243" s="83" t="str">
        <f t="shared" si="3"/>
        <v>郑州康复中街一次性手套</v>
      </c>
      <c r="B243" s="3" t="s">
        <v>704</v>
      </c>
      <c r="C243" s="84">
        <v>44377</v>
      </c>
      <c r="D243" s="3" t="s">
        <v>375</v>
      </c>
      <c r="E243" s="3" t="s">
        <v>337</v>
      </c>
      <c r="F243" s="3" t="s">
        <v>337</v>
      </c>
      <c r="G243" s="70" t="s">
        <v>376</v>
      </c>
      <c r="H243" s="3" t="s">
        <v>377</v>
      </c>
      <c r="I243" s="3" t="s">
        <v>354</v>
      </c>
      <c r="J243" s="3">
        <v>9</v>
      </c>
      <c r="K243" s="3">
        <v>100</v>
      </c>
      <c r="L243" s="3">
        <v>0</v>
      </c>
      <c r="M243" s="3">
        <v>60</v>
      </c>
      <c r="N243" s="3">
        <v>109</v>
      </c>
      <c r="O243" s="70">
        <v>-49</v>
      </c>
      <c r="P243" s="3">
        <v>0</v>
      </c>
      <c r="Q243" s="3">
        <v>0</v>
      </c>
      <c r="R243" s="3">
        <v>1.55</v>
      </c>
      <c r="S243" s="3">
        <v>-75.95</v>
      </c>
      <c r="T243" s="3">
        <v>93</v>
      </c>
      <c r="U243" s="3">
        <v>168.95</v>
      </c>
      <c r="V243" s="70" t="s">
        <v>593</v>
      </c>
      <c r="W243" s="3" t="s">
        <v>343</v>
      </c>
      <c r="X243" s="3" t="s">
        <v>337</v>
      </c>
      <c r="Y243" s="3" t="s">
        <v>337</v>
      </c>
    </row>
    <row r="244" spans="1:25" hidden="1" x14ac:dyDescent="0.2">
      <c r="A244" s="83" t="str">
        <f t="shared" si="3"/>
        <v>新蔡水韵天街一次性手套</v>
      </c>
      <c r="B244" s="3" t="s">
        <v>703</v>
      </c>
      <c r="C244" s="84">
        <v>44377</v>
      </c>
      <c r="D244" s="3" t="s">
        <v>375</v>
      </c>
      <c r="E244" s="3" t="s">
        <v>337</v>
      </c>
      <c r="F244" s="3" t="s">
        <v>337</v>
      </c>
      <c r="G244" s="70" t="s">
        <v>376</v>
      </c>
      <c r="H244" s="3" t="s">
        <v>377</v>
      </c>
      <c r="I244" s="3" t="s">
        <v>354</v>
      </c>
      <c r="J244" s="3">
        <v>70</v>
      </c>
      <c r="K244" s="3">
        <v>0</v>
      </c>
      <c r="L244" s="3">
        <v>0</v>
      </c>
      <c r="M244" s="3">
        <v>20</v>
      </c>
      <c r="N244" s="3">
        <v>70</v>
      </c>
      <c r="O244" s="70">
        <v>-50</v>
      </c>
      <c r="P244" s="3">
        <v>0</v>
      </c>
      <c r="Q244" s="3">
        <v>0</v>
      </c>
      <c r="R244" s="3">
        <v>1.55</v>
      </c>
      <c r="S244" s="3">
        <v>-77.5</v>
      </c>
      <c r="T244" s="3">
        <v>31</v>
      </c>
      <c r="U244" s="3">
        <v>108.5</v>
      </c>
      <c r="V244" s="70" t="s">
        <v>335</v>
      </c>
      <c r="W244" s="3" t="s">
        <v>343</v>
      </c>
      <c r="X244" s="3" t="s">
        <v>337</v>
      </c>
      <c r="Y244" s="3" t="s">
        <v>337</v>
      </c>
    </row>
    <row r="245" spans="1:25" hidden="1" x14ac:dyDescent="0.2">
      <c r="A245" s="83" t="str">
        <f t="shared" si="3"/>
        <v>郑州盛华里一次性手套</v>
      </c>
      <c r="B245" s="3" t="s">
        <v>709</v>
      </c>
      <c r="C245" s="84">
        <v>44377</v>
      </c>
      <c r="D245" s="3" t="s">
        <v>375</v>
      </c>
      <c r="E245" s="3" t="s">
        <v>337</v>
      </c>
      <c r="F245" s="3" t="s">
        <v>337</v>
      </c>
      <c r="G245" s="70" t="s">
        <v>376</v>
      </c>
      <c r="H245" s="3" t="s">
        <v>377</v>
      </c>
      <c r="I245" s="3" t="s">
        <v>354</v>
      </c>
      <c r="J245" s="3">
        <v>70</v>
      </c>
      <c r="K245" s="3">
        <v>100</v>
      </c>
      <c r="L245" s="3">
        <v>0</v>
      </c>
      <c r="M245" s="3">
        <v>150</v>
      </c>
      <c r="N245" s="3">
        <v>170</v>
      </c>
      <c r="O245" s="70">
        <v>-20</v>
      </c>
      <c r="P245" s="3">
        <v>0</v>
      </c>
      <c r="Q245" s="3">
        <v>0</v>
      </c>
      <c r="R245" s="3">
        <v>1.55</v>
      </c>
      <c r="S245" s="3">
        <v>-31</v>
      </c>
      <c r="T245" s="3">
        <v>232.5</v>
      </c>
      <c r="U245" s="3">
        <v>263.5</v>
      </c>
      <c r="V245" s="70" t="s">
        <v>637</v>
      </c>
      <c r="W245" s="3" t="s">
        <v>343</v>
      </c>
      <c r="X245" s="3" t="s">
        <v>337</v>
      </c>
      <c r="Y245" s="3" t="s">
        <v>337</v>
      </c>
    </row>
    <row r="246" spans="1:25" hidden="1" x14ac:dyDescent="0.2">
      <c r="A246" s="83" t="str">
        <f t="shared" si="3"/>
        <v>滑县滑台一次性手套</v>
      </c>
      <c r="B246" s="3" t="s">
        <v>710</v>
      </c>
      <c r="C246" s="84">
        <v>44377</v>
      </c>
      <c r="D246" s="3" t="s">
        <v>375</v>
      </c>
      <c r="E246" s="3" t="s">
        <v>337</v>
      </c>
      <c r="F246" s="3" t="s">
        <v>337</v>
      </c>
      <c r="G246" s="70" t="s">
        <v>376</v>
      </c>
      <c r="H246" s="3" t="s">
        <v>377</v>
      </c>
      <c r="I246" s="3" t="s">
        <v>354</v>
      </c>
      <c r="J246" s="3">
        <v>33</v>
      </c>
      <c r="K246" s="3">
        <v>100</v>
      </c>
      <c r="L246" s="3">
        <v>0</v>
      </c>
      <c r="M246" s="3">
        <v>60</v>
      </c>
      <c r="N246" s="3">
        <v>133</v>
      </c>
      <c r="O246" s="70">
        <v>-73</v>
      </c>
      <c r="P246" s="3">
        <v>0</v>
      </c>
      <c r="Q246" s="3">
        <v>0</v>
      </c>
      <c r="R246" s="3">
        <v>1.55</v>
      </c>
      <c r="S246" s="3">
        <v>-113.15</v>
      </c>
      <c r="T246" s="3">
        <v>93</v>
      </c>
      <c r="U246" s="3">
        <v>206.15</v>
      </c>
      <c r="V246" s="70" t="s">
        <v>639</v>
      </c>
      <c r="W246" s="3" t="s">
        <v>343</v>
      </c>
      <c r="X246" s="3" t="s">
        <v>337</v>
      </c>
      <c r="Y246" s="3" t="s">
        <v>337</v>
      </c>
    </row>
    <row r="247" spans="1:25" hidden="1" x14ac:dyDescent="0.2">
      <c r="A247" s="83" t="str">
        <f t="shared" si="3"/>
        <v>郑州裕华一次性手套</v>
      </c>
      <c r="B247" s="3" t="s">
        <v>711</v>
      </c>
      <c r="C247" s="84">
        <v>44377</v>
      </c>
      <c r="D247" s="3" t="s">
        <v>375</v>
      </c>
      <c r="E247" s="3" t="s">
        <v>337</v>
      </c>
      <c r="F247" s="3" t="s">
        <v>337</v>
      </c>
      <c r="G247" s="70" t="s">
        <v>376</v>
      </c>
      <c r="H247" s="3" t="s">
        <v>377</v>
      </c>
      <c r="I247" s="3" t="s">
        <v>354</v>
      </c>
      <c r="J247" s="3">
        <v>120</v>
      </c>
      <c r="K247" s="3">
        <v>0</v>
      </c>
      <c r="L247" s="3">
        <v>0</v>
      </c>
      <c r="M247" s="3">
        <v>50</v>
      </c>
      <c r="N247" s="3">
        <v>120</v>
      </c>
      <c r="O247" s="70">
        <v>-70</v>
      </c>
      <c r="P247" s="3">
        <v>0</v>
      </c>
      <c r="Q247" s="3">
        <v>0</v>
      </c>
      <c r="R247" s="3">
        <v>1.55</v>
      </c>
      <c r="S247" s="3">
        <v>-108.5</v>
      </c>
      <c r="T247" s="3">
        <v>77.5</v>
      </c>
      <c r="U247" s="3">
        <v>186</v>
      </c>
      <c r="V247" s="70" t="s">
        <v>641</v>
      </c>
      <c r="W247" s="3" t="s">
        <v>343</v>
      </c>
      <c r="X247" s="3" t="s">
        <v>337</v>
      </c>
      <c r="Y247" s="3" t="s">
        <v>337</v>
      </c>
    </row>
    <row r="248" spans="1:25" hidden="1" x14ac:dyDescent="0.2">
      <c r="A248" s="83" t="str">
        <f t="shared" si="3"/>
        <v>清丰凤鸣一次性手套</v>
      </c>
      <c r="B248" s="3" t="s">
        <v>713</v>
      </c>
      <c r="C248" s="84">
        <v>44377</v>
      </c>
      <c r="D248" s="3" t="s">
        <v>375</v>
      </c>
      <c r="E248" s="3" t="s">
        <v>337</v>
      </c>
      <c r="F248" s="3" t="s">
        <v>337</v>
      </c>
      <c r="G248" s="70" t="s">
        <v>376</v>
      </c>
      <c r="H248" s="3" t="s">
        <v>377</v>
      </c>
      <c r="I248" s="3" t="s">
        <v>354</v>
      </c>
      <c r="J248" s="3">
        <v>131</v>
      </c>
      <c r="K248" s="3">
        <v>0</v>
      </c>
      <c r="L248" s="3">
        <v>0</v>
      </c>
      <c r="M248" s="3">
        <v>90</v>
      </c>
      <c r="N248" s="3">
        <v>131</v>
      </c>
      <c r="O248" s="70">
        <v>-41</v>
      </c>
      <c r="P248" s="3">
        <v>0</v>
      </c>
      <c r="Q248" s="3">
        <v>0</v>
      </c>
      <c r="R248" s="3">
        <v>1.55</v>
      </c>
      <c r="S248" s="3">
        <v>-63.55</v>
      </c>
      <c r="T248" s="3">
        <v>139.5</v>
      </c>
      <c r="U248" s="3">
        <v>203.05</v>
      </c>
      <c r="V248" s="70" t="s">
        <v>334</v>
      </c>
      <c r="W248" s="3" t="s">
        <v>343</v>
      </c>
      <c r="X248" s="3" t="s">
        <v>337</v>
      </c>
      <c r="Y248" s="3" t="s">
        <v>337</v>
      </c>
    </row>
    <row r="249" spans="1:25" hidden="1" x14ac:dyDescent="0.2">
      <c r="A249" s="83" t="str">
        <f t="shared" si="3"/>
        <v>方城锦城国际一次性手套</v>
      </c>
      <c r="B249" s="3" t="s">
        <v>712</v>
      </c>
      <c r="C249" s="84">
        <v>44377</v>
      </c>
      <c r="D249" s="3" t="s">
        <v>375</v>
      </c>
      <c r="E249" s="3" t="s">
        <v>337</v>
      </c>
      <c r="F249" s="3" t="s">
        <v>337</v>
      </c>
      <c r="G249" s="70" t="s">
        <v>376</v>
      </c>
      <c r="H249" s="3" t="s">
        <v>377</v>
      </c>
      <c r="I249" s="3" t="s">
        <v>354</v>
      </c>
      <c r="J249" s="3">
        <v>81</v>
      </c>
      <c r="K249" s="3">
        <v>100</v>
      </c>
      <c r="L249" s="3">
        <v>0</v>
      </c>
      <c r="M249" s="3">
        <v>111</v>
      </c>
      <c r="N249" s="3">
        <v>181</v>
      </c>
      <c r="O249" s="70">
        <v>-70</v>
      </c>
      <c r="P249" s="3">
        <v>0</v>
      </c>
      <c r="Q249" s="3">
        <v>0</v>
      </c>
      <c r="R249" s="3">
        <v>1.55</v>
      </c>
      <c r="S249" s="3">
        <v>-108.5</v>
      </c>
      <c r="T249" s="3">
        <v>172.05</v>
      </c>
      <c r="U249" s="3">
        <v>280.55</v>
      </c>
      <c r="V249" s="70" t="s">
        <v>594</v>
      </c>
      <c r="W249" s="3" t="s">
        <v>343</v>
      </c>
      <c r="X249" s="3" t="s">
        <v>337</v>
      </c>
      <c r="Y249" s="3" t="s">
        <v>337</v>
      </c>
    </row>
    <row r="250" spans="1:25" hidden="1" x14ac:dyDescent="0.2">
      <c r="A250" s="83" t="str">
        <f t="shared" si="3"/>
        <v>方城锦城国际纸巾</v>
      </c>
      <c r="B250" s="3" t="s">
        <v>712</v>
      </c>
      <c r="C250" s="84">
        <v>44377</v>
      </c>
      <c r="D250" s="3" t="s">
        <v>378</v>
      </c>
      <c r="E250" s="3" t="s">
        <v>337</v>
      </c>
      <c r="F250" s="3" t="s">
        <v>337</v>
      </c>
      <c r="G250" s="70" t="s">
        <v>75</v>
      </c>
      <c r="H250" s="3" t="s">
        <v>379</v>
      </c>
      <c r="I250" s="3" t="s">
        <v>354</v>
      </c>
      <c r="J250" s="3">
        <v>63</v>
      </c>
      <c r="K250" s="3">
        <v>144</v>
      </c>
      <c r="L250" s="3">
        <v>0</v>
      </c>
      <c r="M250" s="3">
        <v>64</v>
      </c>
      <c r="N250" s="3">
        <v>207</v>
      </c>
      <c r="O250" s="70">
        <v>-143</v>
      </c>
      <c r="P250" s="3">
        <v>0</v>
      </c>
      <c r="Q250" s="3">
        <v>0</v>
      </c>
      <c r="R250" s="3">
        <v>1.1446879999999999</v>
      </c>
      <c r="S250" s="3">
        <v>-163.69</v>
      </c>
      <c r="T250" s="3">
        <v>73.260000000000005</v>
      </c>
      <c r="U250" s="3">
        <v>236.95</v>
      </c>
      <c r="V250" s="70" t="s">
        <v>594</v>
      </c>
      <c r="W250" s="3" t="s">
        <v>343</v>
      </c>
      <c r="X250" s="3" t="s">
        <v>337</v>
      </c>
      <c r="Y250" s="3" t="s">
        <v>337</v>
      </c>
    </row>
    <row r="251" spans="1:25" hidden="1" x14ac:dyDescent="0.2">
      <c r="A251" s="83" t="str">
        <f t="shared" si="3"/>
        <v>清丰凤鸣纸巾</v>
      </c>
      <c r="B251" s="3" t="s">
        <v>713</v>
      </c>
      <c r="C251" s="84">
        <v>44377</v>
      </c>
      <c r="D251" s="3" t="s">
        <v>378</v>
      </c>
      <c r="E251" s="3" t="s">
        <v>337</v>
      </c>
      <c r="F251" s="3" t="s">
        <v>337</v>
      </c>
      <c r="G251" s="70" t="s">
        <v>75</v>
      </c>
      <c r="H251" s="3" t="s">
        <v>379</v>
      </c>
      <c r="I251" s="3" t="s">
        <v>354</v>
      </c>
      <c r="J251" s="3">
        <v>52</v>
      </c>
      <c r="K251" s="3">
        <v>96</v>
      </c>
      <c r="L251" s="3">
        <v>0</v>
      </c>
      <c r="M251" s="3">
        <v>9</v>
      </c>
      <c r="N251" s="3">
        <v>148</v>
      </c>
      <c r="O251" s="70">
        <v>-139</v>
      </c>
      <c r="P251" s="3">
        <v>0</v>
      </c>
      <c r="Q251" s="3">
        <v>0</v>
      </c>
      <c r="R251" s="3">
        <v>0.90777799999999997</v>
      </c>
      <c r="S251" s="3">
        <v>-126.18</v>
      </c>
      <c r="T251" s="3">
        <v>8.17</v>
      </c>
      <c r="U251" s="3">
        <v>134.35</v>
      </c>
      <c r="V251" s="70" t="s">
        <v>334</v>
      </c>
      <c r="W251" s="3" t="s">
        <v>343</v>
      </c>
      <c r="X251" s="3" t="s">
        <v>337</v>
      </c>
      <c r="Y251" s="3" t="s">
        <v>337</v>
      </c>
    </row>
    <row r="252" spans="1:25" hidden="1" x14ac:dyDescent="0.2">
      <c r="A252" s="83" t="str">
        <f t="shared" si="3"/>
        <v>郑州裕华纸巾</v>
      </c>
      <c r="B252" s="3" t="s">
        <v>711</v>
      </c>
      <c r="C252" s="84">
        <v>44377</v>
      </c>
      <c r="D252" s="3" t="s">
        <v>378</v>
      </c>
      <c r="E252" s="3" t="s">
        <v>337</v>
      </c>
      <c r="F252" s="3" t="s">
        <v>337</v>
      </c>
      <c r="G252" s="70" t="s">
        <v>75</v>
      </c>
      <c r="H252" s="3" t="s">
        <v>379</v>
      </c>
      <c r="I252" s="3" t="s">
        <v>354</v>
      </c>
      <c r="J252" s="3">
        <v>99</v>
      </c>
      <c r="K252" s="3">
        <v>240</v>
      </c>
      <c r="L252" s="3">
        <v>0</v>
      </c>
      <c r="M252" s="3">
        <v>192</v>
      </c>
      <c r="N252" s="3">
        <v>339</v>
      </c>
      <c r="O252" s="70">
        <v>-147</v>
      </c>
      <c r="P252" s="3">
        <v>0</v>
      </c>
      <c r="Q252" s="3">
        <v>0</v>
      </c>
      <c r="R252" s="3">
        <v>0.885938</v>
      </c>
      <c r="S252" s="3">
        <v>-130.22999999999999</v>
      </c>
      <c r="T252" s="3">
        <v>170.1</v>
      </c>
      <c r="U252" s="3">
        <v>300.33</v>
      </c>
      <c r="V252" s="70" t="s">
        <v>641</v>
      </c>
      <c r="W252" s="3" t="s">
        <v>343</v>
      </c>
      <c r="X252" s="3" t="s">
        <v>337</v>
      </c>
      <c r="Y252" s="3" t="s">
        <v>337</v>
      </c>
    </row>
    <row r="253" spans="1:25" hidden="1" x14ac:dyDescent="0.2">
      <c r="A253" s="83" t="str">
        <f t="shared" si="3"/>
        <v>滑县滑台纸巾</v>
      </c>
      <c r="B253" s="3" t="s">
        <v>710</v>
      </c>
      <c r="C253" s="84">
        <v>44377</v>
      </c>
      <c r="D253" s="3" t="s">
        <v>378</v>
      </c>
      <c r="E253" s="3" t="s">
        <v>337</v>
      </c>
      <c r="F253" s="3" t="s">
        <v>337</v>
      </c>
      <c r="G253" s="70" t="s">
        <v>75</v>
      </c>
      <c r="H253" s="3" t="s">
        <v>379</v>
      </c>
      <c r="I253" s="3" t="s">
        <v>354</v>
      </c>
      <c r="J253" s="3">
        <v>48</v>
      </c>
      <c r="K253" s="3">
        <v>96</v>
      </c>
      <c r="L253" s="3">
        <v>0</v>
      </c>
      <c r="M253" s="3">
        <v>60</v>
      </c>
      <c r="N253" s="3">
        <v>144</v>
      </c>
      <c r="O253" s="70">
        <v>-84</v>
      </c>
      <c r="P253" s="3">
        <v>0</v>
      </c>
      <c r="Q253" s="3">
        <v>0</v>
      </c>
      <c r="R253" s="3">
        <v>1.027833</v>
      </c>
      <c r="S253" s="3">
        <v>-86.34</v>
      </c>
      <c r="T253" s="3">
        <v>61.67</v>
      </c>
      <c r="U253" s="3">
        <v>148.01</v>
      </c>
      <c r="V253" s="70" t="s">
        <v>639</v>
      </c>
      <c r="W253" s="3" t="s">
        <v>343</v>
      </c>
      <c r="X253" s="3" t="s">
        <v>337</v>
      </c>
      <c r="Y253" s="3" t="s">
        <v>337</v>
      </c>
    </row>
    <row r="254" spans="1:25" hidden="1" x14ac:dyDescent="0.2">
      <c r="A254" s="83" t="str">
        <f t="shared" si="3"/>
        <v>郑州盛华里纸巾</v>
      </c>
      <c r="B254" s="3" t="s">
        <v>709</v>
      </c>
      <c r="C254" s="84">
        <v>44377</v>
      </c>
      <c r="D254" s="3" t="s">
        <v>378</v>
      </c>
      <c r="E254" s="3" t="s">
        <v>337</v>
      </c>
      <c r="F254" s="3" t="s">
        <v>337</v>
      </c>
      <c r="G254" s="70" t="s">
        <v>75</v>
      </c>
      <c r="H254" s="3" t="s">
        <v>379</v>
      </c>
      <c r="I254" s="3" t="s">
        <v>354</v>
      </c>
      <c r="J254" s="3">
        <v>61</v>
      </c>
      <c r="K254" s="3">
        <v>96</v>
      </c>
      <c r="L254" s="3">
        <v>0</v>
      </c>
      <c r="M254" s="3">
        <v>150</v>
      </c>
      <c r="N254" s="3">
        <v>157</v>
      </c>
      <c r="O254" s="70">
        <v>-7</v>
      </c>
      <c r="P254" s="3">
        <v>0</v>
      </c>
      <c r="Q254" s="3">
        <v>0</v>
      </c>
      <c r="R254" s="3">
        <v>1.0686</v>
      </c>
      <c r="S254" s="3">
        <v>-7.48</v>
      </c>
      <c r="T254" s="3">
        <v>160.29</v>
      </c>
      <c r="U254" s="3">
        <v>167.77</v>
      </c>
      <c r="V254" s="70" t="s">
        <v>637</v>
      </c>
      <c r="W254" s="3" t="s">
        <v>343</v>
      </c>
      <c r="X254" s="3" t="s">
        <v>337</v>
      </c>
      <c r="Y254" s="3" t="s">
        <v>337</v>
      </c>
    </row>
    <row r="255" spans="1:25" hidden="1" x14ac:dyDescent="0.2">
      <c r="A255" s="83" t="str">
        <f t="shared" si="3"/>
        <v>新蔡水韵天街纸巾</v>
      </c>
      <c r="B255" s="3" t="s">
        <v>703</v>
      </c>
      <c r="C255" s="84">
        <v>44377</v>
      </c>
      <c r="D255" s="3" t="s">
        <v>378</v>
      </c>
      <c r="E255" s="3" t="s">
        <v>337</v>
      </c>
      <c r="F255" s="3" t="s">
        <v>337</v>
      </c>
      <c r="G255" s="70" t="s">
        <v>75</v>
      </c>
      <c r="H255" s="3" t="s">
        <v>379</v>
      </c>
      <c r="I255" s="3" t="s">
        <v>354</v>
      </c>
      <c r="J255" s="3">
        <v>80</v>
      </c>
      <c r="K255" s="3">
        <v>192</v>
      </c>
      <c r="L255" s="3">
        <v>0</v>
      </c>
      <c r="M255" s="3">
        <v>70</v>
      </c>
      <c r="N255" s="3">
        <v>272</v>
      </c>
      <c r="O255" s="70">
        <v>-202</v>
      </c>
      <c r="P255" s="3">
        <v>0</v>
      </c>
      <c r="Q255" s="3">
        <v>0</v>
      </c>
      <c r="R255" s="3">
        <v>1.1761429999999999</v>
      </c>
      <c r="S255" s="3">
        <v>-237.58</v>
      </c>
      <c r="T255" s="3">
        <v>82.33</v>
      </c>
      <c r="U255" s="3">
        <v>319.91000000000003</v>
      </c>
      <c r="V255" s="70" t="s">
        <v>335</v>
      </c>
      <c r="W255" s="3" t="s">
        <v>343</v>
      </c>
      <c r="X255" s="3" t="s">
        <v>337</v>
      </c>
      <c r="Y255" s="3" t="s">
        <v>337</v>
      </c>
    </row>
    <row r="256" spans="1:25" hidden="1" x14ac:dyDescent="0.2">
      <c r="A256" s="83" t="str">
        <f t="shared" si="3"/>
        <v>郑州康复中街纸巾</v>
      </c>
      <c r="B256" s="3" t="s">
        <v>704</v>
      </c>
      <c r="C256" s="84">
        <v>44377</v>
      </c>
      <c r="D256" s="3" t="s">
        <v>378</v>
      </c>
      <c r="E256" s="3" t="s">
        <v>337</v>
      </c>
      <c r="F256" s="3" t="s">
        <v>337</v>
      </c>
      <c r="G256" s="70" t="s">
        <v>75</v>
      </c>
      <c r="H256" s="3" t="s">
        <v>379</v>
      </c>
      <c r="I256" s="3" t="s">
        <v>354</v>
      </c>
      <c r="J256" s="3">
        <v>100</v>
      </c>
      <c r="K256" s="3">
        <v>0</v>
      </c>
      <c r="L256" s="3">
        <v>0</v>
      </c>
      <c r="M256" s="3">
        <v>70</v>
      </c>
      <c r="N256" s="3">
        <v>100</v>
      </c>
      <c r="O256" s="70">
        <v>-30</v>
      </c>
      <c r="P256" s="3">
        <v>0</v>
      </c>
      <c r="Q256" s="3">
        <v>0</v>
      </c>
      <c r="R256" s="3">
        <v>1.329143</v>
      </c>
      <c r="S256" s="3">
        <v>-39.869999999999997</v>
      </c>
      <c r="T256" s="3">
        <v>93.04</v>
      </c>
      <c r="U256" s="3">
        <v>132.91</v>
      </c>
      <c r="V256" s="70" t="s">
        <v>593</v>
      </c>
      <c r="W256" s="3" t="s">
        <v>343</v>
      </c>
      <c r="X256" s="3" t="s">
        <v>337</v>
      </c>
      <c r="Y256" s="3" t="s">
        <v>337</v>
      </c>
    </row>
    <row r="257" spans="1:25" hidden="1" x14ac:dyDescent="0.2">
      <c r="A257" s="83" t="str">
        <f t="shared" si="3"/>
        <v>郑州铁英街纸巾</v>
      </c>
      <c r="B257" s="3" t="s">
        <v>707</v>
      </c>
      <c r="C257" s="84">
        <v>44377</v>
      </c>
      <c r="D257" s="3" t="s">
        <v>378</v>
      </c>
      <c r="E257" s="3" t="s">
        <v>337</v>
      </c>
      <c r="F257" s="3" t="s">
        <v>337</v>
      </c>
      <c r="G257" s="70" t="s">
        <v>75</v>
      </c>
      <c r="H257" s="3" t="s">
        <v>379</v>
      </c>
      <c r="I257" s="3" t="s">
        <v>354</v>
      </c>
      <c r="J257" s="3">
        <v>65</v>
      </c>
      <c r="K257" s="3">
        <v>144</v>
      </c>
      <c r="L257" s="3">
        <v>0</v>
      </c>
      <c r="M257" s="3">
        <v>67</v>
      </c>
      <c r="N257" s="3">
        <v>209</v>
      </c>
      <c r="O257" s="70">
        <v>-142</v>
      </c>
      <c r="P257" s="3">
        <v>0</v>
      </c>
      <c r="Q257" s="3">
        <v>0</v>
      </c>
      <c r="R257" s="3">
        <v>1.0094030000000001</v>
      </c>
      <c r="S257" s="3">
        <v>-143.34</v>
      </c>
      <c r="T257" s="3">
        <v>67.63</v>
      </c>
      <c r="U257" s="3">
        <v>210.97</v>
      </c>
      <c r="V257" s="70" t="s">
        <v>592</v>
      </c>
      <c r="W257" s="3" t="s">
        <v>343</v>
      </c>
      <c r="X257" s="3" t="s">
        <v>337</v>
      </c>
      <c r="Y257" s="3" t="s">
        <v>337</v>
      </c>
    </row>
    <row r="258" spans="1:25" hidden="1" x14ac:dyDescent="0.2">
      <c r="A258" s="83" t="str">
        <f t="shared" si="3"/>
        <v>郑州西悦城纸巾</v>
      </c>
      <c r="B258" s="3" t="s">
        <v>708</v>
      </c>
      <c r="C258" s="84">
        <v>44377</v>
      </c>
      <c r="D258" s="3" t="s">
        <v>378</v>
      </c>
      <c r="E258" s="3" t="s">
        <v>337</v>
      </c>
      <c r="F258" s="3" t="s">
        <v>337</v>
      </c>
      <c r="G258" s="70" t="s">
        <v>75</v>
      </c>
      <c r="H258" s="3" t="s">
        <v>379</v>
      </c>
      <c r="I258" s="3" t="s">
        <v>354</v>
      </c>
      <c r="J258" s="3">
        <v>23</v>
      </c>
      <c r="K258" s="3">
        <v>480</v>
      </c>
      <c r="L258" s="3">
        <v>0</v>
      </c>
      <c r="M258" s="3">
        <v>83</v>
      </c>
      <c r="N258" s="3">
        <v>503</v>
      </c>
      <c r="O258" s="70">
        <v>-420</v>
      </c>
      <c r="P258" s="3">
        <v>0</v>
      </c>
      <c r="Q258" s="3">
        <v>0</v>
      </c>
      <c r="R258" s="3">
        <v>0.93349400000000005</v>
      </c>
      <c r="S258" s="3">
        <v>-392.07</v>
      </c>
      <c r="T258" s="3">
        <v>77.48</v>
      </c>
      <c r="U258" s="3">
        <v>469.55</v>
      </c>
      <c r="V258" s="70" t="s">
        <v>332</v>
      </c>
      <c r="W258" s="3" t="s">
        <v>343</v>
      </c>
      <c r="X258" s="3" t="s">
        <v>337</v>
      </c>
      <c r="Y258" s="3" t="s">
        <v>337</v>
      </c>
    </row>
    <row r="259" spans="1:25" hidden="1" x14ac:dyDescent="0.2">
      <c r="A259" s="83" t="str">
        <f t="shared" ref="A259:A322" si="4">V259&amp;G259</f>
        <v>华山龙源纸巾</v>
      </c>
      <c r="B259" s="3" t="s">
        <v>705</v>
      </c>
      <c r="C259" s="84">
        <v>44377</v>
      </c>
      <c r="D259" s="3" t="s">
        <v>378</v>
      </c>
      <c r="E259" s="3" t="s">
        <v>337</v>
      </c>
      <c r="F259" s="3" t="s">
        <v>337</v>
      </c>
      <c r="G259" s="70" t="s">
        <v>75</v>
      </c>
      <c r="H259" s="3" t="s">
        <v>379</v>
      </c>
      <c r="I259" s="3" t="s">
        <v>354</v>
      </c>
      <c r="J259" s="3">
        <v>96</v>
      </c>
      <c r="K259" s="3">
        <v>144</v>
      </c>
      <c r="L259" s="3">
        <v>0</v>
      </c>
      <c r="M259" s="3">
        <v>95</v>
      </c>
      <c r="N259" s="3">
        <v>240</v>
      </c>
      <c r="O259" s="70">
        <v>-145</v>
      </c>
      <c r="P259" s="3">
        <v>0</v>
      </c>
      <c r="Q259" s="3">
        <v>0</v>
      </c>
      <c r="R259" s="3">
        <v>1.0277890000000001</v>
      </c>
      <c r="S259" s="3">
        <v>-149.03</v>
      </c>
      <c r="T259" s="3">
        <v>97.64</v>
      </c>
      <c r="U259" s="3">
        <v>246.67</v>
      </c>
      <c r="V259" s="70" t="s">
        <v>643</v>
      </c>
      <c r="W259" s="3" t="s">
        <v>343</v>
      </c>
      <c r="X259" s="3" t="s">
        <v>337</v>
      </c>
      <c r="Y259" s="3" t="s">
        <v>337</v>
      </c>
    </row>
    <row r="260" spans="1:25" hidden="1" x14ac:dyDescent="0.2">
      <c r="A260" s="83" t="str">
        <f t="shared" si="4"/>
        <v>郑州瀚海海尚纸巾</v>
      </c>
      <c r="B260" s="3" t="s">
        <v>706</v>
      </c>
      <c r="C260" s="84">
        <v>44377</v>
      </c>
      <c r="D260" s="3" t="s">
        <v>378</v>
      </c>
      <c r="E260" s="3" t="s">
        <v>337</v>
      </c>
      <c r="F260" s="3" t="s">
        <v>337</v>
      </c>
      <c r="G260" s="70" t="s">
        <v>75</v>
      </c>
      <c r="H260" s="3" t="s">
        <v>379</v>
      </c>
      <c r="I260" s="3" t="s">
        <v>354</v>
      </c>
      <c r="J260" s="3">
        <v>37</v>
      </c>
      <c r="K260" s="3">
        <v>240</v>
      </c>
      <c r="L260" s="3">
        <v>0</v>
      </c>
      <c r="M260" s="3">
        <v>79</v>
      </c>
      <c r="N260" s="3">
        <v>277</v>
      </c>
      <c r="O260" s="70">
        <v>-198</v>
      </c>
      <c r="P260" s="3">
        <v>0</v>
      </c>
      <c r="Q260" s="3">
        <v>0</v>
      </c>
      <c r="R260" s="3">
        <v>0.93569599999999997</v>
      </c>
      <c r="S260" s="3">
        <v>-185.27</v>
      </c>
      <c r="T260" s="3">
        <v>73.92</v>
      </c>
      <c r="U260" s="3">
        <v>259.19</v>
      </c>
      <c r="V260" s="70" t="s">
        <v>333</v>
      </c>
      <c r="W260" s="3" t="s">
        <v>343</v>
      </c>
      <c r="X260" s="3" t="s">
        <v>337</v>
      </c>
      <c r="Y260" s="3" t="s">
        <v>337</v>
      </c>
    </row>
    <row r="261" spans="1:25" hidden="1" x14ac:dyDescent="0.2">
      <c r="A261" s="83" t="str">
        <f t="shared" si="4"/>
        <v>郑州政六街纸巾</v>
      </c>
      <c r="B261" s="3" t="s">
        <v>714</v>
      </c>
      <c r="C261" s="84">
        <v>44377</v>
      </c>
      <c r="D261" s="3" t="s">
        <v>378</v>
      </c>
      <c r="E261" s="3" t="s">
        <v>337</v>
      </c>
      <c r="F261" s="3" t="s">
        <v>337</v>
      </c>
      <c r="G261" s="70" t="s">
        <v>75</v>
      </c>
      <c r="H261" s="3" t="s">
        <v>379</v>
      </c>
      <c r="I261" s="3" t="s">
        <v>354</v>
      </c>
      <c r="J261" s="3">
        <v>10</v>
      </c>
      <c r="K261" s="3">
        <v>192</v>
      </c>
      <c r="L261" s="3">
        <v>0</v>
      </c>
      <c r="M261" s="3">
        <v>1</v>
      </c>
      <c r="N261" s="3">
        <v>202</v>
      </c>
      <c r="O261" s="70">
        <v>-201</v>
      </c>
      <c r="P261" s="3">
        <v>0</v>
      </c>
      <c r="Q261" s="3">
        <v>0</v>
      </c>
      <c r="R261" s="3">
        <v>1.17</v>
      </c>
      <c r="S261" s="3">
        <v>-235.17</v>
      </c>
      <c r="T261" s="3">
        <v>1.17</v>
      </c>
      <c r="U261" s="3">
        <v>236.34</v>
      </c>
      <c r="V261" s="70" t="s">
        <v>591</v>
      </c>
      <c r="W261" s="3" t="s">
        <v>343</v>
      </c>
      <c r="X261" s="3" t="s">
        <v>337</v>
      </c>
      <c r="Y261" s="3" t="s">
        <v>337</v>
      </c>
    </row>
    <row r="262" spans="1:25" hidden="1" x14ac:dyDescent="0.2">
      <c r="A262" s="83" t="str">
        <f t="shared" si="4"/>
        <v>郑州政六街中辣味粉</v>
      </c>
      <c r="B262" s="3" t="s">
        <v>714</v>
      </c>
      <c r="C262" s="84">
        <v>44377</v>
      </c>
      <c r="D262" s="3" t="s">
        <v>380</v>
      </c>
      <c r="E262" s="3" t="s">
        <v>337</v>
      </c>
      <c r="F262" s="3" t="s">
        <v>337</v>
      </c>
      <c r="G262" s="70" t="s">
        <v>171</v>
      </c>
      <c r="H262" s="3" t="s">
        <v>370</v>
      </c>
      <c r="I262" s="3" t="s">
        <v>89</v>
      </c>
      <c r="J262" s="3">
        <v>15000</v>
      </c>
      <c r="K262" s="3">
        <v>10000</v>
      </c>
      <c r="L262" s="3">
        <v>20686.599999999999</v>
      </c>
      <c r="M262" s="3">
        <v>7000</v>
      </c>
      <c r="N262" s="3">
        <v>4313.3999999999996</v>
      </c>
      <c r="O262" s="70">
        <v>2686.6</v>
      </c>
      <c r="P262" s="3">
        <v>7265.3</v>
      </c>
      <c r="Q262" s="3">
        <v>0</v>
      </c>
      <c r="R262" s="3">
        <v>1.8353000000000001E-2</v>
      </c>
      <c r="S262" s="3">
        <v>49.31</v>
      </c>
      <c r="T262" s="3">
        <v>128.47</v>
      </c>
      <c r="U262" s="3">
        <v>79.16</v>
      </c>
      <c r="V262" s="70" t="s">
        <v>591</v>
      </c>
      <c r="W262" s="3" t="s">
        <v>343</v>
      </c>
      <c r="X262" s="3" t="s">
        <v>337</v>
      </c>
      <c r="Y262" s="3" t="s">
        <v>337</v>
      </c>
    </row>
    <row r="263" spans="1:25" hidden="1" x14ac:dyDescent="0.2">
      <c r="A263" s="83" t="str">
        <f t="shared" si="4"/>
        <v>郑州瀚海海尚中辣味粉</v>
      </c>
      <c r="B263" s="3" t="s">
        <v>706</v>
      </c>
      <c r="C263" s="84">
        <v>44377</v>
      </c>
      <c r="D263" s="3" t="s">
        <v>380</v>
      </c>
      <c r="E263" s="3" t="s">
        <v>337</v>
      </c>
      <c r="F263" s="3" t="s">
        <v>337</v>
      </c>
      <c r="G263" s="70" t="s">
        <v>171</v>
      </c>
      <c r="H263" s="3" t="s">
        <v>370</v>
      </c>
      <c r="I263" s="3" t="s">
        <v>89</v>
      </c>
      <c r="J263" s="3">
        <v>0</v>
      </c>
      <c r="K263" s="3">
        <v>20000</v>
      </c>
      <c r="L263" s="3">
        <v>10071.85</v>
      </c>
      <c r="M263" s="3">
        <v>10000</v>
      </c>
      <c r="N263" s="3">
        <v>9928.15</v>
      </c>
      <c r="O263" s="70">
        <v>71.849999999999994</v>
      </c>
      <c r="P263" s="3">
        <v>3452.1</v>
      </c>
      <c r="Q263" s="3">
        <v>0</v>
      </c>
      <c r="R263" s="3">
        <v>1.8349000000000001E-2</v>
      </c>
      <c r="S263" s="3">
        <v>1.32</v>
      </c>
      <c r="T263" s="3">
        <v>183.49</v>
      </c>
      <c r="U263" s="3">
        <v>182.17</v>
      </c>
      <c r="V263" s="70" t="s">
        <v>333</v>
      </c>
      <c r="W263" s="3" t="s">
        <v>343</v>
      </c>
      <c r="X263" s="3" t="s">
        <v>337</v>
      </c>
      <c r="Y263" s="3" t="s">
        <v>337</v>
      </c>
    </row>
    <row r="264" spans="1:25" hidden="1" x14ac:dyDescent="0.2">
      <c r="A264" s="83" t="str">
        <f t="shared" si="4"/>
        <v>华山龙源中辣味粉</v>
      </c>
      <c r="B264" s="3" t="s">
        <v>705</v>
      </c>
      <c r="C264" s="84">
        <v>44377</v>
      </c>
      <c r="D264" s="3" t="s">
        <v>380</v>
      </c>
      <c r="E264" s="3" t="s">
        <v>337</v>
      </c>
      <c r="F264" s="3" t="s">
        <v>337</v>
      </c>
      <c r="G264" s="70" t="s">
        <v>171</v>
      </c>
      <c r="H264" s="3" t="s">
        <v>370</v>
      </c>
      <c r="I264" s="3" t="s">
        <v>89</v>
      </c>
      <c r="J264" s="3">
        <v>7684</v>
      </c>
      <c r="K264" s="3">
        <v>0</v>
      </c>
      <c r="L264" s="3">
        <v>4557.3500000000004</v>
      </c>
      <c r="M264" s="3">
        <v>3466</v>
      </c>
      <c r="N264" s="3">
        <v>3126.65</v>
      </c>
      <c r="O264" s="70">
        <v>339.35</v>
      </c>
      <c r="P264" s="3">
        <v>1525</v>
      </c>
      <c r="Q264" s="3">
        <v>0</v>
      </c>
      <c r="R264" s="3">
        <v>1.8346999999999999E-2</v>
      </c>
      <c r="S264" s="3">
        <v>6.23</v>
      </c>
      <c r="T264" s="3">
        <v>63.59</v>
      </c>
      <c r="U264" s="3">
        <v>57.36</v>
      </c>
      <c r="V264" s="70" t="s">
        <v>643</v>
      </c>
      <c r="W264" s="3" t="s">
        <v>343</v>
      </c>
      <c r="X264" s="3" t="s">
        <v>337</v>
      </c>
      <c r="Y264" s="3" t="s">
        <v>337</v>
      </c>
    </row>
    <row r="265" spans="1:25" hidden="1" x14ac:dyDescent="0.2">
      <c r="A265" s="83" t="str">
        <f t="shared" si="4"/>
        <v>郑州西悦城中辣味粉</v>
      </c>
      <c r="B265" s="3" t="s">
        <v>708</v>
      </c>
      <c r="C265" s="84">
        <v>44377</v>
      </c>
      <c r="D265" s="3" t="s">
        <v>380</v>
      </c>
      <c r="E265" s="3" t="s">
        <v>337</v>
      </c>
      <c r="F265" s="3" t="s">
        <v>337</v>
      </c>
      <c r="G265" s="70" t="s">
        <v>171</v>
      </c>
      <c r="H265" s="3" t="s">
        <v>370</v>
      </c>
      <c r="I265" s="3" t="s">
        <v>89</v>
      </c>
      <c r="J265" s="3">
        <v>3000</v>
      </c>
      <c r="K265" s="3">
        <v>20000</v>
      </c>
      <c r="L265" s="3">
        <v>18054.400000000001</v>
      </c>
      <c r="M265" s="3">
        <v>5000</v>
      </c>
      <c r="N265" s="3">
        <v>4945.6000000000004</v>
      </c>
      <c r="O265" s="70">
        <v>54.4</v>
      </c>
      <c r="P265" s="3">
        <v>5760.85</v>
      </c>
      <c r="Q265" s="3">
        <v>0</v>
      </c>
      <c r="R265" s="3">
        <v>1.8350000000000002E-2</v>
      </c>
      <c r="S265" s="3">
        <v>1</v>
      </c>
      <c r="T265" s="3">
        <v>91.75</v>
      </c>
      <c r="U265" s="3">
        <v>90.75</v>
      </c>
      <c r="V265" s="70" t="s">
        <v>332</v>
      </c>
      <c r="W265" s="3" t="s">
        <v>343</v>
      </c>
      <c r="X265" s="3" t="s">
        <v>337</v>
      </c>
      <c r="Y265" s="3" t="s">
        <v>337</v>
      </c>
    </row>
    <row r="266" spans="1:25" hidden="1" x14ac:dyDescent="0.2">
      <c r="A266" s="83" t="str">
        <f t="shared" si="4"/>
        <v>郑州铁英街中辣味粉</v>
      </c>
      <c r="B266" s="3" t="s">
        <v>707</v>
      </c>
      <c r="C266" s="84">
        <v>44377</v>
      </c>
      <c r="D266" s="3" t="s">
        <v>380</v>
      </c>
      <c r="E266" s="3" t="s">
        <v>337</v>
      </c>
      <c r="F266" s="3" t="s">
        <v>337</v>
      </c>
      <c r="G266" s="70" t="s">
        <v>171</v>
      </c>
      <c r="H266" s="3" t="s">
        <v>370</v>
      </c>
      <c r="I266" s="3" t="s">
        <v>89</v>
      </c>
      <c r="J266" s="3">
        <v>5500</v>
      </c>
      <c r="K266" s="3">
        <v>10000</v>
      </c>
      <c r="L266" s="3">
        <v>9594.7999999999993</v>
      </c>
      <c r="M266" s="3">
        <v>5929</v>
      </c>
      <c r="N266" s="3">
        <v>5905.2</v>
      </c>
      <c r="O266" s="70">
        <v>23.8</v>
      </c>
      <c r="P266" s="3">
        <v>3139.4</v>
      </c>
      <c r="Q266" s="3">
        <v>0</v>
      </c>
      <c r="R266" s="3">
        <v>1.8342000000000001E-2</v>
      </c>
      <c r="S266" s="3">
        <v>0.44</v>
      </c>
      <c r="T266" s="3">
        <v>108.75</v>
      </c>
      <c r="U266" s="3">
        <v>108.31</v>
      </c>
      <c r="V266" s="70" t="s">
        <v>592</v>
      </c>
      <c r="W266" s="3" t="s">
        <v>343</v>
      </c>
      <c r="X266" s="3" t="s">
        <v>337</v>
      </c>
      <c r="Y266" s="3" t="s">
        <v>337</v>
      </c>
    </row>
    <row r="267" spans="1:25" hidden="1" x14ac:dyDescent="0.2">
      <c r="A267" s="83" t="str">
        <f t="shared" si="4"/>
        <v>郑州康复中街中辣味粉</v>
      </c>
      <c r="B267" s="3" t="s">
        <v>704</v>
      </c>
      <c r="C267" s="84">
        <v>44377</v>
      </c>
      <c r="D267" s="3" t="s">
        <v>380</v>
      </c>
      <c r="E267" s="3" t="s">
        <v>337</v>
      </c>
      <c r="F267" s="3" t="s">
        <v>337</v>
      </c>
      <c r="G267" s="70" t="s">
        <v>171</v>
      </c>
      <c r="H267" s="3" t="s">
        <v>370</v>
      </c>
      <c r="I267" s="3" t="s">
        <v>89</v>
      </c>
      <c r="J267" s="3">
        <v>2253</v>
      </c>
      <c r="K267" s="3">
        <v>10000</v>
      </c>
      <c r="L267" s="3">
        <v>16964.849999999999</v>
      </c>
      <c r="M267" s="3">
        <v>0</v>
      </c>
      <c r="N267" s="3">
        <v>-4711.8500000000004</v>
      </c>
      <c r="O267" s="70">
        <v>4711.8500000000004</v>
      </c>
      <c r="P267" s="3">
        <v>6042.8</v>
      </c>
      <c r="Q267" s="3">
        <v>0</v>
      </c>
      <c r="R267" s="3">
        <v>1.8349000000000001E-2</v>
      </c>
      <c r="S267" s="3">
        <v>86.46</v>
      </c>
      <c r="T267" s="3">
        <v>0</v>
      </c>
      <c r="U267" s="3">
        <v>-86.46</v>
      </c>
      <c r="V267" s="70" t="s">
        <v>593</v>
      </c>
      <c r="W267" s="3" t="s">
        <v>343</v>
      </c>
      <c r="X267" s="3" t="s">
        <v>337</v>
      </c>
      <c r="Y267" s="3" t="s">
        <v>337</v>
      </c>
    </row>
    <row r="268" spans="1:25" hidden="1" x14ac:dyDescent="0.2">
      <c r="A268" s="83" t="str">
        <f t="shared" si="4"/>
        <v>新蔡水韵天街中辣味粉</v>
      </c>
      <c r="B268" s="3" t="s">
        <v>703</v>
      </c>
      <c r="C268" s="84">
        <v>44377</v>
      </c>
      <c r="D268" s="3" t="s">
        <v>380</v>
      </c>
      <c r="E268" s="3" t="s">
        <v>337</v>
      </c>
      <c r="F268" s="3" t="s">
        <v>337</v>
      </c>
      <c r="G268" s="70" t="s">
        <v>171</v>
      </c>
      <c r="H268" s="3" t="s">
        <v>370</v>
      </c>
      <c r="I268" s="3" t="s">
        <v>89</v>
      </c>
      <c r="J268" s="3">
        <v>4000</v>
      </c>
      <c r="K268" s="3">
        <v>10000</v>
      </c>
      <c r="L268" s="3">
        <v>5810.75</v>
      </c>
      <c r="M268" s="3">
        <v>8500</v>
      </c>
      <c r="N268" s="3">
        <v>8189.25</v>
      </c>
      <c r="O268" s="70">
        <v>310.75</v>
      </c>
      <c r="P268" s="3">
        <v>2046.5</v>
      </c>
      <c r="Q268" s="3">
        <v>0</v>
      </c>
      <c r="R268" s="3">
        <v>1.8349000000000001E-2</v>
      </c>
      <c r="S268" s="3">
        <v>5.7</v>
      </c>
      <c r="T268" s="3">
        <v>155.97</v>
      </c>
      <c r="U268" s="3">
        <v>150.26</v>
      </c>
      <c r="V268" s="70" t="s">
        <v>335</v>
      </c>
      <c r="W268" s="3" t="s">
        <v>343</v>
      </c>
      <c r="X268" s="3" t="s">
        <v>337</v>
      </c>
      <c r="Y268" s="3" t="s">
        <v>337</v>
      </c>
    </row>
    <row r="269" spans="1:25" hidden="1" x14ac:dyDescent="0.2">
      <c r="A269" s="83" t="str">
        <f t="shared" si="4"/>
        <v>郑州盛华里中辣味粉</v>
      </c>
      <c r="B269" s="3" t="s">
        <v>709</v>
      </c>
      <c r="C269" s="84">
        <v>44377</v>
      </c>
      <c r="D269" s="3" t="s">
        <v>380</v>
      </c>
      <c r="E269" s="3" t="s">
        <v>337</v>
      </c>
      <c r="F269" s="3" t="s">
        <v>337</v>
      </c>
      <c r="G269" s="70" t="s">
        <v>171</v>
      </c>
      <c r="H269" s="3" t="s">
        <v>370</v>
      </c>
      <c r="I269" s="3" t="s">
        <v>89</v>
      </c>
      <c r="J269" s="3">
        <v>6900</v>
      </c>
      <c r="K269" s="3">
        <v>0</v>
      </c>
      <c r="L269" s="3">
        <v>6438.55</v>
      </c>
      <c r="M269" s="3">
        <v>460</v>
      </c>
      <c r="N269" s="3">
        <v>461.45</v>
      </c>
      <c r="O269" s="70">
        <v>-1.45</v>
      </c>
      <c r="P269" s="3">
        <v>2348.6999999999998</v>
      </c>
      <c r="Q269" s="3">
        <v>0</v>
      </c>
      <c r="R269" s="3">
        <v>1.8391000000000001E-2</v>
      </c>
      <c r="S269" s="3">
        <v>-0.03</v>
      </c>
      <c r="T269" s="3">
        <v>8.4600000000000009</v>
      </c>
      <c r="U269" s="3">
        <v>8.49</v>
      </c>
      <c r="V269" s="70" t="s">
        <v>637</v>
      </c>
      <c r="W269" s="3" t="s">
        <v>343</v>
      </c>
      <c r="X269" s="3" t="s">
        <v>337</v>
      </c>
      <c r="Y269" s="3" t="s">
        <v>337</v>
      </c>
    </row>
    <row r="270" spans="1:25" hidden="1" x14ac:dyDescent="0.2">
      <c r="A270" s="83" t="str">
        <f t="shared" si="4"/>
        <v>滑县滑台中辣味粉</v>
      </c>
      <c r="B270" s="3" t="s">
        <v>710</v>
      </c>
      <c r="C270" s="84">
        <v>44377</v>
      </c>
      <c r="D270" s="3" t="s">
        <v>380</v>
      </c>
      <c r="E270" s="3" t="s">
        <v>337</v>
      </c>
      <c r="F270" s="3" t="s">
        <v>337</v>
      </c>
      <c r="G270" s="70" t="s">
        <v>171</v>
      </c>
      <c r="H270" s="3" t="s">
        <v>370</v>
      </c>
      <c r="I270" s="3" t="s">
        <v>89</v>
      </c>
      <c r="J270" s="3">
        <v>7000</v>
      </c>
      <c r="K270" s="3">
        <v>10000</v>
      </c>
      <c r="L270" s="3">
        <v>11248.9</v>
      </c>
      <c r="M270" s="3">
        <v>6000</v>
      </c>
      <c r="N270" s="3">
        <v>5751.1</v>
      </c>
      <c r="O270" s="70">
        <v>248.9</v>
      </c>
      <c r="P270" s="3">
        <v>3969.6</v>
      </c>
      <c r="Q270" s="3">
        <v>0</v>
      </c>
      <c r="R270" s="3">
        <v>1.8345E-2</v>
      </c>
      <c r="S270" s="3">
        <v>4.57</v>
      </c>
      <c r="T270" s="3">
        <v>110.07</v>
      </c>
      <c r="U270" s="3">
        <v>105.5</v>
      </c>
      <c r="V270" s="70" t="s">
        <v>639</v>
      </c>
      <c r="W270" s="3" t="s">
        <v>343</v>
      </c>
      <c r="X270" s="3" t="s">
        <v>337</v>
      </c>
      <c r="Y270" s="3" t="s">
        <v>337</v>
      </c>
    </row>
    <row r="271" spans="1:25" hidden="1" x14ac:dyDescent="0.2">
      <c r="A271" s="83" t="str">
        <f t="shared" si="4"/>
        <v>郑州裕华中辣味粉</v>
      </c>
      <c r="B271" s="3" t="s">
        <v>711</v>
      </c>
      <c r="C271" s="84">
        <v>44377</v>
      </c>
      <c r="D271" s="3" t="s">
        <v>380</v>
      </c>
      <c r="E271" s="3" t="s">
        <v>337</v>
      </c>
      <c r="F271" s="3" t="s">
        <v>337</v>
      </c>
      <c r="G271" s="70" t="s">
        <v>171</v>
      </c>
      <c r="H271" s="3" t="s">
        <v>370</v>
      </c>
      <c r="I271" s="3" t="s">
        <v>89</v>
      </c>
      <c r="J271" s="3">
        <v>6000</v>
      </c>
      <c r="K271" s="3">
        <v>0</v>
      </c>
      <c r="L271" s="3">
        <v>7646.55</v>
      </c>
      <c r="M271" s="3">
        <v>0</v>
      </c>
      <c r="N271" s="3">
        <v>-1646.55</v>
      </c>
      <c r="O271" s="70">
        <v>1646.55</v>
      </c>
      <c r="P271" s="3">
        <v>2633.3</v>
      </c>
      <c r="Q271" s="3">
        <v>0</v>
      </c>
      <c r="R271" s="3">
        <v>1.8346999999999999E-2</v>
      </c>
      <c r="S271" s="3">
        <v>30.21</v>
      </c>
      <c r="T271" s="3">
        <v>0</v>
      </c>
      <c r="U271" s="3">
        <v>-30.21</v>
      </c>
      <c r="V271" s="70" t="s">
        <v>641</v>
      </c>
      <c r="W271" s="3" t="s">
        <v>343</v>
      </c>
      <c r="X271" s="3" t="s">
        <v>337</v>
      </c>
      <c r="Y271" s="3" t="s">
        <v>337</v>
      </c>
    </row>
    <row r="272" spans="1:25" hidden="1" x14ac:dyDescent="0.2">
      <c r="A272" s="83" t="str">
        <f t="shared" si="4"/>
        <v>清丰凤鸣中辣味粉</v>
      </c>
      <c r="B272" s="3" t="s">
        <v>713</v>
      </c>
      <c r="C272" s="84">
        <v>44377</v>
      </c>
      <c r="D272" s="3" t="s">
        <v>380</v>
      </c>
      <c r="E272" s="3" t="s">
        <v>337</v>
      </c>
      <c r="F272" s="3" t="s">
        <v>337</v>
      </c>
      <c r="G272" s="70" t="s">
        <v>171</v>
      </c>
      <c r="H272" s="3" t="s">
        <v>370</v>
      </c>
      <c r="I272" s="3" t="s">
        <v>89</v>
      </c>
      <c r="J272" s="3">
        <v>5500</v>
      </c>
      <c r="K272" s="3">
        <v>10000</v>
      </c>
      <c r="L272" s="3">
        <v>4399.1000000000004</v>
      </c>
      <c r="M272" s="3">
        <v>11000</v>
      </c>
      <c r="N272" s="3">
        <v>11100.9</v>
      </c>
      <c r="O272" s="70">
        <v>-100.9</v>
      </c>
      <c r="P272" s="3">
        <v>1662.2</v>
      </c>
      <c r="Q272" s="3">
        <v>0</v>
      </c>
      <c r="R272" s="3">
        <v>1.8353000000000001E-2</v>
      </c>
      <c r="S272" s="3">
        <v>-1.85</v>
      </c>
      <c r="T272" s="3">
        <v>201.88</v>
      </c>
      <c r="U272" s="3">
        <v>203.73</v>
      </c>
      <c r="V272" s="70" t="s">
        <v>334</v>
      </c>
      <c r="W272" s="3" t="s">
        <v>343</v>
      </c>
      <c r="X272" s="3" t="s">
        <v>337</v>
      </c>
      <c r="Y272" s="3" t="s">
        <v>337</v>
      </c>
    </row>
    <row r="273" spans="1:25" hidden="1" x14ac:dyDescent="0.2">
      <c r="A273" s="83" t="str">
        <f t="shared" si="4"/>
        <v>方城锦城国际中辣味粉</v>
      </c>
      <c r="B273" s="3" t="s">
        <v>712</v>
      </c>
      <c r="C273" s="84">
        <v>44377</v>
      </c>
      <c r="D273" s="3" t="s">
        <v>380</v>
      </c>
      <c r="E273" s="3" t="s">
        <v>337</v>
      </c>
      <c r="F273" s="3" t="s">
        <v>337</v>
      </c>
      <c r="G273" s="70" t="s">
        <v>171</v>
      </c>
      <c r="H273" s="3" t="s">
        <v>370</v>
      </c>
      <c r="I273" s="3" t="s">
        <v>89</v>
      </c>
      <c r="J273" s="3">
        <v>11000</v>
      </c>
      <c r="K273" s="3">
        <v>0</v>
      </c>
      <c r="L273" s="3">
        <v>6837.15</v>
      </c>
      <c r="M273" s="3">
        <v>5000</v>
      </c>
      <c r="N273" s="3">
        <v>4162.8500000000004</v>
      </c>
      <c r="O273" s="70">
        <v>837.15</v>
      </c>
      <c r="P273" s="3">
        <v>2469.6</v>
      </c>
      <c r="Q273" s="3">
        <v>0</v>
      </c>
      <c r="R273" s="3">
        <v>1.8352E-2</v>
      </c>
      <c r="S273" s="3">
        <v>15.36</v>
      </c>
      <c r="T273" s="3">
        <v>91.76</v>
      </c>
      <c r="U273" s="3">
        <v>76.400000000000006</v>
      </c>
      <c r="V273" s="70" t="s">
        <v>594</v>
      </c>
      <c r="W273" s="3" t="s">
        <v>343</v>
      </c>
      <c r="X273" s="3" t="s">
        <v>337</v>
      </c>
      <c r="Y273" s="3" t="s">
        <v>337</v>
      </c>
    </row>
    <row r="274" spans="1:25" hidden="1" x14ac:dyDescent="0.2">
      <c r="A274" s="83" t="str">
        <f t="shared" si="4"/>
        <v>方城锦城国际糖包</v>
      </c>
      <c r="B274" s="3" t="s">
        <v>712</v>
      </c>
      <c r="C274" s="84">
        <v>44377</v>
      </c>
      <c r="D274" s="3" t="s">
        <v>381</v>
      </c>
      <c r="E274" s="3" t="s">
        <v>337</v>
      </c>
      <c r="F274" s="3" t="s">
        <v>337</v>
      </c>
      <c r="G274" s="70" t="s">
        <v>72</v>
      </c>
      <c r="H274" s="3" t="s">
        <v>379</v>
      </c>
      <c r="I274" s="3" t="s">
        <v>354</v>
      </c>
      <c r="J274" s="3">
        <v>188</v>
      </c>
      <c r="K274" s="3">
        <v>0</v>
      </c>
      <c r="L274" s="3">
        <v>10</v>
      </c>
      <c r="M274" s="3">
        <v>176</v>
      </c>
      <c r="N274" s="3">
        <v>178</v>
      </c>
      <c r="O274" s="70">
        <v>-2</v>
      </c>
      <c r="P274" s="3">
        <v>0</v>
      </c>
      <c r="Q274" s="3">
        <v>0</v>
      </c>
      <c r="R274" s="3">
        <v>5.5510999999999998E-2</v>
      </c>
      <c r="S274" s="3">
        <v>-0.11</v>
      </c>
      <c r="T274" s="3">
        <v>9.77</v>
      </c>
      <c r="U274" s="3">
        <v>9.8800000000000008</v>
      </c>
      <c r="V274" s="70" t="s">
        <v>594</v>
      </c>
      <c r="W274" s="3" t="s">
        <v>343</v>
      </c>
      <c r="X274" s="3" t="s">
        <v>337</v>
      </c>
      <c r="Y274" s="3" t="s">
        <v>337</v>
      </c>
    </row>
    <row r="275" spans="1:25" hidden="1" x14ac:dyDescent="0.2">
      <c r="A275" s="83" t="str">
        <f t="shared" si="4"/>
        <v>清丰凤鸣糖包</v>
      </c>
      <c r="B275" s="3" t="s">
        <v>713</v>
      </c>
      <c r="C275" s="84">
        <v>44377</v>
      </c>
      <c r="D275" s="3" t="s">
        <v>381</v>
      </c>
      <c r="E275" s="3" t="s">
        <v>337</v>
      </c>
      <c r="F275" s="3" t="s">
        <v>337</v>
      </c>
      <c r="G275" s="70" t="s">
        <v>72</v>
      </c>
      <c r="H275" s="3" t="s">
        <v>379</v>
      </c>
      <c r="I275" s="3" t="s">
        <v>354</v>
      </c>
      <c r="J275" s="3">
        <v>175</v>
      </c>
      <c r="K275" s="3">
        <v>0</v>
      </c>
      <c r="L275" s="3">
        <v>5</v>
      </c>
      <c r="M275" s="3">
        <v>165</v>
      </c>
      <c r="N275" s="3">
        <v>170</v>
      </c>
      <c r="O275" s="70">
        <v>-5</v>
      </c>
      <c r="P275" s="3">
        <v>0</v>
      </c>
      <c r="Q275" s="3">
        <v>0</v>
      </c>
      <c r="R275" s="3">
        <v>5.5454999999999997E-2</v>
      </c>
      <c r="S275" s="3">
        <v>-0.28000000000000003</v>
      </c>
      <c r="T275" s="3">
        <v>9.15</v>
      </c>
      <c r="U275" s="3">
        <v>9.43</v>
      </c>
      <c r="V275" s="70" t="s">
        <v>334</v>
      </c>
      <c r="W275" s="3" t="s">
        <v>343</v>
      </c>
      <c r="X275" s="3" t="s">
        <v>337</v>
      </c>
      <c r="Y275" s="3" t="s">
        <v>337</v>
      </c>
    </row>
    <row r="276" spans="1:25" hidden="1" x14ac:dyDescent="0.2">
      <c r="A276" s="83" t="str">
        <f t="shared" si="4"/>
        <v>郑州裕华糖包</v>
      </c>
      <c r="B276" s="3" t="s">
        <v>711</v>
      </c>
      <c r="C276" s="84">
        <v>44377</v>
      </c>
      <c r="D276" s="3" t="s">
        <v>381</v>
      </c>
      <c r="E276" s="3" t="s">
        <v>337</v>
      </c>
      <c r="F276" s="3" t="s">
        <v>337</v>
      </c>
      <c r="G276" s="70" t="s">
        <v>72</v>
      </c>
      <c r="H276" s="3" t="s">
        <v>379</v>
      </c>
      <c r="I276" s="3" t="s">
        <v>354</v>
      </c>
      <c r="J276" s="3">
        <v>0</v>
      </c>
      <c r="K276" s="3">
        <v>0</v>
      </c>
      <c r="L276" s="3">
        <v>12</v>
      </c>
      <c r="M276" s="3">
        <v>0</v>
      </c>
      <c r="N276" s="3">
        <v>-12</v>
      </c>
      <c r="O276" s="70">
        <v>12</v>
      </c>
      <c r="P276" s="3">
        <v>0</v>
      </c>
      <c r="Q276" s="3">
        <v>0</v>
      </c>
      <c r="R276" s="3">
        <v>7.3971999999999996E-2</v>
      </c>
      <c r="S276" s="3">
        <v>0.89</v>
      </c>
      <c r="T276" s="3">
        <v>0</v>
      </c>
      <c r="U276" s="3">
        <v>-0.89</v>
      </c>
      <c r="V276" s="70" t="s">
        <v>641</v>
      </c>
      <c r="W276" s="3" t="s">
        <v>343</v>
      </c>
      <c r="X276" s="3" t="s">
        <v>337</v>
      </c>
      <c r="Y276" s="3" t="s">
        <v>337</v>
      </c>
    </row>
    <row r="277" spans="1:25" hidden="1" x14ac:dyDescent="0.2">
      <c r="A277" s="83" t="str">
        <f t="shared" si="4"/>
        <v>滑县滑台糖包</v>
      </c>
      <c r="B277" s="3" t="s">
        <v>710</v>
      </c>
      <c r="C277" s="84">
        <v>44377</v>
      </c>
      <c r="D277" s="3" t="s">
        <v>381</v>
      </c>
      <c r="E277" s="3" t="s">
        <v>337</v>
      </c>
      <c r="F277" s="3" t="s">
        <v>337</v>
      </c>
      <c r="G277" s="70" t="s">
        <v>72</v>
      </c>
      <c r="H277" s="3" t="s">
        <v>379</v>
      </c>
      <c r="I277" s="3" t="s">
        <v>354</v>
      </c>
      <c r="J277" s="3">
        <v>0</v>
      </c>
      <c r="K277" s="3">
        <v>0</v>
      </c>
      <c r="L277" s="3">
        <v>4</v>
      </c>
      <c r="M277" s="3">
        <v>0</v>
      </c>
      <c r="N277" s="3">
        <v>-4</v>
      </c>
      <c r="O277" s="70">
        <v>4</v>
      </c>
      <c r="P277" s="3">
        <v>0</v>
      </c>
      <c r="Q277" s="3">
        <v>0</v>
      </c>
      <c r="R277" s="3">
        <v>7.3971999999999996E-2</v>
      </c>
      <c r="S277" s="3">
        <v>0.3</v>
      </c>
      <c r="T277" s="3">
        <v>0</v>
      </c>
      <c r="U277" s="3">
        <v>-0.3</v>
      </c>
      <c r="V277" s="70" t="s">
        <v>639</v>
      </c>
      <c r="W277" s="3" t="s">
        <v>343</v>
      </c>
      <c r="X277" s="3" t="s">
        <v>337</v>
      </c>
      <c r="Y277" s="3" t="s">
        <v>337</v>
      </c>
    </row>
    <row r="278" spans="1:25" hidden="1" x14ac:dyDescent="0.2">
      <c r="A278" s="83" t="str">
        <f t="shared" si="4"/>
        <v>郑州盛华里糖包</v>
      </c>
      <c r="B278" s="3" t="s">
        <v>709</v>
      </c>
      <c r="C278" s="84">
        <v>44377</v>
      </c>
      <c r="D278" s="3" t="s">
        <v>381</v>
      </c>
      <c r="E278" s="3" t="s">
        <v>337</v>
      </c>
      <c r="F278" s="3" t="s">
        <v>337</v>
      </c>
      <c r="G278" s="70" t="s">
        <v>72</v>
      </c>
      <c r="H278" s="3" t="s">
        <v>379</v>
      </c>
      <c r="I278" s="3" t="s">
        <v>354</v>
      </c>
      <c r="J278" s="3">
        <v>90</v>
      </c>
      <c r="K278" s="3">
        <v>0</v>
      </c>
      <c r="L278" s="3">
        <v>9</v>
      </c>
      <c r="M278" s="3">
        <v>88</v>
      </c>
      <c r="N278" s="3">
        <v>81</v>
      </c>
      <c r="O278" s="70">
        <v>7</v>
      </c>
      <c r="P278" s="3">
        <v>0</v>
      </c>
      <c r="Q278" s="3">
        <v>0</v>
      </c>
      <c r="R278" s="3">
        <v>5.5454999999999997E-2</v>
      </c>
      <c r="S278" s="3">
        <v>0.39</v>
      </c>
      <c r="T278" s="3">
        <v>4.88</v>
      </c>
      <c r="U278" s="3">
        <v>4.49</v>
      </c>
      <c r="V278" s="70" t="s">
        <v>637</v>
      </c>
      <c r="W278" s="3" t="s">
        <v>343</v>
      </c>
      <c r="X278" s="3" t="s">
        <v>337</v>
      </c>
      <c r="Y278" s="3" t="s">
        <v>337</v>
      </c>
    </row>
    <row r="279" spans="1:25" hidden="1" x14ac:dyDescent="0.2">
      <c r="A279" s="83" t="str">
        <f t="shared" si="4"/>
        <v>新蔡水韵天街糖包</v>
      </c>
      <c r="B279" s="3" t="s">
        <v>703</v>
      </c>
      <c r="C279" s="84">
        <v>44377</v>
      </c>
      <c r="D279" s="3" t="s">
        <v>381</v>
      </c>
      <c r="E279" s="3" t="s">
        <v>337</v>
      </c>
      <c r="F279" s="3" t="s">
        <v>337</v>
      </c>
      <c r="G279" s="70" t="s">
        <v>72</v>
      </c>
      <c r="H279" s="3" t="s">
        <v>379</v>
      </c>
      <c r="I279" s="3" t="s">
        <v>354</v>
      </c>
      <c r="J279" s="3">
        <v>120</v>
      </c>
      <c r="K279" s="3">
        <v>0</v>
      </c>
      <c r="L279" s="3">
        <v>9</v>
      </c>
      <c r="M279" s="3">
        <v>110</v>
      </c>
      <c r="N279" s="3">
        <v>111</v>
      </c>
      <c r="O279" s="70">
        <v>-1</v>
      </c>
      <c r="P279" s="3">
        <v>0</v>
      </c>
      <c r="Q279" s="3">
        <v>0</v>
      </c>
      <c r="R279" s="3">
        <v>5.5363999999999997E-2</v>
      </c>
      <c r="S279" s="3">
        <v>-0.06</v>
      </c>
      <c r="T279" s="3">
        <v>6.09</v>
      </c>
      <c r="U279" s="3">
        <v>6.15</v>
      </c>
      <c r="V279" s="70" t="s">
        <v>335</v>
      </c>
      <c r="W279" s="3" t="s">
        <v>343</v>
      </c>
      <c r="X279" s="3" t="s">
        <v>337</v>
      </c>
      <c r="Y279" s="3" t="s">
        <v>337</v>
      </c>
    </row>
    <row r="280" spans="1:25" hidden="1" x14ac:dyDescent="0.2">
      <c r="A280" s="83" t="str">
        <f t="shared" si="4"/>
        <v>郑州康复中街糖包</v>
      </c>
      <c r="B280" s="3" t="s">
        <v>704</v>
      </c>
      <c r="C280" s="84">
        <v>44377</v>
      </c>
      <c r="D280" s="3" t="s">
        <v>381</v>
      </c>
      <c r="E280" s="3" t="s">
        <v>337</v>
      </c>
      <c r="F280" s="3" t="s">
        <v>337</v>
      </c>
      <c r="G280" s="70" t="s">
        <v>72</v>
      </c>
      <c r="H280" s="3" t="s">
        <v>379</v>
      </c>
      <c r="I280" s="3" t="s">
        <v>354</v>
      </c>
      <c r="J280" s="3">
        <v>139</v>
      </c>
      <c r="K280" s="3">
        <v>0</v>
      </c>
      <c r="L280" s="3">
        <v>31</v>
      </c>
      <c r="M280" s="3">
        <v>0</v>
      </c>
      <c r="N280" s="3">
        <v>108</v>
      </c>
      <c r="O280" s="70">
        <v>-108</v>
      </c>
      <c r="P280" s="3">
        <v>0</v>
      </c>
      <c r="Q280" s="3">
        <v>0</v>
      </c>
      <c r="R280" s="3">
        <v>5.5539999999999999E-2</v>
      </c>
      <c r="S280" s="3">
        <v>-6</v>
      </c>
      <c r="T280" s="3">
        <v>0</v>
      </c>
      <c r="U280" s="3">
        <v>6</v>
      </c>
      <c r="V280" s="70" t="s">
        <v>593</v>
      </c>
      <c r="W280" s="3" t="s">
        <v>343</v>
      </c>
      <c r="X280" s="3" t="s">
        <v>337</v>
      </c>
      <c r="Y280" s="3" t="s">
        <v>337</v>
      </c>
    </row>
    <row r="281" spans="1:25" hidden="1" x14ac:dyDescent="0.2">
      <c r="A281" s="83" t="str">
        <f t="shared" si="4"/>
        <v>郑州铁英街糖包</v>
      </c>
      <c r="B281" s="3" t="s">
        <v>707</v>
      </c>
      <c r="C281" s="84">
        <v>44377</v>
      </c>
      <c r="D281" s="3" t="s">
        <v>381</v>
      </c>
      <c r="E281" s="3" t="s">
        <v>337</v>
      </c>
      <c r="F281" s="3" t="s">
        <v>337</v>
      </c>
      <c r="G281" s="70" t="s">
        <v>72</v>
      </c>
      <c r="H281" s="3" t="s">
        <v>379</v>
      </c>
      <c r="I281" s="3" t="s">
        <v>354</v>
      </c>
      <c r="J281" s="3">
        <v>195</v>
      </c>
      <c r="K281" s="3">
        <v>0</v>
      </c>
      <c r="L281" s="3">
        <v>6</v>
      </c>
      <c r="M281" s="3">
        <v>163</v>
      </c>
      <c r="N281" s="3">
        <v>189</v>
      </c>
      <c r="O281" s="70">
        <v>-26</v>
      </c>
      <c r="P281" s="3">
        <v>0</v>
      </c>
      <c r="Q281" s="3">
        <v>0</v>
      </c>
      <c r="R281" s="3">
        <v>5.5521000000000001E-2</v>
      </c>
      <c r="S281" s="3">
        <v>-1.44</v>
      </c>
      <c r="T281" s="3">
        <v>9.0500000000000007</v>
      </c>
      <c r="U281" s="3">
        <v>10.49</v>
      </c>
      <c r="V281" s="70" t="s">
        <v>592</v>
      </c>
      <c r="W281" s="3" t="s">
        <v>343</v>
      </c>
      <c r="X281" s="3" t="s">
        <v>337</v>
      </c>
      <c r="Y281" s="3" t="s">
        <v>337</v>
      </c>
    </row>
    <row r="282" spans="1:25" hidden="1" x14ac:dyDescent="0.2">
      <c r="A282" s="83" t="str">
        <f t="shared" si="4"/>
        <v>郑州西悦城糖包</v>
      </c>
      <c r="B282" s="3" t="s">
        <v>708</v>
      </c>
      <c r="C282" s="84">
        <v>44377</v>
      </c>
      <c r="D282" s="3" t="s">
        <v>381</v>
      </c>
      <c r="E282" s="3" t="s">
        <v>337</v>
      </c>
      <c r="F282" s="3" t="s">
        <v>337</v>
      </c>
      <c r="G282" s="70" t="s">
        <v>72</v>
      </c>
      <c r="H282" s="3" t="s">
        <v>379</v>
      </c>
      <c r="I282" s="3" t="s">
        <v>354</v>
      </c>
      <c r="J282" s="3">
        <v>123</v>
      </c>
      <c r="K282" s="3">
        <v>0</v>
      </c>
      <c r="L282" s="3">
        <v>10</v>
      </c>
      <c r="M282" s="3">
        <v>113</v>
      </c>
      <c r="N282" s="3">
        <v>113</v>
      </c>
      <c r="O282" s="70">
        <v>0</v>
      </c>
      <c r="P282" s="3">
        <v>0</v>
      </c>
      <c r="Q282" s="3">
        <v>0</v>
      </c>
      <c r="R282" s="3">
        <v>5.5309999999999998E-2</v>
      </c>
      <c r="S282" s="3">
        <v>0</v>
      </c>
      <c r="T282" s="3">
        <v>6.25</v>
      </c>
      <c r="U282" s="3">
        <v>6.25</v>
      </c>
      <c r="V282" s="70" t="s">
        <v>332</v>
      </c>
      <c r="W282" s="3" t="s">
        <v>343</v>
      </c>
      <c r="X282" s="3" t="s">
        <v>337</v>
      </c>
      <c r="Y282" s="3" t="s">
        <v>337</v>
      </c>
    </row>
    <row r="283" spans="1:25" hidden="1" x14ac:dyDescent="0.2">
      <c r="A283" s="83" t="str">
        <f t="shared" si="4"/>
        <v>华山龙源糖包</v>
      </c>
      <c r="B283" s="3" t="s">
        <v>705</v>
      </c>
      <c r="C283" s="84">
        <v>44377</v>
      </c>
      <c r="D283" s="3" t="s">
        <v>381</v>
      </c>
      <c r="E283" s="3" t="s">
        <v>337</v>
      </c>
      <c r="F283" s="3" t="s">
        <v>337</v>
      </c>
      <c r="G283" s="70" t="s">
        <v>72</v>
      </c>
      <c r="H283" s="3" t="s">
        <v>379</v>
      </c>
      <c r="I283" s="3" t="s">
        <v>354</v>
      </c>
      <c r="J283" s="3">
        <v>189</v>
      </c>
      <c r="K283" s="3">
        <v>0</v>
      </c>
      <c r="L283" s="3">
        <v>19</v>
      </c>
      <c r="M283" s="3">
        <v>173</v>
      </c>
      <c r="N283" s="3">
        <v>170</v>
      </c>
      <c r="O283" s="70">
        <v>3</v>
      </c>
      <c r="P283" s="3">
        <v>0</v>
      </c>
      <c r="Q283" s="3">
        <v>0</v>
      </c>
      <c r="R283" s="3">
        <v>5.5490999999999999E-2</v>
      </c>
      <c r="S283" s="3">
        <v>0.17</v>
      </c>
      <c r="T283" s="3">
        <v>9.6</v>
      </c>
      <c r="U283" s="3">
        <v>9.43</v>
      </c>
      <c r="V283" s="70" t="s">
        <v>643</v>
      </c>
      <c r="W283" s="3" t="s">
        <v>343</v>
      </c>
      <c r="X283" s="3" t="s">
        <v>337</v>
      </c>
      <c r="Y283" s="3" t="s">
        <v>337</v>
      </c>
    </row>
    <row r="284" spans="1:25" hidden="1" x14ac:dyDescent="0.2">
      <c r="A284" s="83" t="str">
        <f t="shared" si="4"/>
        <v>郑州瀚海海尚糖包</v>
      </c>
      <c r="B284" s="3" t="s">
        <v>706</v>
      </c>
      <c r="C284" s="84">
        <v>44377</v>
      </c>
      <c r="D284" s="3" t="s">
        <v>381</v>
      </c>
      <c r="E284" s="3" t="s">
        <v>337</v>
      </c>
      <c r="F284" s="3" t="s">
        <v>337</v>
      </c>
      <c r="G284" s="70" t="s">
        <v>72</v>
      </c>
      <c r="H284" s="3" t="s">
        <v>379</v>
      </c>
      <c r="I284" s="3" t="s">
        <v>354</v>
      </c>
      <c r="J284" s="3">
        <v>162</v>
      </c>
      <c r="K284" s="3">
        <v>0</v>
      </c>
      <c r="L284" s="3">
        <v>11</v>
      </c>
      <c r="M284" s="3">
        <v>170</v>
      </c>
      <c r="N284" s="3">
        <v>151</v>
      </c>
      <c r="O284" s="70">
        <v>19</v>
      </c>
      <c r="P284" s="3">
        <v>0</v>
      </c>
      <c r="Q284" s="3">
        <v>0</v>
      </c>
      <c r="R284" s="3">
        <v>5.5470999999999999E-2</v>
      </c>
      <c r="S284" s="3">
        <v>1.05</v>
      </c>
      <c r="T284" s="3">
        <v>9.43</v>
      </c>
      <c r="U284" s="3">
        <v>8.3800000000000008</v>
      </c>
      <c r="V284" s="70" t="s">
        <v>333</v>
      </c>
      <c r="W284" s="3" t="s">
        <v>343</v>
      </c>
      <c r="X284" s="3" t="s">
        <v>337</v>
      </c>
      <c r="Y284" s="3" t="s">
        <v>337</v>
      </c>
    </row>
    <row r="285" spans="1:25" hidden="1" x14ac:dyDescent="0.2">
      <c r="A285" s="83" t="str">
        <f t="shared" si="4"/>
        <v>郑州政六街糖包</v>
      </c>
      <c r="B285" s="3" t="s">
        <v>714</v>
      </c>
      <c r="C285" s="84">
        <v>44377</v>
      </c>
      <c r="D285" s="3" t="s">
        <v>381</v>
      </c>
      <c r="E285" s="3" t="s">
        <v>337</v>
      </c>
      <c r="F285" s="3" t="s">
        <v>337</v>
      </c>
      <c r="G285" s="70" t="s">
        <v>72</v>
      </c>
      <c r="H285" s="3" t="s">
        <v>379</v>
      </c>
      <c r="I285" s="3" t="s">
        <v>354</v>
      </c>
      <c r="J285" s="3">
        <v>196</v>
      </c>
      <c r="K285" s="3">
        <v>0</v>
      </c>
      <c r="L285" s="3">
        <v>14</v>
      </c>
      <c r="M285" s="3">
        <v>50</v>
      </c>
      <c r="N285" s="3">
        <v>182</v>
      </c>
      <c r="O285" s="70">
        <v>-132</v>
      </c>
      <c r="P285" s="3">
        <v>0</v>
      </c>
      <c r="Q285" s="3">
        <v>0</v>
      </c>
      <c r="R285" s="3">
        <v>5.5199999999999999E-2</v>
      </c>
      <c r="S285" s="3">
        <v>-7.29</v>
      </c>
      <c r="T285" s="3">
        <v>2.76</v>
      </c>
      <c r="U285" s="3">
        <v>10.050000000000001</v>
      </c>
      <c r="V285" s="70" t="s">
        <v>591</v>
      </c>
      <c r="W285" s="3" t="s">
        <v>343</v>
      </c>
      <c r="X285" s="3" t="s">
        <v>337</v>
      </c>
      <c r="Y285" s="3" t="s">
        <v>337</v>
      </c>
    </row>
    <row r="286" spans="1:25" hidden="1" x14ac:dyDescent="0.2">
      <c r="A286" s="83" t="str">
        <f t="shared" si="4"/>
        <v>郑州政六街孜然香辣粉</v>
      </c>
      <c r="B286" s="3" t="s">
        <v>714</v>
      </c>
      <c r="C286" s="84">
        <v>44377</v>
      </c>
      <c r="D286" s="3" t="s">
        <v>382</v>
      </c>
      <c r="E286" s="3" t="s">
        <v>337</v>
      </c>
      <c r="F286" s="3" t="s">
        <v>337</v>
      </c>
      <c r="G286" s="70" t="s">
        <v>20</v>
      </c>
      <c r="H286" s="3" t="s">
        <v>370</v>
      </c>
      <c r="I286" s="3" t="s">
        <v>105</v>
      </c>
      <c r="J286" s="3">
        <v>425</v>
      </c>
      <c r="K286" s="3">
        <v>1000</v>
      </c>
      <c r="L286" s="3">
        <v>42</v>
      </c>
      <c r="M286" s="3">
        <v>1201</v>
      </c>
      <c r="N286" s="3">
        <v>1383</v>
      </c>
      <c r="O286" s="70">
        <v>-182</v>
      </c>
      <c r="P286" s="3">
        <v>0</v>
      </c>
      <c r="Q286" s="3">
        <v>0</v>
      </c>
      <c r="R286" s="3">
        <v>0.10249800000000001</v>
      </c>
      <c r="S286" s="3">
        <v>-18.649999999999999</v>
      </c>
      <c r="T286" s="3">
        <v>123.1</v>
      </c>
      <c r="U286" s="3">
        <v>141.75</v>
      </c>
      <c r="V286" s="70" t="s">
        <v>591</v>
      </c>
      <c r="W286" s="3" t="s">
        <v>343</v>
      </c>
      <c r="X286" s="3" t="s">
        <v>337</v>
      </c>
      <c r="Y286" s="3" t="s">
        <v>337</v>
      </c>
    </row>
    <row r="287" spans="1:25" hidden="1" x14ac:dyDescent="0.2">
      <c r="A287" s="83" t="str">
        <f t="shared" si="4"/>
        <v>郑州瀚海海尚孜然香辣粉</v>
      </c>
      <c r="B287" s="3" t="s">
        <v>706</v>
      </c>
      <c r="C287" s="84">
        <v>44377</v>
      </c>
      <c r="D287" s="3" t="s">
        <v>382</v>
      </c>
      <c r="E287" s="3" t="s">
        <v>337</v>
      </c>
      <c r="F287" s="3" t="s">
        <v>337</v>
      </c>
      <c r="G287" s="70" t="s">
        <v>20</v>
      </c>
      <c r="H287" s="3" t="s">
        <v>370</v>
      </c>
      <c r="I287" s="3" t="s">
        <v>105</v>
      </c>
      <c r="J287" s="3">
        <v>370</v>
      </c>
      <c r="K287" s="3">
        <v>500</v>
      </c>
      <c r="L287" s="3">
        <v>27</v>
      </c>
      <c r="M287" s="3">
        <v>643</v>
      </c>
      <c r="N287" s="3">
        <v>843</v>
      </c>
      <c r="O287" s="70">
        <v>-200</v>
      </c>
      <c r="P287" s="3">
        <v>0</v>
      </c>
      <c r="Q287" s="3">
        <v>0</v>
      </c>
      <c r="R287" s="3">
        <v>0.102504</v>
      </c>
      <c r="S287" s="3">
        <v>-20.5</v>
      </c>
      <c r="T287" s="3">
        <v>65.91</v>
      </c>
      <c r="U287" s="3">
        <v>86.41</v>
      </c>
      <c r="V287" s="70" t="s">
        <v>333</v>
      </c>
      <c r="W287" s="3" t="s">
        <v>343</v>
      </c>
      <c r="X287" s="3" t="s">
        <v>337</v>
      </c>
      <c r="Y287" s="3" t="s">
        <v>337</v>
      </c>
    </row>
    <row r="288" spans="1:25" hidden="1" x14ac:dyDescent="0.2">
      <c r="A288" s="83" t="str">
        <f t="shared" si="4"/>
        <v>华山龙源孜然香辣粉</v>
      </c>
      <c r="B288" s="3" t="s">
        <v>705</v>
      </c>
      <c r="C288" s="84">
        <v>44377</v>
      </c>
      <c r="D288" s="3" t="s">
        <v>382</v>
      </c>
      <c r="E288" s="3" t="s">
        <v>337</v>
      </c>
      <c r="F288" s="3" t="s">
        <v>337</v>
      </c>
      <c r="G288" s="70" t="s">
        <v>20</v>
      </c>
      <c r="H288" s="3" t="s">
        <v>370</v>
      </c>
      <c r="I288" s="3" t="s">
        <v>105</v>
      </c>
      <c r="J288" s="3">
        <v>430</v>
      </c>
      <c r="K288" s="3">
        <v>0</v>
      </c>
      <c r="L288" s="3">
        <v>25</v>
      </c>
      <c r="M288" s="3">
        <v>360</v>
      </c>
      <c r="N288" s="3">
        <v>405</v>
      </c>
      <c r="O288" s="70">
        <v>-45</v>
      </c>
      <c r="P288" s="3">
        <v>0</v>
      </c>
      <c r="Q288" s="3">
        <v>0</v>
      </c>
      <c r="R288" s="3">
        <v>0.10258299999999999</v>
      </c>
      <c r="S288" s="3">
        <v>-4.62</v>
      </c>
      <c r="T288" s="3">
        <v>36.93</v>
      </c>
      <c r="U288" s="3">
        <v>41.55</v>
      </c>
      <c r="V288" s="70" t="s">
        <v>643</v>
      </c>
      <c r="W288" s="3" t="s">
        <v>343</v>
      </c>
      <c r="X288" s="3" t="s">
        <v>337</v>
      </c>
      <c r="Y288" s="3" t="s">
        <v>337</v>
      </c>
    </row>
    <row r="289" spans="1:25" hidden="1" x14ac:dyDescent="0.2">
      <c r="A289" s="83" t="str">
        <f t="shared" si="4"/>
        <v>郑州西悦城孜然香辣粉</v>
      </c>
      <c r="B289" s="3" t="s">
        <v>708</v>
      </c>
      <c r="C289" s="84">
        <v>44377</v>
      </c>
      <c r="D289" s="3" t="s">
        <v>382</v>
      </c>
      <c r="E289" s="3" t="s">
        <v>337</v>
      </c>
      <c r="F289" s="3" t="s">
        <v>337</v>
      </c>
      <c r="G289" s="70" t="s">
        <v>20</v>
      </c>
      <c r="H289" s="3" t="s">
        <v>370</v>
      </c>
      <c r="I289" s="3" t="s">
        <v>105</v>
      </c>
      <c r="J289" s="3">
        <v>1000</v>
      </c>
      <c r="K289" s="3">
        <v>0</v>
      </c>
      <c r="L289" s="3">
        <v>74</v>
      </c>
      <c r="M289" s="3">
        <v>800</v>
      </c>
      <c r="N289" s="3">
        <v>926</v>
      </c>
      <c r="O289" s="70">
        <v>-126</v>
      </c>
      <c r="P289" s="3">
        <v>0</v>
      </c>
      <c r="Q289" s="3">
        <v>0</v>
      </c>
      <c r="R289" s="3">
        <v>0.102488</v>
      </c>
      <c r="S289" s="3">
        <v>-12.91</v>
      </c>
      <c r="T289" s="3">
        <v>81.99</v>
      </c>
      <c r="U289" s="3">
        <v>94.9</v>
      </c>
      <c r="V289" s="70" t="s">
        <v>332</v>
      </c>
      <c r="W289" s="3" t="s">
        <v>343</v>
      </c>
      <c r="X289" s="3" t="s">
        <v>337</v>
      </c>
      <c r="Y289" s="3" t="s">
        <v>337</v>
      </c>
    </row>
    <row r="290" spans="1:25" hidden="1" x14ac:dyDescent="0.2">
      <c r="A290" s="83" t="str">
        <f t="shared" si="4"/>
        <v>郑州铁英街孜然香辣粉</v>
      </c>
      <c r="B290" s="3" t="s">
        <v>707</v>
      </c>
      <c r="C290" s="84">
        <v>44377</v>
      </c>
      <c r="D290" s="3" t="s">
        <v>382</v>
      </c>
      <c r="E290" s="3" t="s">
        <v>337</v>
      </c>
      <c r="F290" s="3" t="s">
        <v>337</v>
      </c>
      <c r="G290" s="70" t="s">
        <v>20</v>
      </c>
      <c r="H290" s="3" t="s">
        <v>370</v>
      </c>
      <c r="I290" s="3" t="s">
        <v>105</v>
      </c>
      <c r="J290" s="3">
        <v>680</v>
      </c>
      <c r="K290" s="3">
        <v>0</v>
      </c>
      <c r="L290" s="3">
        <v>29</v>
      </c>
      <c r="M290" s="3">
        <v>551</v>
      </c>
      <c r="N290" s="3">
        <v>651</v>
      </c>
      <c r="O290" s="70">
        <v>-100</v>
      </c>
      <c r="P290" s="3">
        <v>0</v>
      </c>
      <c r="Q290" s="3">
        <v>0</v>
      </c>
      <c r="R290" s="3">
        <v>0.10248599999999999</v>
      </c>
      <c r="S290" s="3">
        <v>-10.25</v>
      </c>
      <c r="T290" s="3">
        <v>56.47</v>
      </c>
      <c r="U290" s="3">
        <v>66.72</v>
      </c>
      <c r="V290" s="70" t="s">
        <v>592</v>
      </c>
      <c r="W290" s="3" t="s">
        <v>343</v>
      </c>
      <c r="X290" s="3" t="s">
        <v>337</v>
      </c>
      <c r="Y290" s="3" t="s">
        <v>337</v>
      </c>
    </row>
    <row r="291" spans="1:25" hidden="1" x14ac:dyDescent="0.2">
      <c r="A291" s="83" t="str">
        <f t="shared" si="4"/>
        <v>郑州康复中街孜然香辣粉</v>
      </c>
      <c r="B291" s="3" t="s">
        <v>704</v>
      </c>
      <c r="C291" s="84">
        <v>44377</v>
      </c>
      <c r="D291" s="3" t="s">
        <v>382</v>
      </c>
      <c r="E291" s="3" t="s">
        <v>337</v>
      </c>
      <c r="F291" s="3" t="s">
        <v>337</v>
      </c>
      <c r="G291" s="70" t="s">
        <v>20</v>
      </c>
      <c r="H291" s="3" t="s">
        <v>370</v>
      </c>
      <c r="I291" s="3" t="s">
        <v>105</v>
      </c>
      <c r="J291" s="3">
        <v>821</v>
      </c>
      <c r="K291" s="3">
        <v>500</v>
      </c>
      <c r="L291" s="3">
        <v>77</v>
      </c>
      <c r="M291" s="3">
        <v>1240</v>
      </c>
      <c r="N291" s="3">
        <v>1244</v>
      </c>
      <c r="O291" s="70">
        <v>-4</v>
      </c>
      <c r="P291" s="3">
        <v>0</v>
      </c>
      <c r="Q291" s="3">
        <v>0</v>
      </c>
      <c r="R291" s="3">
        <v>0.102508</v>
      </c>
      <c r="S291" s="3">
        <v>-0.41</v>
      </c>
      <c r="T291" s="3">
        <v>127.11</v>
      </c>
      <c r="U291" s="3">
        <v>127.52</v>
      </c>
      <c r="V291" s="70" t="s">
        <v>593</v>
      </c>
      <c r="W291" s="3" t="s">
        <v>343</v>
      </c>
      <c r="X291" s="3" t="s">
        <v>337</v>
      </c>
      <c r="Y291" s="3" t="s">
        <v>337</v>
      </c>
    </row>
    <row r="292" spans="1:25" hidden="1" x14ac:dyDescent="0.2">
      <c r="A292" s="83" t="str">
        <f t="shared" si="4"/>
        <v>新蔡水韵天街孜然香辣粉</v>
      </c>
      <c r="B292" s="3" t="s">
        <v>703</v>
      </c>
      <c r="C292" s="84">
        <v>44377</v>
      </c>
      <c r="D292" s="3" t="s">
        <v>382</v>
      </c>
      <c r="E292" s="3" t="s">
        <v>337</v>
      </c>
      <c r="F292" s="3" t="s">
        <v>337</v>
      </c>
      <c r="G292" s="70" t="s">
        <v>20</v>
      </c>
      <c r="H292" s="3" t="s">
        <v>370</v>
      </c>
      <c r="I292" s="3" t="s">
        <v>105</v>
      </c>
      <c r="J292" s="3">
        <v>430</v>
      </c>
      <c r="K292" s="3">
        <v>0</v>
      </c>
      <c r="L292" s="3">
        <v>35</v>
      </c>
      <c r="M292" s="3">
        <v>200</v>
      </c>
      <c r="N292" s="3">
        <v>395</v>
      </c>
      <c r="O292" s="70">
        <v>-195</v>
      </c>
      <c r="P292" s="3">
        <v>0</v>
      </c>
      <c r="Q292" s="3">
        <v>0</v>
      </c>
      <c r="R292" s="3">
        <v>0.10249999999999999</v>
      </c>
      <c r="S292" s="3">
        <v>-19.989999999999998</v>
      </c>
      <c r="T292" s="3">
        <v>20.5</v>
      </c>
      <c r="U292" s="3">
        <v>40.49</v>
      </c>
      <c r="V292" s="70" t="s">
        <v>335</v>
      </c>
      <c r="W292" s="3" t="s">
        <v>343</v>
      </c>
      <c r="X292" s="3" t="s">
        <v>337</v>
      </c>
      <c r="Y292" s="3" t="s">
        <v>337</v>
      </c>
    </row>
    <row r="293" spans="1:25" hidden="1" x14ac:dyDescent="0.2">
      <c r="A293" s="83" t="str">
        <f t="shared" si="4"/>
        <v>郑州盛华里孜然香辣粉</v>
      </c>
      <c r="B293" s="3" t="s">
        <v>709</v>
      </c>
      <c r="C293" s="84">
        <v>44377</v>
      </c>
      <c r="D293" s="3" t="s">
        <v>382</v>
      </c>
      <c r="E293" s="3" t="s">
        <v>337</v>
      </c>
      <c r="F293" s="3" t="s">
        <v>337</v>
      </c>
      <c r="G293" s="70" t="s">
        <v>20</v>
      </c>
      <c r="H293" s="3" t="s">
        <v>370</v>
      </c>
      <c r="I293" s="3" t="s">
        <v>105</v>
      </c>
      <c r="J293" s="3">
        <v>490</v>
      </c>
      <c r="K293" s="3">
        <v>0</v>
      </c>
      <c r="L293" s="3">
        <v>15</v>
      </c>
      <c r="M293" s="3">
        <v>450</v>
      </c>
      <c r="N293" s="3">
        <v>475</v>
      </c>
      <c r="O293" s="70">
        <v>-25</v>
      </c>
      <c r="P293" s="3">
        <v>0</v>
      </c>
      <c r="Q293" s="3">
        <v>0</v>
      </c>
      <c r="R293" s="3">
        <v>0.102489</v>
      </c>
      <c r="S293" s="3">
        <v>-2.56</v>
      </c>
      <c r="T293" s="3">
        <v>46.12</v>
      </c>
      <c r="U293" s="3">
        <v>48.68</v>
      </c>
      <c r="V293" s="70" t="s">
        <v>637</v>
      </c>
      <c r="W293" s="3" t="s">
        <v>343</v>
      </c>
      <c r="X293" s="3" t="s">
        <v>337</v>
      </c>
      <c r="Y293" s="3" t="s">
        <v>337</v>
      </c>
    </row>
    <row r="294" spans="1:25" hidden="1" x14ac:dyDescent="0.2">
      <c r="A294" s="83" t="str">
        <f t="shared" si="4"/>
        <v>滑县滑台孜然香辣粉</v>
      </c>
      <c r="B294" s="3" t="s">
        <v>710</v>
      </c>
      <c r="C294" s="84">
        <v>44377</v>
      </c>
      <c r="D294" s="3" t="s">
        <v>382</v>
      </c>
      <c r="E294" s="3" t="s">
        <v>337</v>
      </c>
      <c r="F294" s="3" t="s">
        <v>337</v>
      </c>
      <c r="G294" s="70" t="s">
        <v>20</v>
      </c>
      <c r="H294" s="3" t="s">
        <v>370</v>
      </c>
      <c r="I294" s="3" t="s">
        <v>105</v>
      </c>
      <c r="J294" s="3">
        <v>473</v>
      </c>
      <c r="K294" s="3">
        <v>0</v>
      </c>
      <c r="L294" s="3">
        <v>57</v>
      </c>
      <c r="M294" s="3">
        <v>416</v>
      </c>
      <c r="N294" s="3">
        <v>416</v>
      </c>
      <c r="O294" s="70">
        <v>0</v>
      </c>
      <c r="P294" s="3">
        <v>0</v>
      </c>
      <c r="Q294" s="3">
        <v>0</v>
      </c>
      <c r="R294" s="3">
        <v>0.102476</v>
      </c>
      <c r="S294" s="3">
        <v>0</v>
      </c>
      <c r="T294" s="3">
        <v>42.63</v>
      </c>
      <c r="U294" s="3">
        <v>42.63</v>
      </c>
      <c r="V294" s="70" t="s">
        <v>639</v>
      </c>
      <c r="W294" s="3" t="s">
        <v>343</v>
      </c>
      <c r="X294" s="3" t="s">
        <v>337</v>
      </c>
      <c r="Y294" s="3" t="s">
        <v>337</v>
      </c>
    </row>
    <row r="295" spans="1:25" hidden="1" x14ac:dyDescent="0.2">
      <c r="A295" s="83" t="str">
        <f t="shared" si="4"/>
        <v>郑州裕华孜然香辣粉</v>
      </c>
      <c r="B295" s="3" t="s">
        <v>711</v>
      </c>
      <c r="C295" s="84">
        <v>44377</v>
      </c>
      <c r="D295" s="3" t="s">
        <v>382</v>
      </c>
      <c r="E295" s="3" t="s">
        <v>337</v>
      </c>
      <c r="F295" s="3" t="s">
        <v>337</v>
      </c>
      <c r="G295" s="70" t="s">
        <v>20</v>
      </c>
      <c r="H295" s="3" t="s">
        <v>370</v>
      </c>
      <c r="I295" s="3" t="s">
        <v>105</v>
      </c>
      <c r="J295" s="3">
        <v>450</v>
      </c>
      <c r="K295" s="3">
        <v>500</v>
      </c>
      <c r="L295" s="3">
        <v>35</v>
      </c>
      <c r="M295" s="3">
        <v>900</v>
      </c>
      <c r="N295" s="3">
        <v>915</v>
      </c>
      <c r="O295" s="70">
        <v>-15</v>
      </c>
      <c r="P295" s="3">
        <v>0</v>
      </c>
      <c r="Q295" s="3">
        <v>0</v>
      </c>
      <c r="R295" s="3">
        <v>0.10249999999999999</v>
      </c>
      <c r="S295" s="3">
        <v>-1.54</v>
      </c>
      <c r="T295" s="3">
        <v>92.25</v>
      </c>
      <c r="U295" s="3">
        <v>93.79</v>
      </c>
      <c r="V295" s="70" t="s">
        <v>641</v>
      </c>
      <c r="W295" s="3" t="s">
        <v>343</v>
      </c>
      <c r="X295" s="3" t="s">
        <v>337</v>
      </c>
      <c r="Y295" s="3" t="s">
        <v>337</v>
      </c>
    </row>
    <row r="296" spans="1:25" hidden="1" x14ac:dyDescent="0.2">
      <c r="A296" s="83" t="str">
        <f t="shared" si="4"/>
        <v>清丰凤鸣孜然香辣粉</v>
      </c>
      <c r="B296" s="3" t="s">
        <v>713</v>
      </c>
      <c r="C296" s="84">
        <v>44377</v>
      </c>
      <c r="D296" s="3" t="s">
        <v>382</v>
      </c>
      <c r="E296" s="3" t="s">
        <v>337</v>
      </c>
      <c r="F296" s="3" t="s">
        <v>337</v>
      </c>
      <c r="G296" s="70" t="s">
        <v>20</v>
      </c>
      <c r="H296" s="3" t="s">
        <v>370</v>
      </c>
      <c r="I296" s="3" t="s">
        <v>105</v>
      </c>
      <c r="J296" s="3">
        <v>450</v>
      </c>
      <c r="K296" s="3">
        <v>500</v>
      </c>
      <c r="L296" s="3">
        <v>15</v>
      </c>
      <c r="M296" s="3">
        <v>922</v>
      </c>
      <c r="N296" s="3">
        <v>935</v>
      </c>
      <c r="O296" s="70">
        <v>-13</v>
      </c>
      <c r="P296" s="3">
        <v>0</v>
      </c>
      <c r="Q296" s="3">
        <v>0</v>
      </c>
      <c r="R296" s="3">
        <v>0.102516</v>
      </c>
      <c r="S296" s="3">
        <v>-1.33</v>
      </c>
      <c r="T296" s="3">
        <v>94.52</v>
      </c>
      <c r="U296" s="3">
        <v>95.85</v>
      </c>
      <c r="V296" s="70" t="s">
        <v>334</v>
      </c>
      <c r="W296" s="3" t="s">
        <v>343</v>
      </c>
      <c r="X296" s="3" t="s">
        <v>337</v>
      </c>
      <c r="Y296" s="3" t="s">
        <v>337</v>
      </c>
    </row>
    <row r="297" spans="1:25" hidden="1" x14ac:dyDescent="0.2">
      <c r="A297" s="83" t="str">
        <f t="shared" si="4"/>
        <v>方城锦城国际孜然香辣粉</v>
      </c>
      <c r="B297" s="3" t="s">
        <v>712</v>
      </c>
      <c r="C297" s="84">
        <v>44377</v>
      </c>
      <c r="D297" s="3" t="s">
        <v>382</v>
      </c>
      <c r="E297" s="3" t="s">
        <v>337</v>
      </c>
      <c r="F297" s="3" t="s">
        <v>337</v>
      </c>
      <c r="G297" s="70" t="s">
        <v>20</v>
      </c>
      <c r="H297" s="3" t="s">
        <v>370</v>
      </c>
      <c r="I297" s="3" t="s">
        <v>105</v>
      </c>
      <c r="J297" s="3">
        <v>130</v>
      </c>
      <c r="K297" s="3">
        <v>500</v>
      </c>
      <c r="L297" s="3">
        <v>79</v>
      </c>
      <c r="M297" s="3">
        <v>400</v>
      </c>
      <c r="N297" s="3">
        <v>551</v>
      </c>
      <c r="O297" s="70">
        <v>-151</v>
      </c>
      <c r="P297" s="3">
        <v>0</v>
      </c>
      <c r="Q297" s="3">
        <v>0</v>
      </c>
      <c r="R297" s="3">
        <v>0.10249999999999999</v>
      </c>
      <c r="S297" s="3">
        <v>-15.48</v>
      </c>
      <c r="T297" s="3">
        <v>41</v>
      </c>
      <c r="U297" s="3">
        <v>56.48</v>
      </c>
      <c r="V297" s="70" t="s">
        <v>594</v>
      </c>
      <c r="W297" s="3" t="s">
        <v>343</v>
      </c>
      <c r="X297" s="3" t="s">
        <v>337</v>
      </c>
      <c r="Y297" s="3" t="s">
        <v>337</v>
      </c>
    </row>
    <row r="298" spans="1:25" hidden="1" x14ac:dyDescent="0.2">
      <c r="A298" s="83" t="str">
        <f t="shared" si="4"/>
        <v>方城锦城国际汉堡纸</v>
      </c>
      <c r="B298" s="3" t="s">
        <v>712</v>
      </c>
      <c r="C298" s="84">
        <v>44377</v>
      </c>
      <c r="D298" s="3" t="s">
        <v>383</v>
      </c>
      <c r="E298" s="3" t="s">
        <v>337</v>
      </c>
      <c r="F298" s="3" t="s">
        <v>337</v>
      </c>
      <c r="G298" s="70" t="s">
        <v>26</v>
      </c>
      <c r="H298" s="3" t="s">
        <v>384</v>
      </c>
      <c r="I298" s="3" t="s">
        <v>113</v>
      </c>
      <c r="J298" s="3">
        <v>2295</v>
      </c>
      <c r="K298" s="3">
        <v>6000</v>
      </c>
      <c r="L298" s="3">
        <v>6068</v>
      </c>
      <c r="M298" s="3">
        <v>2000</v>
      </c>
      <c r="N298" s="3">
        <v>2227</v>
      </c>
      <c r="O298" s="70">
        <v>-227</v>
      </c>
      <c r="P298" s="3">
        <v>0</v>
      </c>
      <c r="Q298" s="3">
        <v>0</v>
      </c>
      <c r="R298" s="3">
        <v>4.1424999999999997E-2</v>
      </c>
      <c r="S298" s="3">
        <v>-9.4</v>
      </c>
      <c r="T298" s="3">
        <v>82.85</v>
      </c>
      <c r="U298" s="3">
        <v>92.25</v>
      </c>
      <c r="V298" s="70" t="s">
        <v>594</v>
      </c>
      <c r="W298" s="3" t="s">
        <v>343</v>
      </c>
      <c r="X298" s="3" t="s">
        <v>337</v>
      </c>
      <c r="Y298" s="3" t="s">
        <v>337</v>
      </c>
    </row>
    <row r="299" spans="1:25" hidden="1" x14ac:dyDescent="0.2">
      <c r="A299" s="83" t="str">
        <f t="shared" si="4"/>
        <v>清丰凤鸣汉堡纸</v>
      </c>
      <c r="B299" s="3" t="s">
        <v>713</v>
      </c>
      <c r="C299" s="84">
        <v>44377</v>
      </c>
      <c r="D299" s="3" t="s">
        <v>383</v>
      </c>
      <c r="E299" s="3" t="s">
        <v>337</v>
      </c>
      <c r="F299" s="3" t="s">
        <v>337</v>
      </c>
      <c r="G299" s="70" t="s">
        <v>26</v>
      </c>
      <c r="H299" s="3" t="s">
        <v>384</v>
      </c>
      <c r="I299" s="3" t="s">
        <v>113</v>
      </c>
      <c r="J299" s="3">
        <v>2790</v>
      </c>
      <c r="K299" s="3">
        <v>3000</v>
      </c>
      <c r="L299" s="3">
        <v>3035</v>
      </c>
      <c r="M299" s="3">
        <v>2710</v>
      </c>
      <c r="N299" s="3">
        <v>2755</v>
      </c>
      <c r="O299" s="70">
        <v>-45</v>
      </c>
      <c r="P299" s="3">
        <v>0</v>
      </c>
      <c r="Q299" s="3">
        <v>0</v>
      </c>
      <c r="R299" s="3">
        <v>4.1443000000000001E-2</v>
      </c>
      <c r="S299" s="3">
        <v>-1.86</v>
      </c>
      <c r="T299" s="3">
        <v>112.31</v>
      </c>
      <c r="U299" s="3">
        <v>114.18</v>
      </c>
      <c r="V299" s="70" t="s">
        <v>334</v>
      </c>
      <c r="W299" s="3" t="s">
        <v>343</v>
      </c>
      <c r="X299" s="3" t="s">
        <v>337</v>
      </c>
      <c r="Y299" s="3" t="s">
        <v>337</v>
      </c>
    </row>
    <row r="300" spans="1:25" hidden="1" x14ac:dyDescent="0.2">
      <c r="A300" s="83" t="str">
        <f t="shared" si="4"/>
        <v>郑州裕华汉堡纸</v>
      </c>
      <c r="B300" s="3" t="s">
        <v>711</v>
      </c>
      <c r="C300" s="84">
        <v>44377</v>
      </c>
      <c r="D300" s="3" t="s">
        <v>383</v>
      </c>
      <c r="E300" s="3" t="s">
        <v>337</v>
      </c>
      <c r="F300" s="3" t="s">
        <v>337</v>
      </c>
      <c r="G300" s="70" t="s">
        <v>26</v>
      </c>
      <c r="H300" s="3" t="s">
        <v>384</v>
      </c>
      <c r="I300" s="3" t="s">
        <v>113</v>
      </c>
      <c r="J300" s="3">
        <v>5000</v>
      </c>
      <c r="K300" s="3">
        <v>0</v>
      </c>
      <c r="L300" s="3">
        <v>3357</v>
      </c>
      <c r="M300" s="3">
        <v>1600</v>
      </c>
      <c r="N300" s="3">
        <v>1643</v>
      </c>
      <c r="O300" s="70">
        <v>-43</v>
      </c>
      <c r="P300" s="3">
        <v>0</v>
      </c>
      <c r="Q300" s="3">
        <v>0</v>
      </c>
      <c r="R300" s="3">
        <v>4.165E-2</v>
      </c>
      <c r="S300" s="3">
        <v>-1.79</v>
      </c>
      <c r="T300" s="3">
        <v>66.64</v>
      </c>
      <c r="U300" s="3">
        <v>68.430000000000007</v>
      </c>
      <c r="V300" s="70" t="s">
        <v>641</v>
      </c>
      <c r="W300" s="3" t="s">
        <v>343</v>
      </c>
      <c r="X300" s="3" t="s">
        <v>337</v>
      </c>
      <c r="Y300" s="3" t="s">
        <v>337</v>
      </c>
    </row>
    <row r="301" spans="1:25" hidden="1" x14ac:dyDescent="0.2">
      <c r="A301" s="83" t="str">
        <f t="shared" si="4"/>
        <v>滑县滑台汉堡纸</v>
      </c>
      <c r="B301" s="3" t="s">
        <v>710</v>
      </c>
      <c r="C301" s="84">
        <v>44377</v>
      </c>
      <c r="D301" s="3" t="s">
        <v>383</v>
      </c>
      <c r="E301" s="3" t="s">
        <v>337</v>
      </c>
      <c r="F301" s="3" t="s">
        <v>337</v>
      </c>
      <c r="G301" s="70" t="s">
        <v>26</v>
      </c>
      <c r="H301" s="3" t="s">
        <v>384</v>
      </c>
      <c r="I301" s="3" t="s">
        <v>113</v>
      </c>
      <c r="J301" s="3">
        <v>10000</v>
      </c>
      <c r="K301" s="3">
        <v>0</v>
      </c>
      <c r="L301" s="3">
        <v>7628</v>
      </c>
      <c r="M301" s="3">
        <v>2520</v>
      </c>
      <c r="N301" s="3">
        <v>2372</v>
      </c>
      <c r="O301" s="70">
        <v>148</v>
      </c>
      <c r="P301" s="3">
        <v>0</v>
      </c>
      <c r="Q301" s="3">
        <v>0</v>
      </c>
      <c r="R301" s="3">
        <v>4.1439999999999998E-2</v>
      </c>
      <c r="S301" s="3">
        <v>6.13</v>
      </c>
      <c r="T301" s="3">
        <v>104.43</v>
      </c>
      <c r="U301" s="3">
        <v>98.3</v>
      </c>
      <c r="V301" s="70" t="s">
        <v>639</v>
      </c>
      <c r="W301" s="3" t="s">
        <v>343</v>
      </c>
      <c r="X301" s="3" t="s">
        <v>337</v>
      </c>
      <c r="Y301" s="3" t="s">
        <v>337</v>
      </c>
    </row>
    <row r="302" spans="1:25" hidden="1" x14ac:dyDescent="0.2">
      <c r="A302" s="83" t="str">
        <f t="shared" si="4"/>
        <v>郑州盛华里汉堡纸</v>
      </c>
      <c r="B302" s="3" t="s">
        <v>709</v>
      </c>
      <c r="C302" s="84">
        <v>44377</v>
      </c>
      <c r="D302" s="3" t="s">
        <v>383</v>
      </c>
      <c r="E302" s="3" t="s">
        <v>337</v>
      </c>
      <c r="F302" s="3" t="s">
        <v>337</v>
      </c>
      <c r="G302" s="70" t="s">
        <v>26</v>
      </c>
      <c r="H302" s="3" t="s">
        <v>384</v>
      </c>
      <c r="I302" s="3" t="s">
        <v>113</v>
      </c>
      <c r="J302" s="3">
        <v>4600</v>
      </c>
      <c r="K302" s="3">
        <v>3000</v>
      </c>
      <c r="L302" s="3">
        <v>2845</v>
      </c>
      <c r="M302" s="3">
        <v>4500</v>
      </c>
      <c r="N302" s="3">
        <v>4755</v>
      </c>
      <c r="O302" s="70">
        <v>-255</v>
      </c>
      <c r="P302" s="3">
        <v>0</v>
      </c>
      <c r="Q302" s="3">
        <v>0</v>
      </c>
      <c r="R302" s="3">
        <v>4.1399999999999999E-2</v>
      </c>
      <c r="S302" s="3">
        <v>-10.56</v>
      </c>
      <c r="T302" s="3">
        <v>186.3</v>
      </c>
      <c r="U302" s="3">
        <v>196.86</v>
      </c>
      <c r="V302" s="70" t="s">
        <v>637</v>
      </c>
      <c r="W302" s="3" t="s">
        <v>343</v>
      </c>
      <c r="X302" s="3" t="s">
        <v>337</v>
      </c>
      <c r="Y302" s="3" t="s">
        <v>337</v>
      </c>
    </row>
    <row r="303" spans="1:25" hidden="1" x14ac:dyDescent="0.2">
      <c r="A303" s="83" t="str">
        <f t="shared" si="4"/>
        <v>新蔡水韵天街汉堡纸</v>
      </c>
      <c r="B303" s="3" t="s">
        <v>703</v>
      </c>
      <c r="C303" s="84">
        <v>44377</v>
      </c>
      <c r="D303" s="3" t="s">
        <v>383</v>
      </c>
      <c r="E303" s="3" t="s">
        <v>337</v>
      </c>
      <c r="F303" s="3" t="s">
        <v>337</v>
      </c>
      <c r="G303" s="70" t="s">
        <v>26</v>
      </c>
      <c r="H303" s="3" t="s">
        <v>384</v>
      </c>
      <c r="I303" s="3" t="s">
        <v>113</v>
      </c>
      <c r="J303" s="3">
        <v>3500</v>
      </c>
      <c r="K303" s="3">
        <v>3000</v>
      </c>
      <c r="L303" s="3">
        <v>3712</v>
      </c>
      <c r="M303" s="3">
        <v>2700</v>
      </c>
      <c r="N303" s="3">
        <v>2788</v>
      </c>
      <c r="O303" s="70">
        <v>-88</v>
      </c>
      <c r="P303" s="3">
        <v>0</v>
      </c>
      <c r="Q303" s="3">
        <v>0</v>
      </c>
      <c r="R303" s="3">
        <v>4.1411000000000003E-2</v>
      </c>
      <c r="S303" s="3">
        <v>-3.64</v>
      </c>
      <c r="T303" s="3">
        <v>111.81</v>
      </c>
      <c r="U303" s="3">
        <v>115.45</v>
      </c>
      <c r="V303" s="70" t="s">
        <v>335</v>
      </c>
      <c r="W303" s="3" t="s">
        <v>343</v>
      </c>
      <c r="X303" s="3" t="s">
        <v>337</v>
      </c>
      <c r="Y303" s="3" t="s">
        <v>337</v>
      </c>
    </row>
    <row r="304" spans="1:25" hidden="1" x14ac:dyDescent="0.2">
      <c r="A304" s="83" t="str">
        <f t="shared" si="4"/>
        <v>郑州康复中街汉堡纸</v>
      </c>
      <c r="B304" s="3" t="s">
        <v>704</v>
      </c>
      <c r="C304" s="84">
        <v>44377</v>
      </c>
      <c r="D304" s="3" t="s">
        <v>383</v>
      </c>
      <c r="E304" s="3" t="s">
        <v>337</v>
      </c>
      <c r="F304" s="3" t="s">
        <v>337</v>
      </c>
      <c r="G304" s="70" t="s">
        <v>26</v>
      </c>
      <c r="H304" s="3" t="s">
        <v>384</v>
      </c>
      <c r="I304" s="3" t="s">
        <v>113</v>
      </c>
      <c r="J304" s="3">
        <v>2800</v>
      </c>
      <c r="K304" s="3">
        <v>9000</v>
      </c>
      <c r="L304" s="3">
        <v>6903</v>
      </c>
      <c r="M304" s="3">
        <v>2000</v>
      </c>
      <c r="N304" s="3">
        <v>4897</v>
      </c>
      <c r="O304" s="70">
        <v>-2897</v>
      </c>
      <c r="P304" s="3">
        <v>0</v>
      </c>
      <c r="Q304" s="3">
        <v>0</v>
      </c>
      <c r="R304" s="3">
        <v>4.1415E-2</v>
      </c>
      <c r="S304" s="3">
        <v>-119.98</v>
      </c>
      <c r="T304" s="3">
        <v>82.83</v>
      </c>
      <c r="U304" s="3">
        <v>202.81</v>
      </c>
      <c r="V304" s="70" t="s">
        <v>593</v>
      </c>
      <c r="W304" s="3" t="s">
        <v>343</v>
      </c>
      <c r="X304" s="3" t="s">
        <v>337</v>
      </c>
      <c r="Y304" s="3" t="s">
        <v>337</v>
      </c>
    </row>
    <row r="305" spans="1:25" hidden="1" x14ac:dyDescent="0.2">
      <c r="A305" s="83" t="str">
        <f t="shared" si="4"/>
        <v>郑州铁英街汉堡纸</v>
      </c>
      <c r="B305" s="3" t="s">
        <v>707</v>
      </c>
      <c r="C305" s="84">
        <v>44377</v>
      </c>
      <c r="D305" s="3" t="s">
        <v>383</v>
      </c>
      <c r="E305" s="3" t="s">
        <v>337</v>
      </c>
      <c r="F305" s="3" t="s">
        <v>337</v>
      </c>
      <c r="G305" s="70" t="s">
        <v>26</v>
      </c>
      <c r="H305" s="3" t="s">
        <v>384</v>
      </c>
      <c r="I305" s="3" t="s">
        <v>113</v>
      </c>
      <c r="J305" s="3">
        <v>537</v>
      </c>
      <c r="K305" s="3">
        <v>6000</v>
      </c>
      <c r="L305" s="3">
        <v>4282</v>
      </c>
      <c r="M305" s="3">
        <v>3043</v>
      </c>
      <c r="N305" s="3">
        <v>2255</v>
      </c>
      <c r="O305" s="70">
        <v>788</v>
      </c>
      <c r="P305" s="3">
        <v>0</v>
      </c>
      <c r="Q305" s="3">
        <v>0</v>
      </c>
      <c r="R305" s="3">
        <v>4.1410000000000002E-2</v>
      </c>
      <c r="S305" s="3">
        <v>32.630000000000003</v>
      </c>
      <c r="T305" s="3">
        <v>126.01</v>
      </c>
      <c r="U305" s="3">
        <v>93.38</v>
      </c>
      <c r="V305" s="70" t="s">
        <v>592</v>
      </c>
      <c r="W305" s="3" t="s">
        <v>343</v>
      </c>
      <c r="X305" s="3" t="s">
        <v>337</v>
      </c>
      <c r="Y305" s="3" t="s">
        <v>337</v>
      </c>
    </row>
    <row r="306" spans="1:25" hidden="1" x14ac:dyDescent="0.2">
      <c r="A306" s="83" t="str">
        <f t="shared" si="4"/>
        <v>郑州西悦城汉堡纸</v>
      </c>
      <c r="B306" s="3" t="s">
        <v>708</v>
      </c>
      <c r="C306" s="84">
        <v>44377</v>
      </c>
      <c r="D306" s="3" t="s">
        <v>383</v>
      </c>
      <c r="E306" s="3" t="s">
        <v>337</v>
      </c>
      <c r="F306" s="3" t="s">
        <v>337</v>
      </c>
      <c r="G306" s="70" t="s">
        <v>26</v>
      </c>
      <c r="H306" s="3" t="s">
        <v>384</v>
      </c>
      <c r="I306" s="3" t="s">
        <v>113</v>
      </c>
      <c r="J306" s="3">
        <v>6900</v>
      </c>
      <c r="K306" s="3">
        <v>6000</v>
      </c>
      <c r="L306" s="3">
        <v>8352</v>
      </c>
      <c r="M306" s="3">
        <v>4500</v>
      </c>
      <c r="N306" s="3">
        <v>4548</v>
      </c>
      <c r="O306" s="70">
        <v>-48</v>
      </c>
      <c r="P306" s="3">
        <v>0</v>
      </c>
      <c r="Q306" s="3">
        <v>0</v>
      </c>
      <c r="R306" s="3">
        <v>4.1411000000000003E-2</v>
      </c>
      <c r="S306" s="3">
        <v>-1.99</v>
      </c>
      <c r="T306" s="3">
        <v>186.35</v>
      </c>
      <c r="U306" s="3">
        <v>188.34</v>
      </c>
      <c r="V306" s="70" t="s">
        <v>332</v>
      </c>
      <c r="W306" s="3" t="s">
        <v>343</v>
      </c>
      <c r="X306" s="3" t="s">
        <v>337</v>
      </c>
      <c r="Y306" s="3" t="s">
        <v>337</v>
      </c>
    </row>
    <row r="307" spans="1:25" hidden="1" x14ac:dyDescent="0.2">
      <c r="A307" s="83" t="str">
        <f t="shared" si="4"/>
        <v>华山龙源汉堡纸</v>
      </c>
      <c r="B307" s="3" t="s">
        <v>705</v>
      </c>
      <c r="C307" s="84">
        <v>44377</v>
      </c>
      <c r="D307" s="3" t="s">
        <v>383</v>
      </c>
      <c r="E307" s="3" t="s">
        <v>337</v>
      </c>
      <c r="F307" s="3" t="s">
        <v>337</v>
      </c>
      <c r="G307" s="70" t="s">
        <v>26</v>
      </c>
      <c r="H307" s="3" t="s">
        <v>384</v>
      </c>
      <c r="I307" s="3" t="s">
        <v>113</v>
      </c>
      <c r="J307" s="3">
        <v>1130</v>
      </c>
      <c r="K307" s="3">
        <v>3000</v>
      </c>
      <c r="L307" s="3">
        <v>3224</v>
      </c>
      <c r="M307" s="3">
        <v>750</v>
      </c>
      <c r="N307" s="3">
        <v>906</v>
      </c>
      <c r="O307" s="70">
        <v>-156</v>
      </c>
      <c r="P307" s="3">
        <v>0</v>
      </c>
      <c r="Q307" s="3">
        <v>0</v>
      </c>
      <c r="R307" s="3">
        <v>4.1426999999999999E-2</v>
      </c>
      <c r="S307" s="3">
        <v>-6.46</v>
      </c>
      <c r="T307" s="3">
        <v>31.07</v>
      </c>
      <c r="U307" s="3">
        <v>37.53</v>
      </c>
      <c r="V307" s="70" t="s">
        <v>643</v>
      </c>
      <c r="W307" s="3" t="s">
        <v>343</v>
      </c>
      <c r="X307" s="3" t="s">
        <v>337</v>
      </c>
      <c r="Y307" s="3" t="s">
        <v>337</v>
      </c>
    </row>
    <row r="308" spans="1:25" hidden="1" x14ac:dyDescent="0.2">
      <c r="A308" s="83" t="str">
        <f t="shared" si="4"/>
        <v>郑州瀚海海尚汉堡纸</v>
      </c>
      <c r="B308" s="3" t="s">
        <v>706</v>
      </c>
      <c r="C308" s="84">
        <v>44377</v>
      </c>
      <c r="D308" s="3" t="s">
        <v>383</v>
      </c>
      <c r="E308" s="3" t="s">
        <v>337</v>
      </c>
      <c r="F308" s="3" t="s">
        <v>337</v>
      </c>
      <c r="G308" s="70" t="s">
        <v>26</v>
      </c>
      <c r="H308" s="3" t="s">
        <v>384</v>
      </c>
      <c r="I308" s="3" t="s">
        <v>113</v>
      </c>
      <c r="J308" s="3">
        <v>4000</v>
      </c>
      <c r="K308" s="3">
        <v>6000</v>
      </c>
      <c r="L308" s="3">
        <v>5523</v>
      </c>
      <c r="M308" s="3">
        <v>4000</v>
      </c>
      <c r="N308" s="3">
        <v>4477</v>
      </c>
      <c r="O308" s="70">
        <v>-477</v>
      </c>
      <c r="P308" s="3">
        <v>0</v>
      </c>
      <c r="Q308" s="3">
        <v>0</v>
      </c>
      <c r="R308" s="3">
        <v>4.1403000000000002E-2</v>
      </c>
      <c r="S308" s="3">
        <v>-19.75</v>
      </c>
      <c r="T308" s="3">
        <v>165.61</v>
      </c>
      <c r="U308" s="3">
        <v>185.36</v>
      </c>
      <c r="V308" s="70" t="s">
        <v>333</v>
      </c>
      <c r="W308" s="3" t="s">
        <v>343</v>
      </c>
      <c r="X308" s="3" t="s">
        <v>337</v>
      </c>
      <c r="Y308" s="3" t="s">
        <v>337</v>
      </c>
    </row>
    <row r="309" spans="1:25" hidden="1" x14ac:dyDescent="0.2">
      <c r="A309" s="83" t="str">
        <f t="shared" si="4"/>
        <v>郑州政六街汉堡纸</v>
      </c>
      <c r="B309" s="3" t="s">
        <v>714</v>
      </c>
      <c r="C309" s="84">
        <v>44377</v>
      </c>
      <c r="D309" s="3" t="s">
        <v>383</v>
      </c>
      <c r="E309" s="3" t="s">
        <v>337</v>
      </c>
      <c r="F309" s="3" t="s">
        <v>337</v>
      </c>
      <c r="G309" s="70" t="s">
        <v>26</v>
      </c>
      <c r="H309" s="3" t="s">
        <v>384</v>
      </c>
      <c r="I309" s="3" t="s">
        <v>113</v>
      </c>
      <c r="J309" s="3">
        <v>1667</v>
      </c>
      <c r="K309" s="3">
        <v>6000</v>
      </c>
      <c r="L309" s="3">
        <v>7997</v>
      </c>
      <c r="M309" s="3">
        <v>20</v>
      </c>
      <c r="N309" s="3">
        <v>-330</v>
      </c>
      <c r="O309" s="70">
        <v>350</v>
      </c>
      <c r="P309" s="3">
        <v>0</v>
      </c>
      <c r="Q309" s="3">
        <v>0</v>
      </c>
      <c r="R309" s="3">
        <v>0.04</v>
      </c>
      <c r="S309" s="3">
        <v>14</v>
      </c>
      <c r="T309" s="3">
        <v>0.8</v>
      </c>
      <c r="U309" s="3">
        <v>-13.2</v>
      </c>
      <c r="V309" s="70" t="s">
        <v>591</v>
      </c>
      <c r="W309" s="3" t="s">
        <v>343</v>
      </c>
      <c r="X309" s="3" t="s">
        <v>337</v>
      </c>
      <c r="Y309" s="3" t="s">
        <v>337</v>
      </c>
    </row>
    <row r="310" spans="1:25" hidden="1" x14ac:dyDescent="0.2">
      <c r="A310" s="83" t="str">
        <f t="shared" si="4"/>
        <v>郑州政六街大薯条袋</v>
      </c>
      <c r="B310" s="3" t="s">
        <v>714</v>
      </c>
      <c r="C310" s="84">
        <v>44377</v>
      </c>
      <c r="D310" s="3" t="s">
        <v>385</v>
      </c>
      <c r="E310" s="3" t="s">
        <v>337</v>
      </c>
      <c r="F310" s="3" t="s">
        <v>337</v>
      </c>
      <c r="G310" s="70" t="s">
        <v>386</v>
      </c>
      <c r="H310" s="3" t="s">
        <v>363</v>
      </c>
      <c r="I310" s="3" t="s">
        <v>339</v>
      </c>
      <c r="J310" s="3">
        <v>1122</v>
      </c>
      <c r="K310" s="3">
        <v>4000</v>
      </c>
      <c r="L310" s="3">
        <v>2349</v>
      </c>
      <c r="M310" s="3">
        <v>2752</v>
      </c>
      <c r="N310" s="3">
        <v>2773</v>
      </c>
      <c r="O310" s="70">
        <v>-21</v>
      </c>
      <c r="P310" s="3">
        <v>0</v>
      </c>
      <c r="Q310" s="3">
        <v>0</v>
      </c>
      <c r="R310" s="3">
        <v>3.2638E-2</v>
      </c>
      <c r="S310" s="3">
        <v>-0.69</v>
      </c>
      <c r="T310" s="3">
        <v>89.82</v>
      </c>
      <c r="U310" s="3">
        <v>90.51</v>
      </c>
      <c r="V310" s="70" t="s">
        <v>591</v>
      </c>
      <c r="W310" s="3" t="s">
        <v>343</v>
      </c>
      <c r="X310" s="3" t="s">
        <v>337</v>
      </c>
      <c r="Y310" s="3" t="s">
        <v>337</v>
      </c>
    </row>
    <row r="311" spans="1:25" hidden="1" x14ac:dyDescent="0.2">
      <c r="A311" s="83" t="str">
        <f t="shared" si="4"/>
        <v>郑州瀚海海尚大薯条袋</v>
      </c>
      <c r="B311" s="3" t="s">
        <v>706</v>
      </c>
      <c r="C311" s="84">
        <v>44377</v>
      </c>
      <c r="D311" s="3" t="s">
        <v>385</v>
      </c>
      <c r="E311" s="3" t="s">
        <v>337</v>
      </c>
      <c r="F311" s="3" t="s">
        <v>337</v>
      </c>
      <c r="G311" s="70" t="s">
        <v>386</v>
      </c>
      <c r="H311" s="3" t="s">
        <v>363</v>
      </c>
      <c r="I311" s="3" t="s">
        <v>339</v>
      </c>
      <c r="J311" s="3">
        <v>3900</v>
      </c>
      <c r="K311" s="3">
        <v>0</v>
      </c>
      <c r="L311" s="3">
        <v>1749</v>
      </c>
      <c r="M311" s="3">
        <v>2050</v>
      </c>
      <c r="N311" s="3">
        <v>2151</v>
      </c>
      <c r="O311" s="70">
        <v>-101</v>
      </c>
      <c r="P311" s="3">
        <v>0</v>
      </c>
      <c r="Q311" s="3">
        <v>0</v>
      </c>
      <c r="R311" s="3">
        <v>3.2605000000000002E-2</v>
      </c>
      <c r="S311" s="3">
        <v>-3.29</v>
      </c>
      <c r="T311" s="3">
        <v>66.84</v>
      </c>
      <c r="U311" s="3">
        <v>70.13</v>
      </c>
      <c r="V311" s="70" t="s">
        <v>333</v>
      </c>
      <c r="W311" s="3" t="s">
        <v>343</v>
      </c>
      <c r="X311" s="3" t="s">
        <v>337</v>
      </c>
      <c r="Y311" s="3" t="s">
        <v>337</v>
      </c>
    </row>
    <row r="312" spans="1:25" hidden="1" x14ac:dyDescent="0.2">
      <c r="A312" s="83" t="str">
        <f t="shared" si="4"/>
        <v>华山龙源大薯条袋</v>
      </c>
      <c r="B312" s="3" t="s">
        <v>705</v>
      </c>
      <c r="C312" s="84">
        <v>44377</v>
      </c>
      <c r="D312" s="3" t="s">
        <v>385</v>
      </c>
      <c r="E312" s="3" t="s">
        <v>337</v>
      </c>
      <c r="F312" s="3" t="s">
        <v>337</v>
      </c>
      <c r="G312" s="70" t="s">
        <v>386</v>
      </c>
      <c r="H312" s="3" t="s">
        <v>363</v>
      </c>
      <c r="I312" s="3" t="s">
        <v>339</v>
      </c>
      <c r="J312" s="3">
        <v>3482</v>
      </c>
      <c r="K312" s="3">
        <v>0</v>
      </c>
      <c r="L312" s="3">
        <v>996</v>
      </c>
      <c r="M312" s="3">
        <v>2557</v>
      </c>
      <c r="N312" s="3">
        <v>2486</v>
      </c>
      <c r="O312" s="70">
        <v>71</v>
      </c>
      <c r="P312" s="3">
        <v>0</v>
      </c>
      <c r="Q312" s="3">
        <v>0</v>
      </c>
      <c r="R312" s="3">
        <v>3.2643999999999999E-2</v>
      </c>
      <c r="S312" s="3">
        <v>2.3199999999999998</v>
      </c>
      <c r="T312" s="3">
        <v>83.47</v>
      </c>
      <c r="U312" s="3">
        <v>81.150000000000006</v>
      </c>
      <c r="V312" s="70" t="s">
        <v>643</v>
      </c>
      <c r="W312" s="3" t="s">
        <v>343</v>
      </c>
      <c r="X312" s="3" t="s">
        <v>337</v>
      </c>
      <c r="Y312" s="3" t="s">
        <v>337</v>
      </c>
    </row>
    <row r="313" spans="1:25" hidden="1" x14ac:dyDescent="0.2">
      <c r="A313" s="83" t="str">
        <f t="shared" si="4"/>
        <v>郑州铁英街大薯条袋</v>
      </c>
      <c r="B313" s="3" t="s">
        <v>707</v>
      </c>
      <c r="C313" s="84">
        <v>44377</v>
      </c>
      <c r="D313" s="3" t="s">
        <v>385</v>
      </c>
      <c r="E313" s="3" t="s">
        <v>337</v>
      </c>
      <c r="F313" s="3" t="s">
        <v>337</v>
      </c>
      <c r="G313" s="70" t="s">
        <v>386</v>
      </c>
      <c r="H313" s="3" t="s">
        <v>363</v>
      </c>
      <c r="I313" s="3" t="s">
        <v>339</v>
      </c>
      <c r="J313" s="3">
        <v>1248</v>
      </c>
      <c r="K313" s="3">
        <v>4000</v>
      </c>
      <c r="L313" s="3">
        <v>1297</v>
      </c>
      <c r="M313" s="3">
        <v>3926</v>
      </c>
      <c r="N313" s="3">
        <v>3951</v>
      </c>
      <c r="O313" s="70">
        <v>-25</v>
      </c>
      <c r="P313" s="3">
        <v>0</v>
      </c>
      <c r="Q313" s="3">
        <v>0</v>
      </c>
      <c r="R313" s="3">
        <v>3.2667000000000002E-2</v>
      </c>
      <c r="S313" s="3">
        <v>-0.82</v>
      </c>
      <c r="T313" s="3">
        <v>128.25</v>
      </c>
      <c r="U313" s="3">
        <v>129.07</v>
      </c>
      <c r="V313" s="70" t="s">
        <v>592</v>
      </c>
      <c r="W313" s="3" t="s">
        <v>343</v>
      </c>
      <c r="X313" s="3" t="s">
        <v>337</v>
      </c>
      <c r="Y313" s="3" t="s">
        <v>337</v>
      </c>
    </row>
    <row r="314" spans="1:25" hidden="1" x14ac:dyDescent="0.2">
      <c r="A314" s="83" t="str">
        <f t="shared" si="4"/>
        <v>郑州西悦城大薯条袋</v>
      </c>
      <c r="B314" s="3" t="s">
        <v>708</v>
      </c>
      <c r="C314" s="84">
        <v>44377</v>
      </c>
      <c r="D314" s="3" t="s">
        <v>385</v>
      </c>
      <c r="E314" s="3" t="s">
        <v>337</v>
      </c>
      <c r="F314" s="3" t="s">
        <v>337</v>
      </c>
      <c r="G314" s="70" t="s">
        <v>386</v>
      </c>
      <c r="H314" s="3" t="s">
        <v>363</v>
      </c>
      <c r="I314" s="3" t="s">
        <v>339</v>
      </c>
      <c r="J314" s="3">
        <v>2400</v>
      </c>
      <c r="K314" s="3">
        <v>0</v>
      </c>
      <c r="L314" s="3">
        <v>2647</v>
      </c>
      <c r="M314" s="3">
        <v>0</v>
      </c>
      <c r="N314" s="3">
        <v>-247</v>
      </c>
      <c r="O314" s="70">
        <v>247</v>
      </c>
      <c r="P314" s="3">
        <v>0</v>
      </c>
      <c r="Q314" s="3">
        <v>0</v>
      </c>
      <c r="R314" s="3">
        <v>3.2604000000000001E-2</v>
      </c>
      <c r="S314" s="3">
        <v>8.0500000000000007</v>
      </c>
      <c r="T314" s="3">
        <v>0</v>
      </c>
      <c r="U314" s="3">
        <v>-8.0500000000000007</v>
      </c>
      <c r="V314" s="70" t="s">
        <v>332</v>
      </c>
      <c r="W314" s="3" t="s">
        <v>343</v>
      </c>
      <c r="X314" s="3" t="s">
        <v>337</v>
      </c>
      <c r="Y314" s="3" t="s">
        <v>337</v>
      </c>
    </row>
    <row r="315" spans="1:25" hidden="1" x14ac:dyDescent="0.2">
      <c r="A315" s="83" t="str">
        <f t="shared" si="4"/>
        <v>郑州康复中街大薯条袋</v>
      </c>
      <c r="B315" s="3" t="s">
        <v>704</v>
      </c>
      <c r="C315" s="84">
        <v>44377</v>
      </c>
      <c r="D315" s="3" t="s">
        <v>385</v>
      </c>
      <c r="E315" s="3" t="s">
        <v>337</v>
      </c>
      <c r="F315" s="3" t="s">
        <v>337</v>
      </c>
      <c r="G315" s="70" t="s">
        <v>386</v>
      </c>
      <c r="H315" s="3" t="s">
        <v>363</v>
      </c>
      <c r="I315" s="3" t="s">
        <v>339</v>
      </c>
      <c r="J315" s="3">
        <v>742</v>
      </c>
      <c r="K315" s="3">
        <v>4000</v>
      </c>
      <c r="L315" s="3">
        <v>2662</v>
      </c>
      <c r="M315" s="3">
        <v>2000</v>
      </c>
      <c r="N315" s="3">
        <v>2080</v>
      </c>
      <c r="O315" s="70">
        <v>-80</v>
      </c>
      <c r="P315" s="3">
        <v>0</v>
      </c>
      <c r="Q315" s="3">
        <v>0</v>
      </c>
      <c r="R315" s="3">
        <v>3.2655000000000003E-2</v>
      </c>
      <c r="S315" s="3">
        <v>-2.61</v>
      </c>
      <c r="T315" s="3">
        <v>65.31</v>
      </c>
      <c r="U315" s="3">
        <v>67.92</v>
      </c>
      <c r="V315" s="70" t="s">
        <v>593</v>
      </c>
      <c r="W315" s="3" t="s">
        <v>343</v>
      </c>
      <c r="X315" s="3" t="s">
        <v>337</v>
      </c>
      <c r="Y315" s="3" t="s">
        <v>337</v>
      </c>
    </row>
    <row r="316" spans="1:25" hidden="1" x14ac:dyDescent="0.2">
      <c r="A316" s="83" t="str">
        <f t="shared" si="4"/>
        <v>新蔡水韵天街大薯条袋</v>
      </c>
      <c r="B316" s="3" t="s">
        <v>703</v>
      </c>
      <c r="C316" s="84">
        <v>44377</v>
      </c>
      <c r="D316" s="3" t="s">
        <v>385</v>
      </c>
      <c r="E316" s="3" t="s">
        <v>337</v>
      </c>
      <c r="F316" s="3" t="s">
        <v>337</v>
      </c>
      <c r="G316" s="70" t="s">
        <v>386</v>
      </c>
      <c r="H316" s="3" t="s">
        <v>363</v>
      </c>
      <c r="I316" s="3" t="s">
        <v>339</v>
      </c>
      <c r="J316" s="3">
        <v>4100</v>
      </c>
      <c r="K316" s="3">
        <v>0</v>
      </c>
      <c r="L316" s="3">
        <v>1786</v>
      </c>
      <c r="M316" s="3">
        <v>2300</v>
      </c>
      <c r="N316" s="3">
        <v>2314</v>
      </c>
      <c r="O316" s="70">
        <v>-14</v>
      </c>
      <c r="P316" s="3">
        <v>0</v>
      </c>
      <c r="Q316" s="3">
        <v>0</v>
      </c>
      <c r="R316" s="3">
        <v>3.2626000000000002E-2</v>
      </c>
      <c r="S316" s="3">
        <v>-0.46</v>
      </c>
      <c r="T316" s="3">
        <v>75.040000000000006</v>
      </c>
      <c r="U316" s="3">
        <v>75.5</v>
      </c>
      <c r="V316" s="70" t="s">
        <v>335</v>
      </c>
      <c r="W316" s="3" t="s">
        <v>343</v>
      </c>
      <c r="X316" s="3" t="s">
        <v>337</v>
      </c>
      <c r="Y316" s="3" t="s">
        <v>337</v>
      </c>
    </row>
    <row r="317" spans="1:25" hidden="1" x14ac:dyDescent="0.2">
      <c r="A317" s="83" t="str">
        <f t="shared" si="4"/>
        <v>郑州盛华里大薯条袋</v>
      </c>
      <c r="B317" s="3" t="s">
        <v>709</v>
      </c>
      <c r="C317" s="84">
        <v>44377</v>
      </c>
      <c r="D317" s="3" t="s">
        <v>385</v>
      </c>
      <c r="E317" s="3" t="s">
        <v>337</v>
      </c>
      <c r="F317" s="3" t="s">
        <v>337</v>
      </c>
      <c r="G317" s="70" t="s">
        <v>386</v>
      </c>
      <c r="H317" s="3" t="s">
        <v>363</v>
      </c>
      <c r="I317" s="3" t="s">
        <v>339</v>
      </c>
      <c r="J317" s="3">
        <v>3580</v>
      </c>
      <c r="K317" s="3">
        <v>0</v>
      </c>
      <c r="L317" s="3">
        <v>827</v>
      </c>
      <c r="M317" s="3">
        <v>2700</v>
      </c>
      <c r="N317" s="3">
        <v>2753</v>
      </c>
      <c r="O317" s="70">
        <v>-53</v>
      </c>
      <c r="P317" s="3">
        <v>0</v>
      </c>
      <c r="Q317" s="3">
        <v>0</v>
      </c>
      <c r="R317" s="3">
        <v>3.2641000000000003E-2</v>
      </c>
      <c r="S317" s="3">
        <v>-1.73</v>
      </c>
      <c r="T317" s="3">
        <v>88.13</v>
      </c>
      <c r="U317" s="3">
        <v>89.86</v>
      </c>
      <c r="V317" s="70" t="s">
        <v>637</v>
      </c>
      <c r="W317" s="3" t="s">
        <v>343</v>
      </c>
      <c r="X317" s="3" t="s">
        <v>337</v>
      </c>
      <c r="Y317" s="3" t="s">
        <v>337</v>
      </c>
    </row>
    <row r="318" spans="1:25" hidden="1" x14ac:dyDescent="0.2">
      <c r="A318" s="83" t="str">
        <f t="shared" si="4"/>
        <v>滑县滑台大薯条袋</v>
      </c>
      <c r="B318" s="3" t="s">
        <v>710</v>
      </c>
      <c r="C318" s="84">
        <v>44377</v>
      </c>
      <c r="D318" s="3" t="s">
        <v>385</v>
      </c>
      <c r="E318" s="3" t="s">
        <v>337</v>
      </c>
      <c r="F318" s="3" t="s">
        <v>337</v>
      </c>
      <c r="G318" s="70" t="s">
        <v>386</v>
      </c>
      <c r="H318" s="3" t="s">
        <v>363</v>
      </c>
      <c r="I318" s="3" t="s">
        <v>339</v>
      </c>
      <c r="J318" s="3">
        <v>6600</v>
      </c>
      <c r="K318" s="3">
        <v>4000</v>
      </c>
      <c r="L318" s="3">
        <v>1670</v>
      </c>
      <c r="M318" s="3">
        <v>9000</v>
      </c>
      <c r="N318" s="3">
        <v>8930</v>
      </c>
      <c r="O318" s="70">
        <v>70</v>
      </c>
      <c r="P318" s="3">
        <v>0</v>
      </c>
      <c r="Q318" s="3">
        <v>0</v>
      </c>
      <c r="R318" s="3">
        <v>3.2666000000000001E-2</v>
      </c>
      <c r="S318" s="3">
        <v>2.29</v>
      </c>
      <c r="T318" s="3">
        <v>293.99</v>
      </c>
      <c r="U318" s="3">
        <v>291.70999999999998</v>
      </c>
      <c r="V318" s="70" t="s">
        <v>639</v>
      </c>
      <c r="W318" s="3" t="s">
        <v>343</v>
      </c>
      <c r="X318" s="3" t="s">
        <v>337</v>
      </c>
      <c r="Y318" s="3" t="s">
        <v>337</v>
      </c>
    </row>
    <row r="319" spans="1:25" hidden="1" x14ac:dyDescent="0.2">
      <c r="A319" s="83" t="str">
        <f t="shared" si="4"/>
        <v>郑州裕华大薯条袋</v>
      </c>
      <c r="B319" s="3" t="s">
        <v>711</v>
      </c>
      <c r="C319" s="84">
        <v>44377</v>
      </c>
      <c r="D319" s="3" t="s">
        <v>385</v>
      </c>
      <c r="E319" s="3" t="s">
        <v>337</v>
      </c>
      <c r="F319" s="3" t="s">
        <v>337</v>
      </c>
      <c r="G319" s="70" t="s">
        <v>386</v>
      </c>
      <c r="H319" s="3" t="s">
        <v>363</v>
      </c>
      <c r="I319" s="3" t="s">
        <v>339</v>
      </c>
      <c r="J319" s="3">
        <v>3400</v>
      </c>
      <c r="K319" s="3">
        <v>0</v>
      </c>
      <c r="L319" s="3">
        <v>986</v>
      </c>
      <c r="M319" s="3">
        <v>2400</v>
      </c>
      <c r="N319" s="3">
        <v>2414</v>
      </c>
      <c r="O319" s="70">
        <v>-14</v>
      </c>
      <c r="P319" s="3">
        <v>0</v>
      </c>
      <c r="Q319" s="3">
        <v>0</v>
      </c>
      <c r="R319" s="3">
        <v>3.2654000000000002E-2</v>
      </c>
      <c r="S319" s="3">
        <v>-0.46</v>
      </c>
      <c r="T319" s="3">
        <v>78.37</v>
      </c>
      <c r="U319" s="3">
        <v>78.83</v>
      </c>
      <c r="V319" s="70" t="s">
        <v>641</v>
      </c>
      <c r="W319" s="3" t="s">
        <v>343</v>
      </c>
      <c r="X319" s="3" t="s">
        <v>337</v>
      </c>
      <c r="Y319" s="3" t="s">
        <v>337</v>
      </c>
    </row>
    <row r="320" spans="1:25" hidden="1" x14ac:dyDescent="0.2">
      <c r="A320" s="83" t="str">
        <f t="shared" si="4"/>
        <v>清丰凤鸣大薯条袋</v>
      </c>
      <c r="B320" s="3" t="s">
        <v>713</v>
      </c>
      <c r="C320" s="84">
        <v>44377</v>
      </c>
      <c r="D320" s="3" t="s">
        <v>385</v>
      </c>
      <c r="E320" s="3" t="s">
        <v>337</v>
      </c>
      <c r="F320" s="3" t="s">
        <v>337</v>
      </c>
      <c r="G320" s="70" t="s">
        <v>386</v>
      </c>
      <c r="H320" s="3" t="s">
        <v>363</v>
      </c>
      <c r="I320" s="3" t="s">
        <v>339</v>
      </c>
      <c r="J320" s="3">
        <v>5100</v>
      </c>
      <c r="K320" s="3">
        <v>0</v>
      </c>
      <c r="L320" s="3">
        <v>877</v>
      </c>
      <c r="M320" s="3">
        <v>4210</v>
      </c>
      <c r="N320" s="3">
        <v>4223</v>
      </c>
      <c r="O320" s="70">
        <v>-13</v>
      </c>
      <c r="P320" s="3">
        <v>0</v>
      </c>
      <c r="Q320" s="3">
        <v>0</v>
      </c>
      <c r="R320" s="3">
        <v>3.2632000000000001E-2</v>
      </c>
      <c r="S320" s="3">
        <v>-0.42</v>
      </c>
      <c r="T320" s="3">
        <v>137.38</v>
      </c>
      <c r="U320" s="3">
        <v>137.80000000000001</v>
      </c>
      <c r="V320" s="70" t="s">
        <v>334</v>
      </c>
      <c r="W320" s="3" t="s">
        <v>343</v>
      </c>
      <c r="X320" s="3" t="s">
        <v>337</v>
      </c>
      <c r="Y320" s="3" t="s">
        <v>337</v>
      </c>
    </row>
    <row r="321" spans="1:25" hidden="1" x14ac:dyDescent="0.2">
      <c r="A321" s="83" t="str">
        <f t="shared" si="4"/>
        <v>方城锦城国际大薯条袋</v>
      </c>
      <c r="B321" s="3" t="s">
        <v>712</v>
      </c>
      <c r="C321" s="84">
        <v>44377</v>
      </c>
      <c r="D321" s="3" t="s">
        <v>385</v>
      </c>
      <c r="E321" s="3" t="s">
        <v>337</v>
      </c>
      <c r="F321" s="3" t="s">
        <v>337</v>
      </c>
      <c r="G321" s="70" t="s">
        <v>386</v>
      </c>
      <c r="H321" s="3" t="s">
        <v>363</v>
      </c>
      <c r="I321" s="3" t="s">
        <v>339</v>
      </c>
      <c r="J321" s="3">
        <v>1044</v>
      </c>
      <c r="K321" s="3">
        <v>4000</v>
      </c>
      <c r="L321" s="3">
        <v>1896</v>
      </c>
      <c r="M321" s="3">
        <v>3000</v>
      </c>
      <c r="N321" s="3">
        <v>3148</v>
      </c>
      <c r="O321" s="70">
        <v>-148</v>
      </c>
      <c r="P321" s="3">
        <v>0</v>
      </c>
      <c r="Q321" s="3">
        <v>0</v>
      </c>
      <c r="R321" s="3">
        <v>3.2642999999999998E-2</v>
      </c>
      <c r="S321" s="3">
        <v>-4.83</v>
      </c>
      <c r="T321" s="3">
        <v>97.93</v>
      </c>
      <c r="U321" s="3">
        <v>102.76</v>
      </c>
      <c r="V321" s="70" t="s">
        <v>594</v>
      </c>
      <c r="W321" s="3" t="s">
        <v>343</v>
      </c>
      <c r="X321" s="3" t="s">
        <v>337</v>
      </c>
      <c r="Y321" s="3" t="s">
        <v>337</v>
      </c>
    </row>
    <row r="322" spans="1:25" hidden="1" x14ac:dyDescent="0.2">
      <c r="A322" s="83" t="str">
        <f t="shared" si="4"/>
        <v>方城锦城国际22A杯</v>
      </c>
      <c r="B322" s="3" t="s">
        <v>712</v>
      </c>
      <c r="C322" s="84">
        <v>44377</v>
      </c>
      <c r="D322" s="3" t="s">
        <v>387</v>
      </c>
      <c r="E322" s="3" t="s">
        <v>337</v>
      </c>
      <c r="F322" s="3" t="s">
        <v>337</v>
      </c>
      <c r="G322" s="70" t="s">
        <v>388</v>
      </c>
      <c r="H322" s="3" t="s">
        <v>389</v>
      </c>
      <c r="I322" s="3" t="s">
        <v>339</v>
      </c>
      <c r="J322" s="3">
        <v>806</v>
      </c>
      <c r="K322" s="3">
        <v>0</v>
      </c>
      <c r="L322" s="3">
        <v>54</v>
      </c>
      <c r="M322" s="3">
        <v>752</v>
      </c>
      <c r="N322" s="3">
        <v>752</v>
      </c>
      <c r="O322" s="70">
        <v>0</v>
      </c>
      <c r="P322" s="3">
        <v>0</v>
      </c>
      <c r="Q322" s="3">
        <v>0</v>
      </c>
      <c r="R322" s="3">
        <v>0.22670199999999999</v>
      </c>
      <c r="S322" s="3">
        <v>0</v>
      </c>
      <c r="T322" s="3">
        <v>170.48</v>
      </c>
      <c r="U322" s="3">
        <v>170.48</v>
      </c>
      <c r="V322" s="70" t="s">
        <v>594</v>
      </c>
      <c r="W322" s="3" t="s">
        <v>343</v>
      </c>
      <c r="X322" s="3" t="s">
        <v>337</v>
      </c>
      <c r="Y322" s="3" t="s">
        <v>337</v>
      </c>
    </row>
    <row r="323" spans="1:25" hidden="1" x14ac:dyDescent="0.2">
      <c r="A323" s="83" t="str">
        <f t="shared" ref="A323:A386" si="5">V323&amp;G323</f>
        <v>清丰凤鸣22A杯</v>
      </c>
      <c r="B323" s="3" t="s">
        <v>713</v>
      </c>
      <c r="C323" s="84">
        <v>44377</v>
      </c>
      <c r="D323" s="3" t="s">
        <v>387</v>
      </c>
      <c r="E323" s="3" t="s">
        <v>337</v>
      </c>
      <c r="F323" s="3" t="s">
        <v>337</v>
      </c>
      <c r="G323" s="70" t="s">
        <v>388</v>
      </c>
      <c r="H323" s="3" t="s">
        <v>389</v>
      </c>
      <c r="I323" s="3" t="s">
        <v>339</v>
      </c>
      <c r="J323" s="3">
        <v>862</v>
      </c>
      <c r="K323" s="3">
        <v>0</v>
      </c>
      <c r="L323" s="3">
        <v>256</v>
      </c>
      <c r="M323" s="3">
        <v>606</v>
      </c>
      <c r="N323" s="3">
        <v>606</v>
      </c>
      <c r="O323" s="70">
        <v>0</v>
      </c>
      <c r="P323" s="3">
        <v>0</v>
      </c>
      <c r="Q323" s="3">
        <v>0</v>
      </c>
      <c r="R323" s="3">
        <v>0.226716</v>
      </c>
      <c r="S323" s="3">
        <v>0</v>
      </c>
      <c r="T323" s="3">
        <v>137.38999999999999</v>
      </c>
      <c r="U323" s="3">
        <v>137.38999999999999</v>
      </c>
      <c r="V323" s="70" t="s">
        <v>334</v>
      </c>
      <c r="W323" s="3" t="s">
        <v>343</v>
      </c>
      <c r="X323" s="3" t="s">
        <v>337</v>
      </c>
      <c r="Y323" s="3" t="s">
        <v>337</v>
      </c>
    </row>
    <row r="324" spans="1:25" hidden="1" x14ac:dyDescent="0.2">
      <c r="A324" s="83" t="str">
        <f t="shared" si="5"/>
        <v>郑州裕华22A杯</v>
      </c>
      <c r="B324" s="3" t="s">
        <v>711</v>
      </c>
      <c r="C324" s="84">
        <v>44377</v>
      </c>
      <c r="D324" s="3" t="s">
        <v>387</v>
      </c>
      <c r="E324" s="3" t="s">
        <v>337</v>
      </c>
      <c r="F324" s="3" t="s">
        <v>337</v>
      </c>
      <c r="G324" s="70" t="s">
        <v>388</v>
      </c>
      <c r="H324" s="3" t="s">
        <v>389</v>
      </c>
      <c r="I324" s="3" t="s">
        <v>339</v>
      </c>
      <c r="J324" s="3">
        <v>950</v>
      </c>
      <c r="K324" s="3">
        <v>0</v>
      </c>
      <c r="L324" s="3">
        <v>66</v>
      </c>
      <c r="M324" s="3">
        <v>850</v>
      </c>
      <c r="N324" s="3">
        <v>884</v>
      </c>
      <c r="O324" s="70">
        <v>-34</v>
      </c>
      <c r="P324" s="3">
        <v>0</v>
      </c>
      <c r="Q324" s="3">
        <v>0</v>
      </c>
      <c r="R324" s="3">
        <v>0.22669400000000001</v>
      </c>
      <c r="S324" s="3">
        <v>-7.71</v>
      </c>
      <c r="T324" s="3">
        <v>192.69</v>
      </c>
      <c r="U324" s="3">
        <v>200.4</v>
      </c>
      <c r="V324" s="70" t="s">
        <v>641</v>
      </c>
      <c r="W324" s="3" t="s">
        <v>343</v>
      </c>
      <c r="X324" s="3" t="s">
        <v>337</v>
      </c>
      <c r="Y324" s="3" t="s">
        <v>337</v>
      </c>
    </row>
    <row r="325" spans="1:25" hidden="1" x14ac:dyDescent="0.2">
      <c r="A325" s="83" t="str">
        <f t="shared" si="5"/>
        <v>滑县滑台22A杯</v>
      </c>
      <c r="B325" s="3" t="s">
        <v>710</v>
      </c>
      <c r="C325" s="84">
        <v>44377</v>
      </c>
      <c r="D325" s="3" t="s">
        <v>387</v>
      </c>
      <c r="E325" s="3" t="s">
        <v>337</v>
      </c>
      <c r="F325" s="3" t="s">
        <v>337</v>
      </c>
      <c r="G325" s="70" t="s">
        <v>388</v>
      </c>
      <c r="H325" s="3" t="s">
        <v>389</v>
      </c>
      <c r="I325" s="3" t="s">
        <v>339</v>
      </c>
      <c r="J325" s="3">
        <v>25</v>
      </c>
      <c r="K325" s="3">
        <v>200</v>
      </c>
      <c r="L325" s="3">
        <v>71</v>
      </c>
      <c r="M325" s="3">
        <v>152</v>
      </c>
      <c r="N325" s="3">
        <v>154</v>
      </c>
      <c r="O325" s="70">
        <v>-2</v>
      </c>
      <c r="P325" s="3">
        <v>0</v>
      </c>
      <c r="Q325" s="3">
        <v>0</v>
      </c>
      <c r="R325" s="3">
        <v>0.24223700000000001</v>
      </c>
      <c r="S325" s="3">
        <v>-0.48</v>
      </c>
      <c r="T325" s="3">
        <v>36.82</v>
      </c>
      <c r="U325" s="3">
        <v>37.299999999999997</v>
      </c>
      <c r="V325" s="70" t="s">
        <v>639</v>
      </c>
      <c r="W325" s="3" t="s">
        <v>343</v>
      </c>
      <c r="X325" s="3" t="s">
        <v>337</v>
      </c>
      <c r="Y325" s="3" t="s">
        <v>337</v>
      </c>
    </row>
    <row r="326" spans="1:25" hidden="1" x14ac:dyDescent="0.2">
      <c r="A326" s="83" t="str">
        <f t="shared" si="5"/>
        <v>郑州盛华里22A杯</v>
      </c>
      <c r="B326" s="3" t="s">
        <v>709</v>
      </c>
      <c r="C326" s="84">
        <v>44377</v>
      </c>
      <c r="D326" s="3" t="s">
        <v>387</v>
      </c>
      <c r="E326" s="3" t="s">
        <v>337</v>
      </c>
      <c r="F326" s="3" t="s">
        <v>337</v>
      </c>
      <c r="G326" s="70" t="s">
        <v>388</v>
      </c>
      <c r="H326" s="3" t="s">
        <v>389</v>
      </c>
      <c r="I326" s="3" t="s">
        <v>339</v>
      </c>
      <c r="J326" s="3">
        <v>980</v>
      </c>
      <c r="K326" s="3">
        <v>0</v>
      </c>
      <c r="L326" s="3">
        <v>45</v>
      </c>
      <c r="M326" s="3">
        <v>935</v>
      </c>
      <c r="N326" s="3">
        <v>935</v>
      </c>
      <c r="O326" s="70">
        <v>0</v>
      </c>
      <c r="P326" s="3">
        <v>0</v>
      </c>
      <c r="Q326" s="3">
        <v>0</v>
      </c>
      <c r="R326" s="3">
        <v>0.22669500000000001</v>
      </c>
      <c r="S326" s="3">
        <v>0</v>
      </c>
      <c r="T326" s="3">
        <v>211.96</v>
      </c>
      <c r="U326" s="3">
        <v>211.96</v>
      </c>
      <c r="V326" s="70" t="s">
        <v>637</v>
      </c>
      <c r="W326" s="3" t="s">
        <v>343</v>
      </c>
      <c r="X326" s="3" t="s">
        <v>337</v>
      </c>
      <c r="Y326" s="3" t="s">
        <v>337</v>
      </c>
    </row>
    <row r="327" spans="1:25" hidden="1" x14ac:dyDescent="0.2">
      <c r="A327" s="83" t="str">
        <f t="shared" si="5"/>
        <v>新蔡水韵天街22A杯</v>
      </c>
      <c r="B327" s="3" t="s">
        <v>703</v>
      </c>
      <c r="C327" s="84">
        <v>44377</v>
      </c>
      <c r="D327" s="3" t="s">
        <v>387</v>
      </c>
      <c r="E327" s="3" t="s">
        <v>337</v>
      </c>
      <c r="F327" s="3" t="s">
        <v>337</v>
      </c>
      <c r="G327" s="70" t="s">
        <v>388</v>
      </c>
      <c r="H327" s="3" t="s">
        <v>389</v>
      </c>
      <c r="I327" s="3" t="s">
        <v>339</v>
      </c>
      <c r="J327" s="3">
        <v>0</v>
      </c>
      <c r="K327" s="3">
        <v>0</v>
      </c>
      <c r="L327" s="3">
        <v>3</v>
      </c>
      <c r="M327" s="3">
        <v>0</v>
      </c>
      <c r="N327" s="3">
        <v>-3</v>
      </c>
      <c r="O327" s="70">
        <v>3</v>
      </c>
      <c r="P327" s="3">
        <v>0</v>
      </c>
      <c r="Q327" s="3">
        <v>0</v>
      </c>
      <c r="R327" s="3">
        <v>0.238676</v>
      </c>
      <c r="S327" s="3">
        <v>0.72</v>
      </c>
      <c r="T327" s="3">
        <v>0</v>
      </c>
      <c r="U327" s="3">
        <v>-0.72</v>
      </c>
      <c r="V327" s="70" t="s">
        <v>335</v>
      </c>
      <c r="W327" s="3" t="s">
        <v>343</v>
      </c>
      <c r="X327" s="3" t="s">
        <v>337</v>
      </c>
      <c r="Y327" s="3" t="s">
        <v>337</v>
      </c>
    </row>
    <row r="328" spans="1:25" hidden="1" x14ac:dyDescent="0.2">
      <c r="A328" s="83" t="str">
        <f t="shared" si="5"/>
        <v>郑州康复中街22A杯</v>
      </c>
      <c r="B328" s="3" t="s">
        <v>704</v>
      </c>
      <c r="C328" s="84">
        <v>44377</v>
      </c>
      <c r="D328" s="3" t="s">
        <v>387</v>
      </c>
      <c r="E328" s="3" t="s">
        <v>337</v>
      </c>
      <c r="F328" s="3" t="s">
        <v>337</v>
      </c>
      <c r="G328" s="70" t="s">
        <v>388</v>
      </c>
      <c r="H328" s="3" t="s">
        <v>389</v>
      </c>
      <c r="I328" s="3" t="s">
        <v>339</v>
      </c>
      <c r="J328" s="3">
        <v>418</v>
      </c>
      <c r="K328" s="3">
        <v>1000</v>
      </c>
      <c r="L328" s="3">
        <v>314</v>
      </c>
      <c r="M328" s="3">
        <v>1098</v>
      </c>
      <c r="N328" s="3">
        <v>1104</v>
      </c>
      <c r="O328" s="70">
        <v>-6</v>
      </c>
      <c r="P328" s="3">
        <v>0</v>
      </c>
      <c r="Q328" s="3">
        <v>0</v>
      </c>
      <c r="R328" s="3">
        <v>0.226712</v>
      </c>
      <c r="S328" s="3">
        <v>-1.36</v>
      </c>
      <c r="T328" s="3">
        <v>248.93</v>
      </c>
      <c r="U328" s="3">
        <v>250.29</v>
      </c>
      <c r="V328" s="70" t="s">
        <v>593</v>
      </c>
      <c r="W328" s="3" t="s">
        <v>343</v>
      </c>
      <c r="X328" s="3" t="s">
        <v>337</v>
      </c>
      <c r="Y328" s="3" t="s">
        <v>337</v>
      </c>
    </row>
    <row r="329" spans="1:25" hidden="1" x14ac:dyDescent="0.2">
      <c r="A329" s="83" t="str">
        <f t="shared" si="5"/>
        <v>郑州西悦城22A杯</v>
      </c>
      <c r="B329" s="3" t="s">
        <v>708</v>
      </c>
      <c r="C329" s="84">
        <v>44377</v>
      </c>
      <c r="D329" s="3" t="s">
        <v>387</v>
      </c>
      <c r="E329" s="3" t="s">
        <v>337</v>
      </c>
      <c r="F329" s="3" t="s">
        <v>337</v>
      </c>
      <c r="G329" s="70" t="s">
        <v>388</v>
      </c>
      <c r="H329" s="3" t="s">
        <v>389</v>
      </c>
      <c r="I329" s="3" t="s">
        <v>339</v>
      </c>
      <c r="J329" s="3">
        <v>490</v>
      </c>
      <c r="K329" s="3">
        <v>0</v>
      </c>
      <c r="L329" s="3">
        <v>203</v>
      </c>
      <c r="M329" s="3">
        <v>279</v>
      </c>
      <c r="N329" s="3">
        <v>287</v>
      </c>
      <c r="O329" s="70">
        <v>-8</v>
      </c>
      <c r="P329" s="3">
        <v>0</v>
      </c>
      <c r="Q329" s="3">
        <v>0</v>
      </c>
      <c r="R329" s="3">
        <v>0.22670299999999999</v>
      </c>
      <c r="S329" s="3">
        <v>-1.81</v>
      </c>
      <c r="T329" s="3">
        <v>63.25</v>
      </c>
      <c r="U329" s="3">
        <v>65.06</v>
      </c>
      <c r="V329" s="70" t="s">
        <v>332</v>
      </c>
      <c r="W329" s="3" t="s">
        <v>343</v>
      </c>
      <c r="X329" s="3" t="s">
        <v>337</v>
      </c>
      <c r="Y329" s="3" t="s">
        <v>337</v>
      </c>
    </row>
    <row r="330" spans="1:25" hidden="1" x14ac:dyDescent="0.2">
      <c r="A330" s="83" t="str">
        <f t="shared" si="5"/>
        <v>郑州铁英街22A杯</v>
      </c>
      <c r="B330" s="3" t="s">
        <v>707</v>
      </c>
      <c r="C330" s="84">
        <v>44377</v>
      </c>
      <c r="D330" s="3" t="s">
        <v>387</v>
      </c>
      <c r="E330" s="3" t="s">
        <v>337</v>
      </c>
      <c r="F330" s="3" t="s">
        <v>337</v>
      </c>
      <c r="G330" s="70" t="s">
        <v>388</v>
      </c>
      <c r="H330" s="3" t="s">
        <v>389</v>
      </c>
      <c r="I330" s="3" t="s">
        <v>339</v>
      </c>
      <c r="J330" s="3">
        <v>717</v>
      </c>
      <c r="K330" s="3">
        <v>0</v>
      </c>
      <c r="L330" s="3">
        <v>183</v>
      </c>
      <c r="M330" s="3">
        <v>530</v>
      </c>
      <c r="N330" s="3">
        <v>534</v>
      </c>
      <c r="O330" s="70">
        <v>-4</v>
      </c>
      <c r="P330" s="3">
        <v>0</v>
      </c>
      <c r="Q330" s="3">
        <v>0</v>
      </c>
      <c r="R330" s="3">
        <v>0.226717</v>
      </c>
      <c r="S330" s="3">
        <v>-0.91</v>
      </c>
      <c r="T330" s="3">
        <v>120.16</v>
      </c>
      <c r="U330" s="3">
        <v>121.07</v>
      </c>
      <c r="V330" s="70" t="s">
        <v>592</v>
      </c>
      <c r="W330" s="3" t="s">
        <v>343</v>
      </c>
      <c r="X330" s="3" t="s">
        <v>337</v>
      </c>
      <c r="Y330" s="3" t="s">
        <v>337</v>
      </c>
    </row>
    <row r="331" spans="1:25" hidden="1" x14ac:dyDescent="0.2">
      <c r="A331" s="83" t="str">
        <f t="shared" si="5"/>
        <v>华山龙源22A杯</v>
      </c>
      <c r="B331" s="3" t="s">
        <v>705</v>
      </c>
      <c r="C331" s="84">
        <v>44377</v>
      </c>
      <c r="D331" s="3" t="s">
        <v>387</v>
      </c>
      <c r="E331" s="3" t="s">
        <v>337</v>
      </c>
      <c r="F331" s="3" t="s">
        <v>337</v>
      </c>
      <c r="G331" s="70" t="s">
        <v>388</v>
      </c>
      <c r="H331" s="3" t="s">
        <v>389</v>
      </c>
      <c r="I331" s="3" t="s">
        <v>339</v>
      </c>
      <c r="J331" s="3">
        <v>155</v>
      </c>
      <c r="K331" s="3">
        <v>0</v>
      </c>
      <c r="L331" s="3">
        <v>137</v>
      </c>
      <c r="M331" s="3">
        <v>18</v>
      </c>
      <c r="N331" s="3">
        <v>18</v>
      </c>
      <c r="O331" s="70">
        <v>0</v>
      </c>
      <c r="P331" s="3">
        <v>0</v>
      </c>
      <c r="Q331" s="3">
        <v>0</v>
      </c>
      <c r="R331" s="3">
        <v>0.24</v>
      </c>
      <c r="S331" s="3">
        <v>0</v>
      </c>
      <c r="T331" s="3">
        <v>4.32</v>
      </c>
      <c r="U331" s="3">
        <v>4.32</v>
      </c>
      <c r="V331" s="70" t="s">
        <v>643</v>
      </c>
      <c r="W331" s="3" t="s">
        <v>343</v>
      </c>
      <c r="X331" s="3" t="s">
        <v>337</v>
      </c>
      <c r="Y331" s="3" t="s">
        <v>337</v>
      </c>
    </row>
    <row r="332" spans="1:25" hidden="1" x14ac:dyDescent="0.2">
      <c r="A332" s="83" t="str">
        <f t="shared" si="5"/>
        <v>郑州瀚海海尚22A杯</v>
      </c>
      <c r="B332" s="3" t="s">
        <v>706</v>
      </c>
      <c r="C332" s="84">
        <v>44377</v>
      </c>
      <c r="D332" s="3" t="s">
        <v>387</v>
      </c>
      <c r="E332" s="3" t="s">
        <v>337</v>
      </c>
      <c r="F332" s="3" t="s">
        <v>337</v>
      </c>
      <c r="G332" s="70" t="s">
        <v>388</v>
      </c>
      <c r="H332" s="3" t="s">
        <v>389</v>
      </c>
      <c r="I332" s="3" t="s">
        <v>339</v>
      </c>
      <c r="J332" s="3">
        <v>0</v>
      </c>
      <c r="K332" s="3">
        <v>150</v>
      </c>
      <c r="L332" s="3">
        <v>107</v>
      </c>
      <c r="M332" s="3">
        <v>95</v>
      </c>
      <c r="N332" s="3">
        <v>43</v>
      </c>
      <c r="O332" s="70">
        <v>52</v>
      </c>
      <c r="P332" s="3">
        <v>0</v>
      </c>
      <c r="Q332" s="3">
        <v>0</v>
      </c>
      <c r="R332" s="3">
        <v>0.24</v>
      </c>
      <c r="S332" s="3">
        <v>12.48</v>
      </c>
      <c r="T332" s="3">
        <v>22.8</v>
      </c>
      <c r="U332" s="3">
        <v>10.32</v>
      </c>
      <c r="V332" s="70" t="s">
        <v>333</v>
      </c>
      <c r="W332" s="3" t="s">
        <v>343</v>
      </c>
      <c r="X332" s="3" t="s">
        <v>337</v>
      </c>
      <c r="Y332" s="3" t="s">
        <v>337</v>
      </c>
    </row>
    <row r="333" spans="1:25" hidden="1" x14ac:dyDescent="0.2">
      <c r="A333" s="83" t="str">
        <f t="shared" si="5"/>
        <v>郑州政六街22A杯</v>
      </c>
      <c r="B333" s="3" t="s">
        <v>714</v>
      </c>
      <c r="C333" s="84">
        <v>44377</v>
      </c>
      <c r="D333" s="3" t="s">
        <v>387</v>
      </c>
      <c r="E333" s="3" t="s">
        <v>337</v>
      </c>
      <c r="F333" s="3" t="s">
        <v>337</v>
      </c>
      <c r="G333" s="70" t="s">
        <v>388</v>
      </c>
      <c r="H333" s="3" t="s">
        <v>389</v>
      </c>
      <c r="I333" s="3" t="s">
        <v>339</v>
      </c>
      <c r="J333" s="3">
        <v>860</v>
      </c>
      <c r="K333" s="3">
        <v>0</v>
      </c>
      <c r="L333" s="3">
        <v>146</v>
      </c>
      <c r="M333" s="3">
        <v>480</v>
      </c>
      <c r="N333" s="3">
        <v>714</v>
      </c>
      <c r="O333" s="70">
        <v>-234</v>
      </c>
      <c r="P333" s="3">
        <v>0</v>
      </c>
      <c r="Q333" s="3">
        <v>0</v>
      </c>
      <c r="R333" s="3">
        <v>0.226688</v>
      </c>
      <c r="S333" s="3">
        <v>-53.04</v>
      </c>
      <c r="T333" s="3">
        <v>108.81</v>
      </c>
      <c r="U333" s="3">
        <v>161.86000000000001</v>
      </c>
      <c r="V333" s="70" t="s">
        <v>591</v>
      </c>
      <c r="W333" s="3" t="s">
        <v>343</v>
      </c>
      <c r="X333" s="3" t="s">
        <v>337</v>
      </c>
      <c r="Y333" s="3" t="s">
        <v>337</v>
      </c>
    </row>
    <row r="334" spans="1:25" hidden="1" x14ac:dyDescent="0.2">
      <c r="A334" s="83" t="str">
        <f t="shared" si="5"/>
        <v>郑州政六街沙拉酱</v>
      </c>
      <c r="B334" s="3" t="s">
        <v>714</v>
      </c>
      <c r="C334" s="84">
        <v>44377</v>
      </c>
      <c r="D334" s="3" t="s">
        <v>390</v>
      </c>
      <c r="E334" s="3" t="s">
        <v>337</v>
      </c>
      <c r="F334" s="3" t="s">
        <v>337</v>
      </c>
      <c r="G334" s="70" t="s">
        <v>173</v>
      </c>
      <c r="H334" s="3" t="s">
        <v>391</v>
      </c>
      <c r="I334" s="3" t="s">
        <v>89</v>
      </c>
      <c r="J334" s="3">
        <v>10500</v>
      </c>
      <c r="K334" s="3">
        <v>117600</v>
      </c>
      <c r="L334" s="3">
        <v>120682.7</v>
      </c>
      <c r="M334" s="3">
        <v>0</v>
      </c>
      <c r="N334" s="3">
        <v>7417.3</v>
      </c>
      <c r="O334" s="70">
        <v>-7417.3</v>
      </c>
      <c r="P334" s="3">
        <v>510.84</v>
      </c>
      <c r="Q334" s="3">
        <v>0</v>
      </c>
      <c r="R334" s="3">
        <v>9.6839999999999999E-3</v>
      </c>
      <c r="S334" s="3">
        <v>-71.83</v>
      </c>
      <c r="T334" s="3">
        <v>0</v>
      </c>
      <c r="U334" s="3">
        <v>71.83</v>
      </c>
      <c r="V334" s="70" t="s">
        <v>591</v>
      </c>
      <c r="W334" s="3" t="s">
        <v>343</v>
      </c>
      <c r="X334" s="3" t="s">
        <v>337</v>
      </c>
      <c r="Y334" s="3" t="s">
        <v>337</v>
      </c>
    </row>
    <row r="335" spans="1:25" hidden="1" x14ac:dyDescent="0.2">
      <c r="A335" s="83" t="str">
        <f t="shared" si="5"/>
        <v>郑州瀚海海尚沙拉酱</v>
      </c>
      <c r="B335" s="3" t="s">
        <v>706</v>
      </c>
      <c r="C335" s="84">
        <v>44377</v>
      </c>
      <c r="D335" s="3" t="s">
        <v>390</v>
      </c>
      <c r="E335" s="3" t="s">
        <v>337</v>
      </c>
      <c r="F335" s="3" t="s">
        <v>337</v>
      </c>
      <c r="G335" s="70" t="s">
        <v>173</v>
      </c>
      <c r="H335" s="3" t="s">
        <v>391</v>
      </c>
      <c r="I335" s="3" t="s">
        <v>89</v>
      </c>
      <c r="J335" s="3">
        <v>3570</v>
      </c>
      <c r="K335" s="3">
        <v>50400</v>
      </c>
      <c r="L335" s="3">
        <v>76526.3</v>
      </c>
      <c r="M335" s="3">
        <v>0</v>
      </c>
      <c r="N335" s="3">
        <v>-22556.3</v>
      </c>
      <c r="O335" s="70">
        <v>22556.3</v>
      </c>
      <c r="P335" s="3">
        <v>702.24</v>
      </c>
      <c r="Q335" s="3">
        <v>0</v>
      </c>
      <c r="R335" s="3">
        <v>9.6539999999999994E-3</v>
      </c>
      <c r="S335" s="3">
        <v>217.76</v>
      </c>
      <c r="T335" s="3">
        <v>0</v>
      </c>
      <c r="U335" s="3">
        <v>-217.76</v>
      </c>
      <c r="V335" s="70" t="s">
        <v>333</v>
      </c>
      <c r="W335" s="3" t="s">
        <v>343</v>
      </c>
      <c r="X335" s="3" t="s">
        <v>337</v>
      </c>
      <c r="Y335" s="3" t="s">
        <v>337</v>
      </c>
    </row>
    <row r="336" spans="1:25" hidden="1" x14ac:dyDescent="0.2">
      <c r="A336" s="83" t="str">
        <f t="shared" si="5"/>
        <v>华山龙源沙拉酱</v>
      </c>
      <c r="B336" s="3" t="s">
        <v>705</v>
      </c>
      <c r="C336" s="84">
        <v>44377</v>
      </c>
      <c r="D336" s="3" t="s">
        <v>390</v>
      </c>
      <c r="E336" s="3" t="s">
        <v>337</v>
      </c>
      <c r="F336" s="3" t="s">
        <v>337</v>
      </c>
      <c r="G336" s="70" t="s">
        <v>173</v>
      </c>
      <c r="H336" s="3" t="s">
        <v>391</v>
      </c>
      <c r="I336" s="3" t="s">
        <v>89</v>
      </c>
      <c r="J336" s="3">
        <v>19840</v>
      </c>
      <c r="K336" s="3">
        <v>25200</v>
      </c>
      <c r="L336" s="3">
        <v>44016.800000000003</v>
      </c>
      <c r="M336" s="3">
        <v>5600</v>
      </c>
      <c r="N336" s="3">
        <v>1023.2</v>
      </c>
      <c r="O336" s="70">
        <v>4576.8</v>
      </c>
      <c r="P336" s="3">
        <v>360.36</v>
      </c>
      <c r="Q336" s="3">
        <v>0</v>
      </c>
      <c r="R336" s="3">
        <v>9.6790000000000001E-3</v>
      </c>
      <c r="S336" s="3">
        <v>44.3</v>
      </c>
      <c r="T336" s="3">
        <v>54.2</v>
      </c>
      <c r="U336" s="3">
        <v>9.9</v>
      </c>
      <c r="V336" s="70" t="s">
        <v>643</v>
      </c>
      <c r="W336" s="3" t="s">
        <v>343</v>
      </c>
      <c r="X336" s="3" t="s">
        <v>337</v>
      </c>
      <c r="Y336" s="3" t="s">
        <v>337</v>
      </c>
    </row>
    <row r="337" spans="1:25" hidden="1" x14ac:dyDescent="0.2">
      <c r="A337" s="83" t="str">
        <f t="shared" si="5"/>
        <v>郑州铁英街沙拉酱</v>
      </c>
      <c r="B337" s="3" t="s">
        <v>707</v>
      </c>
      <c r="C337" s="84">
        <v>44377</v>
      </c>
      <c r="D337" s="3" t="s">
        <v>390</v>
      </c>
      <c r="E337" s="3" t="s">
        <v>337</v>
      </c>
      <c r="F337" s="3" t="s">
        <v>337</v>
      </c>
      <c r="G337" s="70" t="s">
        <v>173</v>
      </c>
      <c r="H337" s="3" t="s">
        <v>391</v>
      </c>
      <c r="I337" s="3" t="s">
        <v>89</v>
      </c>
      <c r="J337" s="3">
        <v>909</v>
      </c>
      <c r="K337" s="3">
        <v>75600</v>
      </c>
      <c r="L337" s="3">
        <v>60526.400000000001</v>
      </c>
      <c r="M337" s="3">
        <v>16800</v>
      </c>
      <c r="N337" s="3">
        <v>15982.6</v>
      </c>
      <c r="O337" s="70">
        <v>817.4</v>
      </c>
      <c r="P337" s="3">
        <v>432.96</v>
      </c>
      <c r="Q337" s="3">
        <v>0</v>
      </c>
      <c r="R337" s="3">
        <v>9.6600000000000002E-3</v>
      </c>
      <c r="S337" s="3">
        <v>7.9</v>
      </c>
      <c r="T337" s="3">
        <v>162.28</v>
      </c>
      <c r="U337" s="3">
        <v>154.38999999999999</v>
      </c>
      <c r="V337" s="70" t="s">
        <v>592</v>
      </c>
      <c r="W337" s="3" t="s">
        <v>343</v>
      </c>
      <c r="X337" s="3" t="s">
        <v>337</v>
      </c>
      <c r="Y337" s="3" t="s">
        <v>337</v>
      </c>
    </row>
    <row r="338" spans="1:25" hidden="1" x14ac:dyDescent="0.2">
      <c r="A338" s="83" t="str">
        <f t="shared" si="5"/>
        <v>郑州西悦城沙拉酱</v>
      </c>
      <c r="B338" s="3" t="s">
        <v>708</v>
      </c>
      <c r="C338" s="84">
        <v>44377</v>
      </c>
      <c r="D338" s="3" t="s">
        <v>390</v>
      </c>
      <c r="E338" s="3" t="s">
        <v>337</v>
      </c>
      <c r="F338" s="3" t="s">
        <v>337</v>
      </c>
      <c r="G338" s="70" t="s">
        <v>173</v>
      </c>
      <c r="H338" s="3" t="s">
        <v>391</v>
      </c>
      <c r="I338" s="3" t="s">
        <v>89</v>
      </c>
      <c r="J338" s="3">
        <v>0</v>
      </c>
      <c r="K338" s="3">
        <v>134400</v>
      </c>
      <c r="L338" s="3">
        <v>119792.5</v>
      </c>
      <c r="M338" s="3">
        <v>15000</v>
      </c>
      <c r="N338" s="3">
        <v>14607.5</v>
      </c>
      <c r="O338" s="70">
        <v>392.5</v>
      </c>
      <c r="P338" s="3">
        <v>719.4</v>
      </c>
      <c r="Q338" s="3">
        <v>0</v>
      </c>
      <c r="R338" s="3">
        <v>9.6539999999999994E-3</v>
      </c>
      <c r="S338" s="3">
        <v>3.79</v>
      </c>
      <c r="T338" s="3">
        <v>144.81</v>
      </c>
      <c r="U338" s="3">
        <v>141.02000000000001</v>
      </c>
      <c r="V338" s="70" t="s">
        <v>332</v>
      </c>
      <c r="W338" s="3" t="s">
        <v>343</v>
      </c>
      <c r="X338" s="3" t="s">
        <v>337</v>
      </c>
      <c r="Y338" s="3" t="s">
        <v>337</v>
      </c>
    </row>
    <row r="339" spans="1:25" hidden="1" x14ac:dyDescent="0.2">
      <c r="A339" s="83" t="str">
        <f t="shared" si="5"/>
        <v>郑州康复中街沙拉酱</v>
      </c>
      <c r="B339" s="3" t="s">
        <v>704</v>
      </c>
      <c r="C339" s="84">
        <v>44377</v>
      </c>
      <c r="D339" s="3" t="s">
        <v>390</v>
      </c>
      <c r="E339" s="3" t="s">
        <v>337</v>
      </c>
      <c r="F339" s="3" t="s">
        <v>337</v>
      </c>
      <c r="G339" s="70" t="s">
        <v>173</v>
      </c>
      <c r="H339" s="3" t="s">
        <v>391</v>
      </c>
      <c r="I339" s="3" t="s">
        <v>89</v>
      </c>
      <c r="J339" s="3">
        <v>978</v>
      </c>
      <c r="K339" s="3">
        <v>109200</v>
      </c>
      <c r="L339" s="3">
        <v>100696.1</v>
      </c>
      <c r="M339" s="3">
        <v>9481</v>
      </c>
      <c r="N339" s="3">
        <v>9481.9</v>
      </c>
      <c r="O339" s="70">
        <v>-0.9</v>
      </c>
      <c r="P339" s="3">
        <v>553.08000000000004</v>
      </c>
      <c r="Q339" s="3">
        <v>0</v>
      </c>
      <c r="R339" s="3">
        <v>9.6570000000000007E-3</v>
      </c>
      <c r="S339" s="3">
        <v>-0.01</v>
      </c>
      <c r="T339" s="3">
        <v>91.56</v>
      </c>
      <c r="U339" s="3">
        <v>91.57</v>
      </c>
      <c r="V339" s="70" t="s">
        <v>593</v>
      </c>
      <c r="W339" s="3" t="s">
        <v>343</v>
      </c>
      <c r="X339" s="3" t="s">
        <v>337</v>
      </c>
      <c r="Y339" s="3" t="s">
        <v>337</v>
      </c>
    </row>
    <row r="340" spans="1:25" hidden="1" x14ac:dyDescent="0.2">
      <c r="A340" s="83" t="str">
        <f t="shared" si="5"/>
        <v>新蔡水韵天街沙拉酱</v>
      </c>
      <c r="B340" s="3" t="s">
        <v>703</v>
      </c>
      <c r="C340" s="84">
        <v>44377</v>
      </c>
      <c r="D340" s="3" t="s">
        <v>390</v>
      </c>
      <c r="E340" s="3" t="s">
        <v>337</v>
      </c>
      <c r="F340" s="3" t="s">
        <v>337</v>
      </c>
      <c r="G340" s="70" t="s">
        <v>173</v>
      </c>
      <c r="H340" s="3" t="s">
        <v>391</v>
      </c>
      <c r="I340" s="3" t="s">
        <v>89</v>
      </c>
      <c r="J340" s="3">
        <v>32200</v>
      </c>
      <c r="K340" s="3">
        <v>33600</v>
      </c>
      <c r="L340" s="3">
        <v>51262.7</v>
      </c>
      <c r="M340" s="3">
        <v>13700</v>
      </c>
      <c r="N340" s="3">
        <v>14537.3</v>
      </c>
      <c r="O340" s="70">
        <v>-837.3</v>
      </c>
      <c r="P340" s="3">
        <v>381.48</v>
      </c>
      <c r="Q340" s="3">
        <v>0</v>
      </c>
      <c r="R340" s="3">
        <v>9.6620000000000004E-3</v>
      </c>
      <c r="S340" s="3">
        <v>-8.09</v>
      </c>
      <c r="T340" s="3">
        <v>132.37</v>
      </c>
      <c r="U340" s="3">
        <v>140.46</v>
      </c>
      <c r="V340" s="70" t="s">
        <v>335</v>
      </c>
      <c r="W340" s="3" t="s">
        <v>725</v>
      </c>
      <c r="X340" s="3" t="s">
        <v>337</v>
      </c>
      <c r="Y340" s="3" t="s">
        <v>337</v>
      </c>
    </row>
    <row r="341" spans="1:25" hidden="1" x14ac:dyDescent="0.2">
      <c r="A341" s="83" t="str">
        <f t="shared" si="5"/>
        <v>郑州盛华里沙拉酱</v>
      </c>
      <c r="B341" s="3" t="s">
        <v>709</v>
      </c>
      <c r="C341" s="84">
        <v>44377</v>
      </c>
      <c r="D341" s="3" t="s">
        <v>390</v>
      </c>
      <c r="E341" s="3" t="s">
        <v>337</v>
      </c>
      <c r="F341" s="3" t="s">
        <v>337</v>
      </c>
      <c r="G341" s="70" t="s">
        <v>173</v>
      </c>
      <c r="H341" s="3" t="s">
        <v>391</v>
      </c>
      <c r="I341" s="3" t="s">
        <v>89</v>
      </c>
      <c r="J341" s="3">
        <v>15800</v>
      </c>
      <c r="K341" s="3">
        <v>50400</v>
      </c>
      <c r="L341" s="3">
        <v>41139.699999999997</v>
      </c>
      <c r="M341" s="3">
        <v>28000</v>
      </c>
      <c r="N341" s="3">
        <v>25060.3</v>
      </c>
      <c r="O341" s="70">
        <v>2939.7</v>
      </c>
      <c r="P341" s="3">
        <v>102.96</v>
      </c>
      <c r="Q341" s="3">
        <v>0</v>
      </c>
      <c r="R341" s="3">
        <v>9.6579999999999999E-3</v>
      </c>
      <c r="S341" s="3">
        <v>28.39</v>
      </c>
      <c r="T341" s="3">
        <v>270.42</v>
      </c>
      <c r="U341" s="3">
        <v>242.03</v>
      </c>
      <c r="V341" s="70" t="s">
        <v>637</v>
      </c>
      <c r="W341" s="3" t="s">
        <v>343</v>
      </c>
      <c r="X341" s="3" t="s">
        <v>337</v>
      </c>
      <c r="Y341" s="3" t="s">
        <v>337</v>
      </c>
    </row>
    <row r="342" spans="1:25" hidden="1" x14ac:dyDescent="0.2">
      <c r="A342" s="83" t="str">
        <f t="shared" si="5"/>
        <v>滑县滑台沙拉酱</v>
      </c>
      <c r="B342" s="3" t="s">
        <v>710</v>
      </c>
      <c r="C342" s="84">
        <v>44377</v>
      </c>
      <c r="D342" s="3" t="s">
        <v>390</v>
      </c>
      <c r="E342" s="3" t="s">
        <v>337</v>
      </c>
      <c r="F342" s="3" t="s">
        <v>337</v>
      </c>
      <c r="G342" s="70" t="s">
        <v>173</v>
      </c>
      <c r="H342" s="3" t="s">
        <v>391</v>
      </c>
      <c r="I342" s="3" t="s">
        <v>89</v>
      </c>
      <c r="J342" s="3">
        <v>25200</v>
      </c>
      <c r="K342" s="3">
        <v>67200</v>
      </c>
      <c r="L342" s="3">
        <v>114761.60000000001</v>
      </c>
      <c r="M342" s="3">
        <v>8400</v>
      </c>
      <c r="N342" s="3">
        <v>-22361.599999999999</v>
      </c>
      <c r="O342" s="70">
        <v>30761.599999999999</v>
      </c>
      <c r="P342" s="3">
        <v>1329.24</v>
      </c>
      <c r="Q342" s="3">
        <v>0</v>
      </c>
      <c r="R342" s="3">
        <v>9.6620000000000004E-3</v>
      </c>
      <c r="S342" s="3">
        <v>297.22000000000003</v>
      </c>
      <c r="T342" s="3">
        <v>81.16</v>
      </c>
      <c r="U342" s="3">
        <v>-216.06</v>
      </c>
      <c r="V342" s="70" t="s">
        <v>639</v>
      </c>
      <c r="W342" s="3" t="s">
        <v>343</v>
      </c>
      <c r="X342" s="3" t="s">
        <v>337</v>
      </c>
      <c r="Y342" s="3" t="s">
        <v>337</v>
      </c>
    </row>
    <row r="343" spans="1:25" hidden="1" x14ac:dyDescent="0.2">
      <c r="A343" s="83" t="str">
        <f t="shared" si="5"/>
        <v>郑州裕华沙拉酱</v>
      </c>
      <c r="B343" s="3" t="s">
        <v>711</v>
      </c>
      <c r="C343" s="84">
        <v>44377</v>
      </c>
      <c r="D343" s="3" t="s">
        <v>390</v>
      </c>
      <c r="E343" s="3" t="s">
        <v>337</v>
      </c>
      <c r="F343" s="3" t="s">
        <v>337</v>
      </c>
      <c r="G343" s="70" t="s">
        <v>173</v>
      </c>
      <c r="H343" s="3" t="s">
        <v>391</v>
      </c>
      <c r="I343" s="3" t="s">
        <v>89</v>
      </c>
      <c r="J343" s="3">
        <v>27000</v>
      </c>
      <c r="K343" s="3">
        <v>8400</v>
      </c>
      <c r="L343" s="3">
        <v>47077.8</v>
      </c>
      <c r="M343" s="3">
        <v>4900</v>
      </c>
      <c r="N343" s="3">
        <v>-11677.8</v>
      </c>
      <c r="O343" s="70">
        <v>16577.8</v>
      </c>
      <c r="P343" s="3">
        <v>501.6</v>
      </c>
      <c r="Q343" s="3">
        <v>0</v>
      </c>
      <c r="R343" s="3">
        <v>9.6609999999999994E-3</v>
      </c>
      <c r="S343" s="3">
        <v>160.16</v>
      </c>
      <c r="T343" s="3">
        <v>47.34</v>
      </c>
      <c r="U343" s="3">
        <v>-112.82</v>
      </c>
      <c r="V343" s="70" t="s">
        <v>641</v>
      </c>
      <c r="W343" s="3" t="s">
        <v>343</v>
      </c>
      <c r="X343" s="3" t="s">
        <v>337</v>
      </c>
      <c r="Y343" s="3" t="s">
        <v>337</v>
      </c>
    </row>
    <row r="344" spans="1:25" hidden="1" x14ac:dyDescent="0.2">
      <c r="A344" s="83" t="str">
        <f t="shared" si="5"/>
        <v>清丰凤鸣沙拉酱</v>
      </c>
      <c r="B344" s="3" t="s">
        <v>713</v>
      </c>
      <c r="C344" s="84">
        <v>44377</v>
      </c>
      <c r="D344" s="3" t="s">
        <v>390</v>
      </c>
      <c r="E344" s="3" t="s">
        <v>337</v>
      </c>
      <c r="F344" s="3" t="s">
        <v>337</v>
      </c>
      <c r="G344" s="70" t="s">
        <v>173</v>
      </c>
      <c r="H344" s="3" t="s">
        <v>391</v>
      </c>
      <c r="I344" s="3" t="s">
        <v>89</v>
      </c>
      <c r="J344" s="3">
        <v>0</v>
      </c>
      <c r="K344" s="3">
        <v>33600</v>
      </c>
      <c r="L344" s="3">
        <v>41679.4</v>
      </c>
      <c r="M344" s="3">
        <v>150</v>
      </c>
      <c r="N344" s="3">
        <v>-8079.4</v>
      </c>
      <c r="O344" s="70">
        <v>8229.4</v>
      </c>
      <c r="P344" s="3">
        <v>908.16</v>
      </c>
      <c r="Q344" s="3">
        <v>0</v>
      </c>
      <c r="R344" s="3">
        <v>1.0467000000000001E-2</v>
      </c>
      <c r="S344" s="3">
        <v>86.14</v>
      </c>
      <c r="T344" s="3">
        <v>1.57</v>
      </c>
      <c r="U344" s="3">
        <v>-84.57</v>
      </c>
      <c r="V344" s="70" t="s">
        <v>334</v>
      </c>
      <c r="W344" s="3" t="s">
        <v>343</v>
      </c>
      <c r="X344" s="3" t="s">
        <v>337</v>
      </c>
      <c r="Y344" s="3" t="s">
        <v>337</v>
      </c>
    </row>
    <row r="345" spans="1:25" hidden="1" x14ac:dyDescent="0.2">
      <c r="A345" s="83" t="str">
        <f t="shared" si="5"/>
        <v>方城锦城国际沙拉酱</v>
      </c>
      <c r="B345" s="3" t="s">
        <v>712</v>
      </c>
      <c r="C345" s="84">
        <v>44377</v>
      </c>
      <c r="D345" s="3" t="s">
        <v>390</v>
      </c>
      <c r="E345" s="3" t="s">
        <v>337</v>
      </c>
      <c r="F345" s="3" t="s">
        <v>337</v>
      </c>
      <c r="G345" s="70" t="s">
        <v>173</v>
      </c>
      <c r="H345" s="3" t="s">
        <v>391</v>
      </c>
      <c r="I345" s="3" t="s">
        <v>89</v>
      </c>
      <c r="J345" s="3">
        <v>0</v>
      </c>
      <c r="K345" s="3">
        <v>92400</v>
      </c>
      <c r="L345" s="3">
        <v>85953.5</v>
      </c>
      <c r="M345" s="3">
        <v>7100</v>
      </c>
      <c r="N345" s="3">
        <v>6446.5</v>
      </c>
      <c r="O345" s="70">
        <v>653.5</v>
      </c>
      <c r="P345" s="3">
        <v>1351.68</v>
      </c>
      <c r="Q345" s="3">
        <v>0</v>
      </c>
      <c r="R345" s="3">
        <v>9.6629999999999997E-3</v>
      </c>
      <c r="S345" s="3">
        <v>6.31</v>
      </c>
      <c r="T345" s="3">
        <v>68.61</v>
      </c>
      <c r="U345" s="3">
        <v>62.29</v>
      </c>
      <c r="V345" s="70" t="s">
        <v>594</v>
      </c>
      <c r="W345" s="3" t="s">
        <v>343</v>
      </c>
      <c r="X345" s="3" t="s">
        <v>337</v>
      </c>
      <c r="Y345" s="3" t="s">
        <v>337</v>
      </c>
    </row>
    <row r="346" spans="1:25" hidden="1" x14ac:dyDescent="0.2">
      <c r="A346" s="83" t="str">
        <f t="shared" si="5"/>
        <v>方城锦城国际亿霖袋装沙司（后台）</v>
      </c>
      <c r="B346" s="3" t="s">
        <v>712</v>
      </c>
      <c r="C346" s="84">
        <v>44377</v>
      </c>
      <c r="D346" s="3" t="s">
        <v>392</v>
      </c>
      <c r="E346" s="3" t="s">
        <v>337</v>
      </c>
      <c r="F346" s="3" t="s">
        <v>337</v>
      </c>
      <c r="G346" s="70" t="s">
        <v>172</v>
      </c>
      <c r="H346" s="3" t="s">
        <v>343</v>
      </c>
      <c r="I346" s="3" t="s">
        <v>89</v>
      </c>
      <c r="J346" s="3">
        <v>250</v>
      </c>
      <c r="K346" s="3">
        <v>20000</v>
      </c>
      <c r="L346" s="3">
        <v>11111.8</v>
      </c>
      <c r="M346" s="3">
        <v>8000</v>
      </c>
      <c r="N346" s="3">
        <v>9138.2000000000007</v>
      </c>
      <c r="O346" s="70">
        <v>-1138.2</v>
      </c>
      <c r="P346" s="3">
        <v>0</v>
      </c>
      <c r="Q346" s="3">
        <v>0</v>
      </c>
      <c r="R346" s="3">
        <v>6.1900000000000002E-3</v>
      </c>
      <c r="S346" s="3">
        <v>-7.05</v>
      </c>
      <c r="T346" s="3">
        <v>49.52</v>
      </c>
      <c r="U346" s="3">
        <v>56.57</v>
      </c>
      <c r="V346" s="70" t="s">
        <v>594</v>
      </c>
      <c r="W346" s="3" t="s">
        <v>343</v>
      </c>
      <c r="X346" s="3" t="s">
        <v>337</v>
      </c>
      <c r="Y346" s="3" t="s">
        <v>337</v>
      </c>
    </row>
    <row r="347" spans="1:25" hidden="1" x14ac:dyDescent="0.2">
      <c r="A347" s="83" t="str">
        <f t="shared" si="5"/>
        <v>清丰凤鸣亿霖袋装沙司（后台）</v>
      </c>
      <c r="B347" s="3" t="s">
        <v>713</v>
      </c>
      <c r="C347" s="84">
        <v>44377</v>
      </c>
      <c r="D347" s="3" t="s">
        <v>392</v>
      </c>
      <c r="E347" s="3" t="s">
        <v>337</v>
      </c>
      <c r="F347" s="3" t="s">
        <v>337</v>
      </c>
      <c r="G347" s="70" t="s">
        <v>172</v>
      </c>
      <c r="H347" s="3" t="s">
        <v>343</v>
      </c>
      <c r="I347" s="3" t="s">
        <v>89</v>
      </c>
      <c r="J347" s="3">
        <v>4500</v>
      </c>
      <c r="K347" s="3">
        <v>0</v>
      </c>
      <c r="L347" s="3">
        <v>5840.8</v>
      </c>
      <c r="M347" s="3">
        <v>100</v>
      </c>
      <c r="N347" s="3">
        <v>-1340.8</v>
      </c>
      <c r="O347" s="70">
        <v>1440.8</v>
      </c>
      <c r="P347" s="3">
        <v>0</v>
      </c>
      <c r="Q347" s="3">
        <v>0</v>
      </c>
      <c r="R347" s="3">
        <v>5.7000000000000002E-3</v>
      </c>
      <c r="S347" s="3">
        <v>8.2100000000000009</v>
      </c>
      <c r="T347" s="3">
        <v>0.56999999999999995</v>
      </c>
      <c r="U347" s="3">
        <v>-7.64</v>
      </c>
      <c r="V347" s="70" t="s">
        <v>334</v>
      </c>
      <c r="W347" s="3" t="s">
        <v>343</v>
      </c>
      <c r="X347" s="3" t="s">
        <v>337</v>
      </c>
      <c r="Y347" s="3" t="s">
        <v>337</v>
      </c>
    </row>
    <row r="348" spans="1:25" hidden="1" x14ac:dyDescent="0.2">
      <c r="A348" s="83" t="str">
        <f t="shared" si="5"/>
        <v>郑州裕华亿霖袋装沙司（后台）</v>
      </c>
      <c r="B348" s="3" t="s">
        <v>711</v>
      </c>
      <c r="C348" s="84">
        <v>44377</v>
      </c>
      <c r="D348" s="3" t="s">
        <v>392</v>
      </c>
      <c r="E348" s="3" t="s">
        <v>337</v>
      </c>
      <c r="F348" s="3" t="s">
        <v>337</v>
      </c>
      <c r="G348" s="70" t="s">
        <v>172</v>
      </c>
      <c r="H348" s="3" t="s">
        <v>343</v>
      </c>
      <c r="I348" s="3" t="s">
        <v>89</v>
      </c>
      <c r="J348" s="3">
        <v>35000</v>
      </c>
      <c r="K348" s="3">
        <v>0</v>
      </c>
      <c r="L348" s="3">
        <v>9059.7999999999993</v>
      </c>
      <c r="M348" s="3">
        <v>27500</v>
      </c>
      <c r="N348" s="3">
        <v>25940.2</v>
      </c>
      <c r="O348" s="70">
        <v>1559.8</v>
      </c>
      <c r="P348" s="3">
        <v>0</v>
      </c>
      <c r="Q348" s="3">
        <v>0</v>
      </c>
      <c r="R348" s="3">
        <v>6.1900000000000002E-3</v>
      </c>
      <c r="S348" s="3">
        <v>9.66</v>
      </c>
      <c r="T348" s="3">
        <v>170.23</v>
      </c>
      <c r="U348" s="3">
        <v>160.57</v>
      </c>
      <c r="V348" s="70" t="s">
        <v>641</v>
      </c>
      <c r="W348" s="3" t="s">
        <v>343</v>
      </c>
      <c r="X348" s="3" t="s">
        <v>337</v>
      </c>
      <c r="Y348" s="3" t="s">
        <v>337</v>
      </c>
    </row>
    <row r="349" spans="1:25" hidden="1" x14ac:dyDescent="0.2">
      <c r="A349" s="83" t="str">
        <f t="shared" si="5"/>
        <v>滑县滑台亿霖袋装沙司（后台）</v>
      </c>
      <c r="B349" s="3" t="s">
        <v>710</v>
      </c>
      <c r="C349" s="84">
        <v>44377</v>
      </c>
      <c r="D349" s="3" t="s">
        <v>392</v>
      </c>
      <c r="E349" s="3" t="s">
        <v>337</v>
      </c>
      <c r="F349" s="3" t="s">
        <v>337</v>
      </c>
      <c r="G349" s="70" t="s">
        <v>172</v>
      </c>
      <c r="H349" s="3" t="s">
        <v>343</v>
      </c>
      <c r="I349" s="3" t="s">
        <v>89</v>
      </c>
      <c r="J349" s="3">
        <v>6250</v>
      </c>
      <c r="K349" s="3">
        <v>10000</v>
      </c>
      <c r="L349" s="3">
        <v>10870.2</v>
      </c>
      <c r="M349" s="3">
        <v>8000</v>
      </c>
      <c r="N349" s="3">
        <v>5379.8</v>
      </c>
      <c r="O349" s="70">
        <v>2620.1999999999998</v>
      </c>
      <c r="P349" s="3">
        <v>0</v>
      </c>
      <c r="Q349" s="3">
        <v>0</v>
      </c>
      <c r="R349" s="3">
        <v>6.1939999999999999E-3</v>
      </c>
      <c r="S349" s="3">
        <v>16.23</v>
      </c>
      <c r="T349" s="3">
        <v>49.55</v>
      </c>
      <c r="U349" s="3">
        <v>33.32</v>
      </c>
      <c r="V349" s="70" t="s">
        <v>639</v>
      </c>
      <c r="W349" s="3" t="s">
        <v>343</v>
      </c>
      <c r="X349" s="3" t="s">
        <v>337</v>
      </c>
      <c r="Y349" s="3" t="s">
        <v>337</v>
      </c>
    </row>
    <row r="350" spans="1:25" hidden="1" x14ac:dyDescent="0.2">
      <c r="A350" s="83" t="str">
        <f t="shared" si="5"/>
        <v>郑州盛华里亿霖袋装沙司（后台）</v>
      </c>
      <c r="B350" s="3" t="s">
        <v>709</v>
      </c>
      <c r="C350" s="84">
        <v>44377</v>
      </c>
      <c r="D350" s="3" t="s">
        <v>392</v>
      </c>
      <c r="E350" s="3" t="s">
        <v>337</v>
      </c>
      <c r="F350" s="3" t="s">
        <v>337</v>
      </c>
      <c r="G350" s="70" t="s">
        <v>172</v>
      </c>
      <c r="H350" s="3" t="s">
        <v>343</v>
      </c>
      <c r="I350" s="3" t="s">
        <v>89</v>
      </c>
      <c r="J350" s="3">
        <v>16300</v>
      </c>
      <c r="K350" s="3">
        <v>0</v>
      </c>
      <c r="L350" s="3">
        <v>7775.4</v>
      </c>
      <c r="M350" s="3">
        <v>8500</v>
      </c>
      <c r="N350" s="3">
        <v>8524.6</v>
      </c>
      <c r="O350" s="70">
        <v>-24.6</v>
      </c>
      <c r="P350" s="3">
        <v>0</v>
      </c>
      <c r="Q350" s="3">
        <v>0</v>
      </c>
      <c r="R350" s="3">
        <v>6.1879999999999999E-3</v>
      </c>
      <c r="S350" s="3">
        <v>-0.15</v>
      </c>
      <c r="T350" s="3">
        <v>52.6</v>
      </c>
      <c r="U350" s="3">
        <v>52.75</v>
      </c>
      <c r="V350" s="70" t="s">
        <v>637</v>
      </c>
      <c r="W350" s="3" t="s">
        <v>343</v>
      </c>
      <c r="X350" s="3" t="s">
        <v>337</v>
      </c>
      <c r="Y350" s="3" t="s">
        <v>337</v>
      </c>
    </row>
    <row r="351" spans="1:25" hidden="1" x14ac:dyDescent="0.2">
      <c r="A351" s="83" t="str">
        <f t="shared" si="5"/>
        <v>新蔡水韵天街亿霖袋装沙司（后台）</v>
      </c>
      <c r="B351" s="3" t="s">
        <v>703</v>
      </c>
      <c r="C351" s="84">
        <v>44377</v>
      </c>
      <c r="D351" s="3" t="s">
        <v>392</v>
      </c>
      <c r="E351" s="3" t="s">
        <v>337</v>
      </c>
      <c r="F351" s="3" t="s">
        <v>337</v>
      </c>
      <c r="G351" s="70" t="s">
        <v>172</v>
      </c>
      <c r="H351" s="3" t="s">
        <v>343</v>
      </c>
      <c r="I351" s="3" t="s">
        <v>89</v>
      </c>
      <c r="J351" s="3">
        <v>7000</v>
      </c>
      <c r="K351" s="3">
        <v>10000</v>
      </c>
      <c r="L351" s="3">
        <v>9743.4</v>
      </c>
      <c r="M351" s="3">
        <v>7500</v>
      </c>
      <c r="N351" s="3">
        <v>7256.6</v>
      </c>
      <c r="O351" s="70">
        <v>243.4</v>
      </c>
      <c r="P351" s="3">
        <v>0</v>
      </c>
      <c r="Q351" s="3">
        <v>0</v>
      </c>
      <c r="R351" s="3">
        <v>6.1789999999999996E-3</v>
      </c>
      <c r="S351" s="3">
        <v>1.5</v>
      </c>
      <c r="T351" s="3">
        <v>46.34</v>
      </c>
      <c r="U351" s="3">
        <v>44.84</v>
      </c>
      <c r="V351" s="70" t="s">
        <v>335</v>
      </c>
      <c r="W351" s="3" t="s">
        <v>343</v>
      </c>
      <c r="X351" s="3" t="s">
        <v>337</v>
      </c>
      <c r="Y351" s="3" t="s">
        <v>337</v>
      </c>
    </row>
    <row r="352" spans="1:25" hidden="1" x14ac:dyDescent="0.2">
      <c r="A352" s="83" t="str">
        <f t="shared" si="5"/>
        <v>郑州康复中街亿霖袋装沙司（后台）</v>
      </c>
      <c r="B352" s="3" t="s">
        <v>704</v>
      </c>
      <c r="C352" s="84">
        <v>44377</v>
      </c>
      <c r="D352" s="3" t="s">
        <v>392</v>
      </c>
      <c r="E352" s="3" t="s">
        <v>337</v>
      </c>
      <c r="F352" s="3" t="s">
        <v>337</v>
      </c>
      <c r="G352" s="70" t="s">
        <v>172</v>
      </c>
      <c r="H352" s="3" t="s">
        <v>343</v>
      </c>
      <c r="I352" s="3" t="s">
        <v>89</v>
      </c>
      <c r="J352" s="3">
        <v>0</v>
      </c>
      <c r="K352" s="3">
        <v>30000</v>
      </c>
      <c r="L352" s="3">
        <v>18345.400000000001</v>
      </c>
      <c r="M352" s="3">
        <v>11654</v>
      </c>
      <c r="N352" s="3">
        <v>11654.6</v>
      </c>
      <c r="O352" s="70">
        <v>-0.6</v>
      </c>
      <c r="P352" s="3">
        <v>0</v>
      </c>
      <c r="Q352" s="3">
        <v>0</v>
      </c>
      <c r="R352" s="3">
        <v>6.1910000000000003E-3</v>
      </c>
      <c r="S352" s="3">
        <v>0</v>
      </c>
      <c r="T352" s="3">
        <v>72.150000000000006</v>
      </c>
      <c r="U352" s="3">
        <v>72.150000000000006</v>
      </c>
      <c r="V352" s="70" t="s">
        <v>593</v>
      </c>
      <c r="W352" s="3" t="s">
        <v>343</v>
      </c>
      <c r="X352" s="3" t="s">
        <v>337</v>
      </c>
      <c r="Y352" s="3" t="s">
        <v>337</v>
      </c>
    </row>
    <row r="353" spans="1:25" hidden="1" x14ac:dyDescent="0.2">
      <c r="A353" s="83" t="str">
        <f t="shared" si="5"/>
        <v>郑州西悦城亿霖袋装沙司（后台）</v>
      </c>
      <c r="B353" s="3" t="s">
        <v>708</v>
      </c>
      <c r="C353" s="84">
        <v>44377</v>
      </c>
      <c r="D353" s="3" t="s">
        <v>392</v>
      </c>
      <c r="E353" s="3" t="s">
        <v>337</v>
      </c>
      <c r="F353" s="3" t="s">
        <v>337</v>
      </c>
      <c r="G353" s="70" t="s">
        <v>172</v>
      </c>
      <c r="H353" s="3" t="s">
        <v>343</v>
      </c>
      <c r="I353" s="3" t="s">
        <v>89</v>
      </c>
      <c r="J353" s="3">
        <v>700</v>
      </c>
      <c r="K353" s="3">
        <v>20000</v>
      </c>
      <c r="L353" s="3">
        <v>20168</v>
      </c>
      <c r="M353" s="3">
        <v>1000</v>
      </c>
      <c r="N353" s="3">
        <v>532</v>
      </c>
      <c r="O353" s="70">
        <v>468</v>
      </c>
      <c r="P353" s="3">
        <v>0</v>
      </c>
      <c r="Q353" s="3">
        <v>0</v>
      </c>
      <c r="R353" s="3">
        <v>6.1599999999999997E-3</v>
      </c>
      <c r="S353" s="3">
        <v>2.88</v>
      </c>
      <c r="T353" s="3">
        <v>6.16</v>
      </c>
      <c r="U353" s="3">
        <v>3.28</v>
      </c>
      <c r="V353" s="70" t="s">
        <v>332</v>
      </c>
      <c r="W353" s="3" t="s">
        <v>343</v>
      </c>
      <c r="X353" s="3" t="s">
        <v>337</v>
      </c>
      <c r="Y353" s="3" t="s">
        <v>337</v>
      </c>
    </row>
    <row r="354" spans="1:25" hidden="1" x14ac:dyDescent="0.2">
      <c r="A354" s="83" t="str">
        <f t="shared" si="5"/>
        <v>郑州铁英街亿霖袋装沙司（后台）</v>
      </c>
      <c r="B354" s="3" t="s">
        <v>707</v>
      </c>
      <c r="C354" s="84">
        <v>44377</v>
      </c>
      <c r="D354" s="3" t="s">
        <v>392</v>
      </c>
      <c r="E354" s="3" t="s">
        <v>337</v>
      </c>
      <c r="F354" s="3" t="s">
        <v>337</v>
      </c>
      <c r="G354" s="70" t="s">
        <v>172</v>
      </c>
      <c r="H354" s="3" t="s">
        <v>343</v>
      </c>
      <c r="I354" s="3" t="s">
        <v>89</v>
      </c>
      <c r="J354" s="3">
        <v>4100</v>
      </c>
      <c r="K354" s="3">
        <v>10000</v>
      </c>
      <c r="L354" s="3">
        <v>10452.4</v>
      </c>
      <c r="M354" s="3">
        <v>3740</v>
      </c>
      <c r="N354" s="3">
        <v>3647.6</v>
      </c>
      <c r="O354" s="70">
        <v>92.4</v>
      </c>
      <c r="P354" s="3">
        <v>0</v>
      </c>
      <c r="Q354" s="3">
        <v>0</v>
      </c>
      <c r="R354" s="3">
        <v>6.1980000000000004E-3</v>
      </c>
      <c r="S354" s="3">
        <v>0.56999999999999995</v>
      </c>
      <c r="T354" s="3">
        <v>23.18</v>
      </c>
      <c r="U354" s="3">
        <v>22.61</v>
      </c>
      <c r="V354" s="70" t="s">
        <v>592</v>
      </c>
      <c r="W354" s="3" t="s">
        <v>343</v>
      </c>
      <c r="X354" s="3" t="s">
        <v>337</v>
      </c>
      <c r="Y354" s="3" t="s">
        <v>337</v>
      </c>
    </row>
    <row r="355" spans="1:25" hidden="1" x14ac:dyDescent="0.2">
      <c r="A355" s="83" t="str">
        <f t="shared" si="5"/>
        <v>华山龙源亿霖袋装沙司（后台）</v>
      </c>
      <c r="B355" s="3" t="s">
        <v>705</v>
      </c>
      <c r="C355" s="84">
        <v>44377</v>
      </c>
      <c r="D355" s="3" t="s">
        <v>392</v>
      </c>
      <c r="E355" s="3" t="s">
        <v>337</v>
      </c>
      <c r="F355" s="3" t="s">
        <v>337</v>
      </c>
      <c r="G355" s="70" t="s">
        <v>172</v>
      </c>
      <c r="H355" s="3" t="s">
        <v>343</v>
      </c>
      <c r="I355" s="3" t="s">
        <v>89</v>
      </c>
      <c r="J355" s="3">
        <v>7500</v>
      </c>
      <c r="K355" s="3">
        <v>0</v>
      </c>
      <c r="L355" s="3">
        <v>7474.2</v>
      </c>
      <c r="M355" s="3">
        <v>1250</v>
      </c>
      <c r="N355" s="3">
        <v>25.8</v>
      </c>
      <c r="O355" s="70">
        <v>1224.2</v>
      </c>
      <c r="P355" s="3">
        <v>0</v>
      </c>
      <c r="Q355" s="3">
        <v>0</v>
      </c>
      <c r="R355" s="3">
        <v>6.1599999999999997E-3</v>
      </c>
      <c r="S355" s="3">
        <v>7.54</v>
      </c>
      <c r="T355" s="3">
        <v>7.7</v>
      </c>
      <c r="U355" s="3">
        <v>0.16</v>
      </c>
      <c r="V355" s="70" t="s">
        <v>643</v>
      </c>
      <c r="W355" s="3" t="s">
        <v>343</v>
      </c>
      <c r="X355" s="3" t="s">
        <v>337</v>
      </c>
      <c r="Y355" s="3" t="s">
        <v>337</v>
      </c>
    </row>
    <row r="356" spans="1:25" hidden="1" x14ac:dyDescent="0.2">
      <c r="A356" s="83" t="str">
        <f t="shared" si="5"/>
        <v>郑州瀚海海尚亿霖袋装沙司（后台）</v>
      </c>
      <c r="B356" s="3" t="s">
        <v>706</v>
      </c>
      <c r="C356" s="84">
        <v>44377</v>
      </c>
      <c r="D356" s="3" t="s">
        <v>392</v>
      </c>
      <c r="E356" s="3" t="s">
        <v>337</v>
      </c>
      <c r="F356" s="3" t="s">
        <v>337</v>
      </c>
      <c r="G356" s="70" t="s">
        <v>172</v>
      </c>
      <c r="H356" s="3" t="s">
        <v>343</v>
      </c>
      <c r="I356" s="3" t="s">
        <v>89</v>
      </c>
      <c r="J356" s="3">
        <v>0</v>
      </c>
      <c r="K356" s="3">
        <v>0</v>
      </c>
      <c r="L356" s="3">
        <v>13739.6</v>
      </c>
      <c r="M356" s="3">
        <v>8</v>
      </c>
      <c r="N356" s="3">
        <v>-13739.6</v>
      </c>
      <c r="O356" s="70">
        <v>13747.6</v>
      </c>
      <c r="P356" s="3">
        <v>0</v>
      </c>
      <c r="Q356" s="3">
        <v>0</v>
      </c>
      <c r="R356" s="3">
        <v>7.4999999999999997E-3</v>
      </c>
      <c r="S356" s="3">
        <v>103.11</v>
      </c>
      <c r="T356" s="3">
        <v>0.06</v>
      </c>
      <c r="U356" s="3">
        <v>-103.05</v>
      </c>
      <c r="V356" s="70" t="s">
        <v>333</v>
      </c>
      <c r="W356" s="3" t="s">
        <v>343</v>
      </c>
      <c r="X356" s="3" t="s">
        <v>337</v>
      </c>
      <c r="Y356" s="3" t="s">
        <v>337</v>
      </c>
    </row>
    <row r="357" spans="1:25" hidden="1" x14ac:dyDescent="0.2">
      <c r="A357" s="83" t="str">
        <f t="shared" si="5"/>
        <v>郑州政六街亿霖袋装沙司（后台）</v>
      </c>
      <c r="B357" s="3" t="s">
        <v>714</v>
      </c>
      <c r="C357" s="84">
        <v>44377</v>
      </c>
      <c r="D357" s="3" t="s">
        <v>392</v>
      </c>
      <c r="E357" s="3" t="s">
        <v>337</v>
      </c>
      <c r="F357" s="3" t="s">
        <v>337</v>
      </c>
      <c r="G357" s="70" t="s">
        <v>172</v>
      </c>
      <c r="H357" s="3" t="s">
        <v>343</v>
      </c>
      <c r="I357" s="3" t="s">
        <v>89</v>
      </c>
      <c r="J357" s="3">
        <v>6250</v>
      </c>
      <c r="K357" s="3">
        <v>10000</v>
      </c>
      <c r="L357" s="3">
        <v>24662.799999999999</v>
      </c>
      <c r="M357" s="3">
        <v>10</v>
      </c>
      <c r="N357" s="3">
        <v>-8412.7999999999993</v>
      </c>
      <c r="O357" s="70">
        <v>8422.7999999999993</v>
      </c>
      <c r="P357" s="3">
        <v>0</v>
      </c>
      <c r="Q357" s="3">
        <v>0</v>
      </c>
      <c r="R357" s="3">
        <v>6.0000000000000001E-3</v>
      </c>
      <c r="S357" s="3">
        <v>50.54</v>
      </c>
      <c r="T357" s="3">
        <v>0.06</v>
      </c>
      <c r="U357" s="3">
        <v>-50.48</v>
      </c>
      <c r="V357" s="70" t="s">
        <v>591</v>
      </c>
      <c r="W357" s="3" t="s">
        <v>343</v>
      </c>
      <c r="X357" s="3" t="s">
        <v>337</v>
      </c>
      <c r="Y357" s="3" t="s">
        <v>337</v>
      </c>
    </row>
    <row r="358" spans="1:25" hidden="1" x14ac:dyDescent="0.2">
      <c r="A358" s="83" t="str">
        <f t="shared" si="5"/>
        <v>郑州政六街可乐糖浆</v>
      </c>
      <c r="B358" s="3" t="s">
        <v>714</v>
      </c>
      <c r="C358" s="84">
        <v>44377</v>
      </c>
      <c r="D358" s="3" t="s">
        <v>393</v>
      </c>
      <c r="E358" s="3" t="s">
        <v>337</v>
      </c>
      <c r="F358" s="3" t="s">
        <v>337</v>
      </c>
      <c r="G358" s="70" t="s">
        <v>66</v>
      </c>
      <c r="H358" s="3" t="s">
        <v>394</v>
      </c>
      <c r="I358" s="3" t="s">
        <v>89</v>
      </c>
      <c r="J358" s="3">
        <v>50750</v>
      </c>
      <c r="K358" s="3">
        <v>311460</v>
      </c>
      <c r="L358" s="3">
        <v>329057.2</v>
      </c>
      <c r="M358" s="3">
        <v>33002</v>
      </c>
      <c r="N358" s="3">
        <v>33152.800000000003</v>
      </c>
      <c r="O358" s="70">
        <v>-150.80000000000001</v>
      </c>
      <c r="P358" s="3">
        <v>41175.199999999997</v>
      </c>
      <c r="Q358" s="3">
        <v>0</v>
      </c>
      <c r="R358" s="3">
        <v>1.0321E-2</v>
      </c>
      <c r="S358" s="3">
        <v>-1.56</v>
      </c>
      <c r="T358" s="3">
        <v>340.63</v>
      </c>
      <c r="U358" s="3">
        <v>342.17</v>
      </c>
      <c r="V358" s="70" t="s">
        <v>591</v>
      </c>
      <c r="W358" s="3" t="s">
        <v>343</v>
      </c>
      <c r="X358" s="3" t="s">
        <v>337</v>
      </c>
      <c r="Y358" s="3" t="s">
        <v>337</v>
      </c>
    </row>
    <row r="359" spans="1:25" hidden="1" x14ac:dyDescent="0.2">
      <c r="A359" s="83" t="str">
        <f t="shared" si="5"/>
        <v>郑州瀚海海尚可乐糖浆</v>
      </c>
      <c r="B359" s="3" t="s">
        <v>706</v>
      </c>
      <c r="C359" s="84">
        <v>44377</v>
      </c>
      <c r="D359" s="3" t="s">
        <v>393</v>
      </c>
      <c r="E359" s="3" t="s">
        <v>337</v>
      </c>
      <c r="F359" s="3" t="s">
        <v>337</v>
      </c>
      <c r="G359" s="70" t="s">
        <v>66</v>
      </c>
      <c r="H359" s="3" t="s">
        <v>394</v>
      </c>
      <c r="I359" s="3" t="s">
        <v>89</v>
      </c>
      <c r="J359" s="3">
        <v>70625</v>
      </c>
      <c r="K359" s="3">
        <v>223875</v>
      </c>
      <c r="L359" s="3">
        <v>235357.13</v>
      </c>
      <c r="M359" s="3">
        <v>59750</v>
      </c>
      <c r="N359" s="3">
        <v>59142.87</v>
      </c>
      <c r="O359" s="70">
        <v>607.13</v>
      </c>
      <c r="P359" s="3">
        <v>29519.4</v>
      </c>
      <c r="Q359" s="3">
        <v>0</v>
      </c>
      <c r="R359" s="3">
        <v>1.0005E-2</v>
      </c>
      <c r="S359" s="3">
        <v>6.07</v>
      </c>
      <c r="T359" s="3">
        <v>597.78</v>
      </c>
      <c r="U359" s="3">
        <v>591.72</v>
      </c>
      <c r="V359" s="70" t="s">
        <v>333</v>
      </c>
      <c r="W359" s="3" t="s">
        <v>343</v>
      </c>
      <c r="X359" s="3" t="s">
        <v>337</v>
      </c>
      <c r="Y359" s="3" t="s">
        <v>337</v>
      </c>
    </row>
    <row r="360" spans="1:25" hidden="1" x14ac:dyDescent="0.2">
      <c r="A360" s="83" t="str">
        <f t="shared" si="5"/>
        <v>华山龙源可乐糖浆</v>
      </c>
      <c r="B360" s="3" t="s">
        <v>705</v>
      </c>
      <c r="C360" s="84">
        <v>44377</v>
      </c>
      <c r="D360" s="3" t="s">
        <v>393</v>
      </c>
      <c r="E360" s="3" t="s">
        <v>337</v>
      </c>
      <c r="F360" s="3" t="s">
        <v>337</v>
      </c>
      <c r="G360" s="70" t="s">
        <v>66</v>
      </c>
      <c r="H360" s="3" t="s">
        <v>394</v>
      </c>
      <c r="I360" s="3" t="s">
        <v>89</v>
      </c>
      <c r="J360" s="3">
        <v>31975</v>
      </c>
      <c r="K360" s="3">
        <v>124375</v>
      </c>
      <c r="L360" s="3">
        <v>109577.06</v>
      </c>
      <c r="M360" s="3">
        <v>46875</v>
      </c>
      <c r="N360" s="3">
        <v>46772.94</v>
      </c>
      <c r="O360" s="70">
        <v>102.06</v>
      </c>
      <c r="P360" s="3">
        <v>13842</v>
      </c>
      <c r="Q360" s="3">
        <v>0</v>
      </c>
      <c r="R360" s="3">
        <v>1.0005999999999999E-2</v>
      </c>
      <c r="S360" s="3">
        <v>1.02</v>
      </c>
      <c r="T360" s="3">
        <v>469.04</v>
      </c>
      <c r="U360" s="3">
        <v>468.01</v>
      </c>
      <c r="V360" s="70" t="s">
        <v>643</v>
      </c>
      <c r="W360" s="3" t="s">
        <v>343</v>
      </c>
      <c r="X360" s="3" t="s">
        <v>337</v>
      </c>
      <c r="Y360" s="3" t="s">
        <v>337</v>
      </c>
    </row>
    <row r="361" spans="1:25" hidden="1" x14ac:dyDescent="0.2">
      <c r="A361" s="83" t="str">
        <f t="shared" si="5"/>
        <v>郑州铁英街可乐糖浆</v>
      </c>
      <c r="B361" s="3" t="s">
        <v>707</v>
      </c>
      <c r="C361" s="84">
        <v>44377</v>
      </c>
      <c r="D361" s="3" t="s">
        <v>393</v>
      </c>
      <c r="E361" s="3" t="s">
        <v>337</v>
      </c>
      <c r="F361" s="3" t="s">
        <v>337</v>
      </c>
      <c r="G361" s="70" t="s">
        <v>66</v>
      </c>
      <c r="H361" s="3" t="s">
        <v>394</v>
      </c>
      <c r="I361" s="3" t="s">
        <v>89</v>
      </c>
      <c r="J361" s="3">
        <v>52000</v>
      </c>
      <c r="K361" s="3">
        <v>174125</v>
      </c>
      <c r="L361" s="3">
        <v>177390.3</v>
      </c>
      <c r="M361" s="3">
        <v>49950</v>
      </c>
      <c r="N361" s="3">
        <v>48734.7</v>
      </c>
      <c r="O361" s="70">
        <v>1215.3</v>
      </c>
      <c r="P361" s="3">
        <v>22383.599999999999</v>
      </c>
      <c r="Q361" s="3">
        <v>0</v>
      </c>
      <c r="R361" s="3">
        <v>1.0005E-2</v>
      </c>
      <c r="S361" s="3">
        <v>12.16</v>
      </c>
      <c r="T361" s="3">
        <v>499.73</v>
      </c>
      <c r="U361" s="3">
        <v>487.59</v>
      </c>
      <c r="V361" s="70" t="s">
        <v>592</v>
      </c>
      <c r="W361" s="3" t="s">
        <v>343</v>
      </c>
      <c r="X361" s="3" t="s">
        <v>337</v>
      </c>
      <c r="Y361" s="3" t="s">
        <v>337</v>
      </c>
    </row>
    <row r="362" spans="1:25" hidden="1" x14ac:dyDescent="0.2">
      <c r="A362" s="83" t="str">
        <f t="shared" si="5"/>
        <v>郑州西悦城可乐糖浆</v>
      </c>
      <c r="B362" s="3" t="s">
        <v>708</v>
      </c>
      <c r="C362" s="84">
        <v>44377</v>
      </c>
      <c r="D362" s="3" t="s">
        <v>393</v>
      </c>
      <c r="E362" s="3" t="s">
        <v>337</v>
      </c>
      <c r="F362" s="3" t="s">
        <v>337</v>
      </c>
      <c r="G362" s="70" t="s">
        <v>66</v>
      </c>
      <c r="H362" s="3" t="s">
        <v>394</v>
      </c>
      <c r="I362" s="3" t="s">
        <v>89</v>
      </c>
      <c r="J362" s="3">
        <v>50000</v>
      </c>
      <c r="K362" s="3">
        <v>273625</v>
      </c>
      <c r="L362" s="3">
        <v>304243.40999999997</v>
      </c>
      <c r="M362" s="3">
        <v>20000</v>
      </c>
      <c r="N362" s="3">
        <v>19381.59</v>
      </c>
      <c r="O362" s="70">
        <v>618.41</v>
      </c>
      <c r="P362" s="3">
        <v>38123.4</v>
      </c>
      <c r="Q362" s="3">
        <v>0</v>
      </c>
      <c r="R362" s="3">
        <v>1.0005999999999999E-2</v>
      </c>
      <c r="S362" s="3">
        <v>6.19</v>
      </c>
      <c r="T362" s="3">
        <v>200.11</v>
      </c>
      <c r="U362" s="3">
        <v>193.93</v>
      </c>
      <c r="V362" s="70" t="s">
        <v>332</v>
      </c>
      <c r="W362" s="3" t="s">
        <v>343</v>
      </c>
      <c r="X362" s="3" t="s">
        <v>337</v>
      </c>
      <c r="Y362" s="3" t="s">
        <v>337</v>
      </c>
    </row>
    <row r="363" spans="1:25" hidden="1" x14ac:dyDescent="0.2">
      <c r="A363" s="83" t="str">
        <f t="shared" si="5"/>
        <v>郑州康复中街可乐糖浆</v>
      </c>
      <c r="B363" s="3" t="s">
        <v>704</v>
      </c>
      <c r="C363" s="84">
        <v>44377</v>
      </c>
      <c r="D363" s="3" t="s">
        <v>393</v>
      </c>
      <c r="E363" s="3" t="s">
        <v>337</v>
      </c>
      <c r="F363" s="3" t="s">
        <v>337</v>
      </c>
      <c r="G363" s="70" t="s">
        <v>66</v>
      </c>
      <c r="H363" s="3" t="s">
        <v>394</v>
      </c>
      <c r="I363" s="3" t="s">
        <v>89</v>
      </c>
      <c r="J363" s="3">
        <v>24875</v>
      </c>
      <c r="K363" s="3">
        <v>279225</v>
      </c>
      <c r="L363" s="3">
        <v>321748.52</v>
      </c>
      <c r="M363" s="3">
        <v>0</v>
      </c>
      <c r="N363" s="3">
        <v>-17648.52</v>
      </c>
      <c r="O363" s="70">
        <v>17648.52</v>
      </c>
      <c r="P363" s="3">
        <v>40580</v>
      </c>
      <c r="Q363" s="3">
        <v>0</v>
      </c>
      <c r="R363" s="3">
        <v>1.0192E-2</v>
      </c>
      <c r="S363" s="3">
        <v>179.87</v>
      </c>
      <c r="T363" s="3">
        <v>0</v>
      </c>
      <c r="U363" s="3">
        <v>-179.87</v>
      </c>
      <c r="V363" s="70" t="s">
        <v>593</v>
      </c>
      <c r="W363" s="3" t="s">
        <v>343</v>
      </c>
      <c r="X363" s="3" t="s">
        <v>337</v>
      </c>
      <c r="Y363" s="3" t="s">
        <v>337</v>
      </c>
    </row>
    <row r="364" spans="1:25" hidden="1" x14ac:dyDescent="0.2">
      <c r="A364" s="83" t="str">
        <f t="shared" si="5"/>
        <v>新蔡水韵天街可乐糖浆</v>
      </c>
      <c r="B364" s="3" t="s">
        <v>703</v>
      </c>
      <c r="C364" s="84">
        <v>44377</v>
      </c>
      <c r="D364" s="3" t="s">
        <v>393</v>
      </c>
      <c r="E364" s="3" t="s">
        <v>337</v>
      </c>
      <c r="F364" s="3" t="s">
        <v>337</v>
      </c>
      <c r="G364" s="70" t="s">
        <v>66</v>
      </c>
      <c r="H364" s="3" t="s">
        <v>394</v>
      </c>
      <c r="I364" s="3" t="s">
        <v>89</v>
      </c>
      <c r="J364" s="3">
        <v>20000</v>
      </c>
      <c r="K364" s="3">
        <v>223875</v>
      </c>
      <c r="L364" s="3">
        <v>179440</v>
      </c>
      <c r="M364" s="3">
        <v>64750</v>
      </c>
      <c r="N364" s="3">
        <v>64435</v>
      </c>
      <c r="O364" s="70">
        <v>315</v>
      </c>
      <c r="P364" s="3">
        <v>22430</v>
      </c>
      <c r="Q364" s="3">
        <v>0</v>
      </c>
      <c r="R364" s="3">
        <v>1.0023000000000001E-2</v>
      </c>
      <c r="S364" s="3">
        <v>3.16</v>
      </c>
      <c r="T364" s="3">
        <v>648.98</v>
      </c>
      <c r="U364" s="3">
        <v>645.83000000000004</v>
      </c>
      <c r="V364" s="70" t="s">
        <v>335</v>
      </c>
      <c r="W364" s="3" t="s">
        <v>343</v>
      </c>
      <c r="X364" s="3" t="s">
        <v>337</v>
      </c>
      <c r="Y364" s="3" t="s">
        <v>337</v>
      </c>
    </row>
    <row r="365" spans="1:25" hidden="1" x14ac:dyDescent="0.2">
      <c r="A365" s="83" t="str">
        <f t="shared" si="5"/>
        <v>郑州盛华里可乐糖浆</v>
      </c>
      <c r="B365" s="3" t="s">
        <v>709</v>
      </c>
      <c r="C365" s="84">
        <v>44377</v>
      </c>
      <c r="D365" s="3" t="s">
        <v>393</v>
      </c>
      <c r="E365" s="3" t="s">
        <v>337</v>
      </c>
      <c r="F365" s="3" t="s">
        <v>337</v>
      </c>
      <c r="G365" s="70" t="s">
        <v>66</v>
      </c>
      <c r="H365" s="3" t="s">
        <v>394</v>
      </c>
      <c r="I365" s="3" t="s">
        <v>89</v>
      </c>
      <c r="J365" s="3">
        <v>130000</v>
      </c>
      <c r="K365" s="3">
        <v>24875</v>
      </c>
      <c r="L365" s="3">
        <v>112478.77</v>
      </c>
      <c r="M365" s="3">
        <v>42000</v>
      </c>
      <c r="N365" s="3">
        <v>42396.23</v>
      </c>
      <c r="O365" s="70">
        <v>-396.23</v>
      </c>
      <c r="P365" s="3">
        <v>14101.8</v>
      </c>
      <c r="Q365" s="3">
        <v>0</v>
      </c>
      <c r="R365" s="3">
        <v>1.0018000000000001E-2</v>
      </c>
      <c r="S365" s="3">
        <v>-3.97</v>
      </c>
      <c r="T365" s="3">
        <v>420.77</v>
      </c>
      <c r="U365" s="3">
        <v>424.73</v>
      </c>
      <c r="V365" s="70" t="s">
        <v>637</v>
      </c>
      <c r="W365" s="3" t="s">
        <v>343</v>
      </c>
      <c r="X365" s="3" t="s">
        <v>337</v>
      </c>
      <c r="Y365" s="3" t="s">
        <v>337</v>
      </c>
    </row>
    <row r="366" spans="1:25" hidden="1" x14ac:dyDescent="0.2">
      <c r="A366" s="83" t="str">
        <f t="shared" si="5"/>
        <v>滑县滑台可乐糖浆</v>
      </c>
      <c r="B366" s="3" t="s">
        <v>710</v>
      </c>
      <c r="C366" s="84">
        <v>44377</v>
      </c>
      <c r="D366" s="3" t="s">
        <v>393</v>
      </c>
      <c r="E366" s="3" t="s">
        <v>337</v>
      </c>
      <c r="F366" s="3" t="s">
        <v>337</v>
      </c>
      <c r="G366" s="70" t="s">
        <v>66</v>
      </c>
      <c r="H366" s="3" t="s">
        <v>394</v>
      </c>
      <c r="I366" s="3" t="s">
        <v>89</v>
      </c>
      <c r="J366" s="3">
        <v>30000</v>
      </c>
      <c r="K366" s="3">
        <v>199000</v>
      </c>
      <c r="L366" s="3">
        <v>224908.94</v>
      </c>
      <c r="M366" s="3">
        <v>20000</v>
      </c>
      <c r="N366" s="3">
        <v>4091.06</v>
      </c>
      <c r="O366" s="70">
        <v>15908.94</v>
      </c>
      <c r="P366" s="3">
        <v>28177.200000000001</v>
      </c>
      <c r="Q366" s="3">
        <v>0</v>
      </c>
      <c r="R366" s="3">
        <v>1.0012999999999999E-2</v>
      </c>
      <c r="S366" s="3">
        <v>159.30000000000001</v>
      </c>
      <c r="T366" s="3">
        <v>200.25</v>
      </c>
      <c r="U366" s="3">
        <v>40.96</v>
      </c>
      <c r="V366" s="70" t="s">
        <v>639</v>
      </c>
      <c r="W366" s="3" t="s">
        <v>343</v>
      </c>
      <c r="X366" s="3" t="s">
        <v>337</v>
      </c>
      <c r="Y366" s="3" t="s">
        <v>337</v>
      </c>
    </row>
    <row r="367" spans="1:25" hidden="1" x14ac:dyDescent="0.2">
      <c r="A367" s="83" t="str">
        <f t="shared" si="5"/>
        <v>郑州裕华可乐糖浆</v>
      </c>
      <c r="B367" s="3" t="s">
        <v>711</v>
      </c>
      <c r="C367" s="84">
        <v>44377</v>
      </c>
      <c r="D367" s="3" t="s">
        <v>393</v>
      </c>
      <c r="E367" s="3" t="s">
        <v>337</v>
      </c>
      <c r="F367" s="3" t="s">
        <v>337</v>
      </c>
      <c r="G367" s="70" t="s">
        <v>66</v>
      </c>
      <c r="H367" s="3" t="s">
        <v>394</v>
      </c>
      <c r="I367" s="3" t="s">
        <v>89</v>
      </c>
      <c r="J367" s="3">
        <v>28500</v>
      </c>
      <c r="K367" s="3">
        <v>149250</v>
      </c>
      <c r="L367" s="3">
        <v>144650.51</v>
      </c>
      <c r="M367" s="3">
        <v>20000</v>
      </c>
      <c r="N367" s="3">
        <v>33099.49</v>
      </c>
      <c r="O367" s="70">
        <v>-13099.49</v>
      </c>
      <c r="P367" s="3">
        <v>18143.8</v>
      </c>
      <c r="Q367" s="3">
        <v>0</v>
      </c>
      <c r="R367" s="3">
        <v>1.0005E-2</v>
      </c>
      <c r="S367" s="3">
        <v>-131.06</v>
      </c>
      <c r="T367" s="3">
        <v>200.1</v>
      </c>
      <c r="U367" s="3">
        <v>331.16</v>
      </c>
      <c r="V367" s="70" t="s">
        <v>641</v>
      </c>
      <c r="W367" s="3" t="s">
        <v>343</v>
      </c>
      <c r="X367" s="3" t="s">
        <v>337</v>
      </c>
      <c r="Y367" s="3" t="s">
        <v>337</v>
      </c>
    </row>
    <row r="368" spans="1:25" hidden="1" x14ac:dyDescent="0.2">
      <c r="A368" s="83" t="str">
        <f t="shared" si="5"/>
        <v>清丰凤鸣可乐糖浆</v>
      </c>
      <c r="B368" s="3" t="s">
        <v>713</v>
      </c>
      <c r="C368" s="84">
        <v>44377</v>
      </c>
      <c r="D368" s="3" t="s">
        <v>393</v>
      </c>
      <c r="E368" s="3" t="s">
        <v>337</v>
      </c>
      <c r="F368" s="3" t="s">
        <v>337</v>
      </c>
      <c r="G368" s="70" t="s">
        <v>66</v>
      </c>
      <c r="H368" s="3" t="s">
        <v>394</v>
      </c>
      <c r="I368" s="3" t="s">
        <v>89</v>
      </c>
      <c r="J368" s="3">
        <v>73000</v>
      </c>
      <c r="K368" s="3">
        <v>99500</v>
      </c>
      <c r="L368" s="3">
        <v>119854.74</v>
      </c>
      <c r="M368" s="3">
        <v>52500</v>
      </c>
      <c r="N368" s="3">
        <v>52645.26</v>
      </c>
      <c r="O368" s="70">
        <v>-145.26</v>
      </c>
      <c r="P368" s="3">
        <v>15097.2</v>
      </c>
      <c r="Q368" s="3">
        <v>0</v>
      </c>
      <c r="R368" s="3">
        <v>1.0005999999999999E-2</v>
      </c>
      <c r="S368" s="3">
        <v>-1.45</v>
      </c>
      <c r="T368" s="3">
        <v>525.29</v>
      </c>
      <c r="U368" s="3">
        <v>526.77</v>
      </c>
      <c r="V368" s="70" t="s">
        <v>334</v>
      </c>
      <c r="W368" s="3" t="s">
        <v>343</v>
      </c>
      <c r="X368" s="3" t="s">
        <v>337</v>
      </c>
      <c r="Y368" s="3" t="s">
        <v>337</v>
      </c>
    </row>
    <row r="369" spans="1:25" hidden="1" x14ac:dyDescent="0.2">
      <c r="A369" s="83" t="str">
        <f t="shared" si="5"/>
        <v>方城锦城国际可乐糖浆</v>
      </c>
      <c r="B369" s="3" t="s">
        <v>712</v>
      </c>
      <c r="C369" s="84">
        <v>44377</v>
      </c>
      <c r="D369" s="3" t="s">
        <v>393</v>
      </c>
      <c r="E369" s="3" t="s">
        <v>337</v>
      </c>
      <c r="F369" s="3" t="s">
        <v>337</v>
      </c>
      <c r="G369" s="70" t="s">
        <v>66</v>
      </c>
      <c r="H369" s="3" t="s">
        <v>394</v>
      </c>
      <c r="I369" s="3" t="s">
        <v>89</v>
      </c>
      <c r="J369" s="3">
        <v>14700</v>
      </c>
      <c r="K369" s="3">
        <v>223875</v>
      </c>
      <c r="L369" s="3">
        <v>202472.49</v>
      </c>
      <c r="M369" s="3">
        <v>37000</v>
      </c>
      <c r="N369" s="3">
        <v>36102.51</v>
      </c>
      <c r="O369" s="70">
        <v>897.49</v>
      </c>
      <c r="P369" s="3">
        <v>25356.2</v>
      </c>
      <c r="Q369" s="3">
        <v>0</v>
      </c>
      <c r="R369" s="3">
        <v>1.0005E-2</v>
      </c>
      <c r="S369" s="3">
        <v>8.98</v>
      </c>
      <c r="T369" s="3">
        <v>370.19</v>
      </c>
      <c r="U369" s="3">
        <v>361.21</v>
      </c>
      <c r="V369" s="70" t="s">
        <v>594</v>
      </c>
      <c r="W369" s="3" t="s">
        <v>343</v>
      </c>
      <c r="X369" s="3" t="s">
        <v>337</v>
      </c>
      <c r="Y369" s="3" t="s">
        <v>337</v>
      </c>
    </row>
    <row r="370" spans="1:25" hidden="1" x14ac:dyDescent="0.2">
      <c r="A370" s="83" t="str">
        <f t="shared" si="5"/>
        <v>方城锦城国际立顿香浓原味奶茶</v>
      </c>
      <c r="B370" s="3" t="s">
        <v>712</v>
      </c>
      <c r="C370" s="84">
        <v>44377</v>
      </c>
      <c r="D370" s="3" t="s">
        <v>395</v>
      </c>
      <c r="E370" s="3" t="s">
        <v>337</v>
      </c>
      <c r="F370" s="3" t="s">
        <v>337</v>
      </c>
      <c r="G370" s="70" t="s">
        <v>396</v>
      </c>
      <c r="H370" s="3" t="s">
        <v>397</v>
      </c>
      <c r="I370" s="3" t="s">
        <v>398</v>
      </c>
      <c r="J370" s="3">
        <v>0</v>
      </c>
      <c r="K370" s="3">
        <v>120</v>
      </c>
      <c r="L370" s="3">
        <v>6</v>
      </c>
      <c r="M370" s="3">
        <v>114</v>
      </c>
      <c r="N370" s="3">
        <v>114</v>
      </c>
      <c r="O370" s="70">
        <v>0</v>
      </c>
      <c r="P370" s="3">
        <v>0</v>
      </c>
      <c r="Q370" s="3">
        <v>0</v>
      </c>
      <c r="R370" s="3">
        <v>1.6419299999999999</v>
      </c>
      <c r="S370" s="3">
        <v>0</v>
      </c>
      <c r="T370" s="3">
        <v>187.18</v>
      </c>
      <c r="U370" s="3">
        <v>187.18</v>
      </c>
      <c r="V370" s="70" t="s">
        <v>594</v>
      </c>
      <c r="W370" s="3" t="s">
        <v>343</v>
      </c>
      <c r="X370" s="3" t="s">
        <v>337</v>
      </c>
      <c r="Y370" s="3" t="s">
        <v>337</v>
      </c>
    </row>
    <row r="371" spans="1:25" hidden="1" x14ac:dyDescent="0.2">
      <c r="A371" s="83" t="str">
        <f t="shared" si="5"/>
        <v>清丰凤鸣立顿香浓原味奶茶</v>
      </c>
      <c r="B371" s="3" t="s">
        <v>713</v>
      </c>
      <c r="C371" s="84">
        <v>44377</v>
      </c>
      <c r="D371" s="3" t="s">
        <v>395</v>
      </c>
      <c r="E371" s="3" t="s">
        <v>337</v>
      </c>
      <c r="F371" s="3" t="s">
        <v>337</v>
      </c>
      <c r="G371" s="70" t="s">
        <v>396</v>
      </c>
      <c r="H371" s="3" t="s">
        <v>397</v>
      </c>
      <c r="I371" s="3" t="s">
        <v>398</v>
      </c>
      <c r="J371" s="3">
        <v>72</v>
      </c>
      <c r="K371" s="3">
        <v>0</v>
      </c>
      <c r="L371" s="3">
        <v>34</v>
      </c>
      <c r="M371" s="3">
        <v>37</v>
      </c>
      <c r="N371" s="3">
        <v>38</v>
      </c>
      <c r="O371" s="70">
        <v>-1</v>
      </c>
      <c r="P371" s="3">
        <v>0</v>
      </c>
      <c r="Q371" s="3">
        <v>0</v>
      </c>
      <c r="R371" s="3">
        <v>1.6418919999999999</v>
      </c>
      <c r="S371" s="3">
        <v>-1.64</v>
      </c>
      <c r="T371" s="3">
        <v>60.75</v>
      </c>
      <c r="U371" s="3">
        <v>62.39</v>
      </c>
      <c r="V371" s="70" t="s">
        <v>334</v>
      </c>
      <c r="W371" s="3" t="s">
        <v>343</v>
      </c>
      <c r="X371" s="3" t="s">
        <v>337</v>
      </c>
      <c r="Y371" s="3" t="s">
        <v>337</v>
      </c>
    </row>
    <row r="372" spans="1:25" hidden="1" x14ac:dyDescent="0.2">
      <c r="A372" s="83" t="str">
        <f t="shared" si="5"/>
        <v>郑州裕华立顿香浓原味奶茶</v>
      </c>
      <c r="B372" s="3" t="s">
        <v>711</v>
      </c>
      <c r="C372" s="84">
        <v>44377</v>
      </c>
      <c r="D372" s="3" t="s">
        <v>395</v>
      </c>
      <c r="E372" s="3" t="s">
        <v>337</v>
      </c>
      <c r="F372" s="3" t="s">
        <v>337</v>
      </c>
      <c r="G372" s="70" t="s">
        <v>396</v>
      </c>
      <c r="H372" s="3" t="s">
        <v>397</v>
      </c>
      <c r="I372" s="3" t="s">
        <v>398</v>
      </c>
      <c r="J372" s="3">
        <v>100</v>
      </c>
      <c r="K372" s="3">
        <v>0</v>
      </c>
      <c r="L372" s="3">
        <v>22</v>
      </c>
      <c r="M372" s="3">
        <v>72</v>
      </c>
      <c r="N372" s="3">
        <v>78</v>
      </c>
      <c r="O372" s="70">
        <v>-6</v>
      </c>
      <c r="P372" s="3">
        <v>0</v>
      </c>
      <c r="Q372" s="3">
        <v>0</v>
      </c>
      <c r="R372" s="3">
        <v>1.642083</v>
      </c>
      <c r="S372" s="3">
        <v>-9.85</v>
      </c>
      <c r="T372" s="3">
        <v>118.23</v>
      </c>
      <c r="U372" s="3">
        <v>128.08000000000001</v>
      </c>
      <c r="V372" s="70" t="s">
        <v>641</v>
      </c>
      <c r="W372" s="3" t="s">
        <v>343</v>
      </c>
      <c r="X372" s="3" t="s">
        <v>337</v>
      </c>
      <c r="Y372" s="3" t="s">
        <v>337</v>
      </c>
    </row>
    <row r="373" spans="1:25" hidden="1" x14ac:dyDescent="0.2">
      <c r="A373" s="83" t="str">
        <f t="shared" si="5"/>
        <v>滑县滑台立顿香浓原味奶茶</v>
      </c>
      <c r="B373" s="3" t="s">
        <v>710</v>
      </c>
      <c r="C373" s="84">
        <v>44377</v>
      </c>
      <c r="D373" s="3" t="s">
        <v>395</v>
      </c>
      <c r="E373" s="3" t="s">
        <v>337</v>
      </c>
      <c r="F373" s="3" t="s">
        <v>337</v>
      </c>
      <c r="G373" s="70" t="s">
        <v>396</v>
      </c>
      <c r="H373" s="3" t="s">
        <v>397</v>
      </c>
      <c r="I373" s="3" t="s">
        <v>398</v>
      </c>
      <c r="J373" s="3">
        <v>2</v>
      </c>
      <c r="K373" s="3">
        <v>120</v>
      </c>
      <c r="L373" s="3">
        <v>13</v>
      </c>
      <c r="M373" s="3">
        <v>109</v>
      </c>
      <c r="N373" s="3">
        <v>109</v>
      </c>
      <c r="O373" s="70">
        <v>0</v>
      </c>
      <c r="P373" s="3">
        <v>0</v>
      </c>
      <c r="Q373" s="3">
        <v>0</v>
      </c>
      <c r="R373" s="3">
        <v>1.643119</v>
      </c>
      <c r="S373" s="3">
        <v>0</v>
      </c>
      <c r="T373" s="3">
        <v>179.1</v>
      </c>
      <c r="U373" s="3">
        <v>179.1</v>
      </c>
      <c r="V373" s="70" t="s">
        <v>639</v>
      </c>
      <c r="W373" s="3" t="s">
        <v>343</v>
      </c>
      <c r="X373" s="3" t="s">
        <v>337</v>
      </c>
      <c r="Y373" s="3" t="s">
        <v>337</v>
      </c>
    </row>
    <row r="374" spans="1:25" hidden="1" x14ac:dyDescent="0.2">
      <c r="A374" s="83" t="str">
        <f t="shared" si="5"/>
        <v>郑州盛华里立顿香浓原味奶茶</v>
      </c>
      <c r="B374" s="3" t="s">
        <v>709</v>
      </c>
      <c r="C374" s="84">
        <v>44377</v>
      </c>
      <c r="D374" s="3" t="s">
        <v>395</v>
      </c>
      <c r="E374" s="3" t="s">
        <v>337</v>
      </c>
      <c r="F374" s="3" t="s">
        <v>337</v>
      </c>
      <c r="G374" s="70" t="s">
        <v>396</v>
      </c>
      <c r="H374" s="3" t="s">
        <v>397</v>
      </c>
      <c r="I374" s="3" t="s">
        <v>398</v>
      </c>
      <c r="J374" s="3">
        <v>0</v>
      </c>
      <c r="K374" s="3">
        <v>120</v>
      </c>
      <c r="L374" s="3">
        <v>4</v>
      </c>
      <c r="M374" s="3">
        <v>116</v>
      </c>
      <c r="N374" s="3">
        <v>116</v>
      </c>
      <c r="O374" s="70">
        <v>0</v>
      </c>
      <c r="P374" s="3">
        <v>0</v>
      </c>
      <c r="Q374" s="3">
        <v>0</v>
      </c>
      <c r="R374" s="3">
        <v>1.641983</v>
      </c>
      <c r="S374" s="3">
        <v>0</v>
      </c>
      <c r="T374" s="3">
        <v>190.47</v>
      </c>
      <c r="U374" s="3">
        <v>190.47</v>
      </c>
      <c r="V374" s="70" t="s">
        <v>637</v>
      </c>
      <c r="W374" s="3" t="s">
        <v>343</v>
      </c>
      <c r="X374" s="3" t="s">
        <v>337</v>
      </c>
      <c r="Y374" s="3" t="s">
        <v>337</v>
      </c>
    </row>
    <row r="375" spans="1:25" hidden="1" x14ac:dyDescent="0.2">
      <c r="A375" s="83" t="str">
        <f t="shared" si="5"/>
        <v>新蔡水韵天街立顿香浓原味奶茶</v>
      </c>
      <c r="B375" s="3" t="s">
        <v>703</v>
      </c>
      <c r="C375" s="84">
        <v>44377</v>
      </c>
      <c r="D375" s="3" t="s">
        <v>395</v>
      </c>
      <c r="E375" s="3" t="s">
        <v>337</v>
      </c>
      <c r="F375" s="3" t="s">
        <v>337</v>
      </c>
      <c r="G375" s="70" t="s">
        <v>396</v>
      </c>
      <c r="H375" s="3" t="s">
        <v>397</v>
      </c>
      <c r="I375" s="3" t="s">
        <v>398</v>
      </c>
      <c r="J375" s="3">
        <v>77</v>
      </c>
      <c r="K375" s="3">
        <v>0</v>
      </c>
      <c r="L375" s="3">
        <v>47</v>
      </c>
      <c r="M375" s="3">
        <v>30</v>
      </c>
      <c r="N375" s="3">
        <v>30</v>
      </c>
      <c r="O375" s="70">
        <v>0</v>
      </c>
      <c r="P375" s="3">
        <v>0</v>
      </c>
      <c r="Q375" s="3">
        <v>0</v>
      </c>
      <c r="R375" s="3">
        <v>1.6419999999999999</v>
      </c>
      <c r="S375" s="3">
        <v>0</v>
      </c>
      <c r="T375" s="3">
        <v>49.26</v>
      </c>
      <c r="U375" s="3">
        <v>49.26</v>
      </c>
      <c r="V375" s="70" t="s">
        <v>335</v>
      </c>
      <c r="W375" s="3" t="s">
        <v>343</v>
      </c>
      <c r="X375" s="3" t="s">
        <v>337</v>
      </c>
      <c r="Y375" s="3" t="s">
        <v>337</v>
      </c>
    </row>
    <row r="376" spans="1:25" hidden="1" x14ac:dyDescent="0.2">
      <c r="A376" s="83" t="str">
        <f t="shared" si="5"/>
        <v>郑州西悦城立顿香浓原味奶茶</v>
      </c>
      <c r="B376" s="3" t="s">
        <v>708</v>
      </c>
      <c r="C376" s="84">
        <v>44377</v>
      </c>
      <c r="D376" s="3" t="s">
        <v>395</v>
      </c>
      <c r="E376" s="3" t="s">
        <v>337</v>
      </c>
      <c r="F376" s="3" t="s">
        <v>337</v>
      </c>
      <c r="G376" s="70" t="s">
        <v>396</v>
      </c>
      <c r="H376" s="3" t="s">
        <v>397</v>
      </c>
      <c r="I376" s="3" t="s">
        <v>398</v>
      </c>
      <c r="J376" s="3">
        <v>176</v>
      </c>
      <c r="K376" s="3">
        <v>0</v>
      </c>
      <c r="L376" s="3">
        <v>28</v>
      </c>
      <c r="M376" s="3">
        <v>148</v>
      </c>
      <c r="N376" s="3">
        <v>148</v>
      </c>
      <c r="O376" s="70">
        <v>0</v>
      </c>
      <c r="P376" s="3">
        <v>0</v>
      </c>
      <c r="Q376" s="3">
        <v>0</v>
      </c>
      <c r="R376" s="3">
        <v>1.6418919999999999</v>
      </c>
      <c r="S376" s="3">
        <v>0</v>
      </c>
      <c r="T376" s="3">
        <v>243</v>
      </c>
      <c r="U376" s="3">
        <v>243</v>
      </c>
      <c r="V376" s="70" t="s">
        <v>332</v>
      </c>
      <c r="W376" s="3" t="s">
        <v>343</v>
      </c>
      <c r="X376" s="3" t="s">
        <v>337</v>
      </c>
      <c r="Y376" s="3" t="s">
        <v>337</v>
      </c>
    </row>
    <row r="377" spans="1:25" hidden="1" x14ac:dyDescent="0.2">
      <c r="A377" s="83" t="str">
        <f t="shared" si="5"/>
        <v>华山龙源立顿香浓原味奶茶</v>
      </c>
      <c r="B377" s="3" t="s">
        <v>705</v>
      </c>
      <c r="C377" s="84">
        <v>44377</v>
      </c>
      <c r="D377" s="3" t="s">
        <v>395</v>
      </c>
      <c r="E377" s="3" t="s">
        <v>337</v>
      </c>
      <c r="F377" s="3" t="s">
        <v>337</v>
      </c>
      <c r="G377" s="70" t="s">
        <v>396</v>
      </c>
      <c r="H377" s="3" t="s">
        <v>397</v>
      </c>
      <c r="I377" s="3" t="s">
        <v>398</v>
      </c>
      <c r="J377" s="3">
        <v>60</v>
      </c>
      <c r="K377" s="3">
        <v>0</v>
      </c>
      <c r="L377" s="3">
        <v>24</v>
      </c>
      <c r="M377" s="3">
        <v>36</v>
      </c>
      <c r="N377" s="3">
        <v>36</v>
      </c>
      <c r="O377" s="70">
        <v>0</v>
      </c>
      <c r="P377" s="3">
        <v>0</v>
      </c>
      <c r="Q377" s="3">
        <v>0</v>
      </c>
      <c r="R377" s="3">
        <v>1.6419440000000001</v>
      </c>
      <c r="S377" s="3">
        <v>0</v>
      </c>
      <c r="T377" s="3">
        <v>59.11</v>
      </c>
      <c r="U377" s="3">
        <v>59.11</v>
      </c>
      <c r="V377" s="70" t="s">
        <v>643</v>
      </c>
      <c r="W377" s="3" t="s">
        <v>343</v>
      </c>
      <c r="X377" s="3" t="s">
        <v>337</v>
      </c>
      <c r="Y377" s="3" t="s">
        <v>337</v>
      </c>
    </row>
    <row r="378" spans="1:25" hidden="1" x14ac:dyDescent="0.2">
      <c r="A378" s="83" t="str">
        <f t="shared" si="5"/>
        <v>郑州政六街立顿香浓原味奶茶</v>
      </c>
      <c r="B378" s="3" t="s">
        <v>714</v>
      </c>
      <c r="C378" s="84">
        <v>44377</v>
      </c>
      <c r="D378" s="3" t="s">
        <v>395</v>
      </c>
      <c r="E378" s="3" t="s">
        <v>337</v>
      </c>
      <c r="F378" s="3" t="s">
        <v>337</v>
      </c>
      <c r="G378" s="70" t="s">
        <v>396</v>
      </c>
      <c r="H378" s="3" t="s">
        <v>397</v>
      </c>
      <c r="I378" s="3" t="s">
        <v>398</v>
      </c>
      <c r="J378" s="3">
        <v>115</v>
      </c>
      <c r="K378" s="3">
        <v>0</v>
      </c>
      <c r="L378" s="3">
        <v>8</v>
      </c>
      <c r="M378" s="3">
        <v>107</v>
      </c>
      <c r="N378" s="3">
        <v>107</v>
      </c>
      <c r="O378" s="70">
        <v>0</v>
      </c>
      <c r="P378" s="3">
        <v>0</v>
      </c>
      <c r="Q378" s="3">
        <v>0</v>
      </c>
      <c r="R378" s="3">
        <v>1.6419630000000001</v>
      </c>
      <c r="S378" s="3">
        <v>0</v>
      </c>
      <c r="T378" s="3">
        <v>175.69</v>
      </c>
      <c r="U378" s="3">
        <v>175.69</v>
      </c>
      <c r="V378" s="70" t="s">
        <v>591</v>
      </c>
      <c r="W378" s="3" t="s">
        <v>343</v>
      </c>
      <c r="X378" s="3" t="s">
        <v>337</v>
      </c>
      <c r="Y378" s="3" t="s">
        <v>337</v>
      </c>
    </row>
    <row r="379" spans="1:25" hidden="1" x14ac:dyDescent="0.2">
      <c r="A379" s="83" t="str">
        <f t="shared" si="5"/>
        <v>郑州政六街奶茶杯盖</v>
      </c>
      <c r="B379" s="3" t="s">
        <v>714</v>
      </c>
      <c r="C379" s="84">
        <v>44377</v>
      </c>
      <c r="D379" s="3" t="s">
        <v>399</v>
      </c>
      <c r="E379" s="3" t="s">
        <v>337</v>
      </c>
      <c r="F379" s="3" t="s">
        <v>337</v>
      </c>
      <c r="G379" s="70" t="s">
        <v>400</v>
      </c>
      <c r="H379" s="3" t="s">
        <v>401</v>
      </c>
      <c r="I379" s="3" t="s">
        <v>339</v>
      </c>
      <c r="J379" s="3">
        <v>0</v>
      </c>
      <c r="K379" s="3">
        <v>0</v>
      </c>
      <c r="L379" s="3">
        <v>123</v>
      </c>
      <c r="M379" s="3">
        <v>0</v>
      </c>
      <c r="N379" s="3">
        <v>-123</v>
      </c>
      <c r="O379" s="70">
        <v>123</v>
      </c>
      <c r="P379" s="3">
        <v>0</v>
      </c>
      <c r="Q379" s="3">
        <v>0</v>
      </c>
      <c r="R379" s="3">
        <v>5.5599999999999997E-2</v>
      </c>
      <c r="S379" s="3">
        <v>6.84</v>
      </c>
      <c r="T379" s="3">
        <v>0</v>
      </c>
      <c r="U379" s="3">
        <v>-6.84</v>
      </c>
      <c r="V379" s="70" t="s">
        <v>591</v>
      </c>
      <c r="W379" s="3" t="s">
        <v>343</v>
      </c>
      <c r="X379" s="3" t="s">
        <v>337</v>
      </c>
      <c r="Y379" s="3" t="s">
        <v>337</v>
      </c>
    </row>
    <row r="380" spans="1:25" hidden="1" x14ac:dyDescent="0.2">
      <c r="A380" s="83" t="str">
        <f t="shared" si="5"/>
        <v>华山龙源奶茶杯盖</v>
      </c>
      <c r="B380" s="3" t="s">
        <v>705</v>
      </c>
      <c r="C380" s="84">
        <v>44377</v>
      </c>
      <c r="D380" s="3" t="s">
        <v>399</v>
      </c>
      <c r="E380" s="3" t="s">
        <v>337</v>
      </c>
      <c r="F380" s="3" t="s">
        <v>337</v>
      </c>
      <c r="G380" s="70" t="s">
        <v>400</v>
      </c>
      <c r="H380" s="3" t="s">
        <v>401</v>
      </c>
      <c r="I380" s="3" t="s">
        <v>339</v>
      </c>
      <c r="J380" s="3">
        <v>135</v>
      </c>
      <c r="K380" s="3">
        <v>0</v>
      </c>
      <c r="L380" s="3">
        <v>228</v>
      </c>
      <c r="M380" s="3">
        <v>71</v>
      </c>
      <c r="N380" s="3">
        <v>-93</v>
      </c>
      <c r="O380" s="70">
        <v>164</v>
      </c>
      <c r="P380" s="3">
        <v>0</v>
      </c>
      <c r="Q380" s="3">
        <v>0</v>
      </c>
      <c r="R380" s="3">
        <v>4.8731999999999998E-2</v>
      </c>
      <c r="S380" s="3">
        <v>7.99</v>
      </c>
      <c r="T380" s="3">
        <v>3.46</v>
      </c>
      <c r="U380" s="3">
        <v>-4.53</v>
      </c>
      <c r="V380" s="70" t="s">
        <v>643</v>
      </c>
      <c r="W380" s="3" t="s">
        <v>343</v>
      </c>
      <c r="X380" s="3" t="s">
        <v>337</v>
      </c>
      <c r="Y380" s="3" t="s">
        <v>337</v>
      </c>
    </row>
    <row r="381" spans="1:25" hidden="1" x14ac:dyDescent="0.2">
      <c r="A381" s="83" t="str">
        <f t="shared" si="5"/>
        <v>郑州瀚海海尚奶茶杯盖</v>
      </c>
      <c r="B381" s="3" t="s">
        <v>706</v>
      </c>
      <c r="C381" s="84">
        <v>44377</v>
      </c>
      <c r="D381" s="3" t="s">
        <v>399</v>
      </c>
      <c r="E381" s="3" t="s">
        <v>337</v>
      </c>
      <c r="F381" s="3" t="s">
        <v>337</v>
      </c>
      <c r="G381" s="70" t="s">
        <v>400</v>
      </c>
      <c r="H381" s="3" t="s">
        <v>401</v>
      </c>
      <c r="I381" s="3" t="s">
        <v>339</v>
      </c>
      <c r="J381" s="3">
        <v>425</v>
      </c>
      <c r="K381" s="3">
        <v>0</v>
      </c>
      <c r="L381" s="3">
        <v>244</v>
      </c>
      <c r="M381" s="3">
        <v>300</v>
      </c>
      <c r="N381" s="3">
        <v>181</v>
      </c>
      <c r="O381" s="70">
        <v>119</v>
      </c>
      <c r="P381" s="3">
        <v>0</v>
      </c>
      <c r="Q381" s="3">
        <v>0</v>
      </c>
      <c r="R381" s="3">
        <v>4.9000000000000002E-2</v>
      </c>
      <c r="S381" s="3">
        <v>5.83</v>
      </c>
      <c r="T381" s="3">
        <v>14.7</v>
      </c>
      <c r="U381" s="3">
        <v>8.8699999999999992</v>
      </c>
      <c r="V381" s="70" t="s">
        <v>333</v>
      </c>
      <c r="W381" s="3" t="s">
        <v>343</v>
      </c>
      <c r="X381" s="3" t="s">
        <v>337</v>
      </c>
      <c r="Y381" s="3" t="s">
        <v>337</v>
      </c>
    </row>
    <row r="382" spans="1:25" hidden="1" x14ac:dyDescent="0.2">
      <c r="A382" s="83" t="str">
        <f t="shared" si="5"/>
        <v>郑州铁英街奶茶杯盖</v>
      </c>
      <c r="B382" s="3" t="s">
        <v>707</v>
      </c>
      <c r="C382" s="84">
        <v>44377</v>
      </c>
      <c r="D382" s="3" t="s">
        <v>399</v>
      </c>
      <c r="E382" s="3" t="s">
        <v>337</v>
      </c>
      <c r="F382" s="3" t="s">
        <v>337</v>
      </c>
      <c r="G382" s="70" t="s">
        <v>400</v>
      </c>
      <c r="H382" s="3" t="s">
        <v>401</v>
      </c>
      <c r="I382" s="3" t="s">
        <v>339</v>
      </c>
      <c r="J382" s="3">
        <v>348</v>
      </c>
      <c r="K382" s="3">
        <v>0</v>
      </c>
      <c r="L382" s="3">
        <v>91</v>
      </c>
      <c r="M382" s="3">
        <v>314</v>
      </c>
      <c r="N382" s="3">
        <v>257</v>
      </c>
      <c r="O382" s="70">
        <v>57</v>
      </c>
      <c r="P382" s="3">
        <v>0</v>
      </c>
      <c r="Q382" s="3">
        <v>0</v>
      </c>
      <c r="R382" s="3">
        <v>4.8758000000000003E-2</v>
      </c>
      <c r="S382" s="3">
        <v>2.78</v>
      </c>
      <c r="T382" s="3">
        <v>15.31</v>
      </c>
      <c r="U382" s="3">
        <v>12.53</v>
      </c>
      <c r="V382" s="70" t="s">
        <v>592</v>
      </c>
      <c r="W382" s="3" t="s">
        <v>343</v>
      </c>
      <c r="X382" s="3" t="s">
        <v>337</v>
      </c>
      <c r="Y382" s="3" t="s">
        <v>337</v>
      </c>
    </row>
    <row r="383" spans="1:25" hidden="1" x14ac:dyDescent="0.2">
      <c r="A383" s="83" t="str">
        <f t="shared" si="5"/>
        <v>郑州西悦城奶茶杯盖</v>
      </c>
      <c r="B383" s="3" t="s">
        <v>708</v>
      </c>
      <c r="C383" s="84">
        <v>44377</v>
      </c>
      <c r="D383" s="3" t="s">
        <v>399</v>
      </c>
      <c r="E383" s="3" t="s">
        <v>337</v>
      </c>
      <c r="F383" s="3" t="s">
        <v>337</v>
      </c>
      <c r="G383" s="70" t="s">
        <v>400</v>
      </c>
      <c r="H383" s="3" t="s">
        <v>401</v>
      </c>
      <c r="I383" s="3" t="s">
        <v>339</v>
      </c>
      <c r="J383" s="3">
        <v>0</v>
      </c>
      <c r="K383" s="3">
        <v>0</v>
      </c>
      <c r="L383" s="3">
        <v>186</v>
      </c>
      <c r="M383" s="3">
        <v>0</v>
      </c>
      <c r="N383" s="3">
        <v>-186</v>
      </c>
      <c r="O383" s="70">
        <v>186</v>
      </c>
      <c r="P383" s="3">
        <v>0</v>
      </c>
      <c r="Q383" s="3">
        <v>0</v>
      </c>
      <c r="R383" s="3">
        <v>5.5599999999999997E-2</v>
      </c>
      <c r="S383" s="3">
        <v>10.34</v>
      </c>
      <c r="T383" s="3">
        <v>0</v>
      </c>
      <c r="U383" s="3">
        <v>-10.34</v>
      </c>
      <c r="V383" s="70" t="s">
        <v>332</v>
      </c>
      <c r="W383" s="3" t="s">
        <v>343</v>
      </c>
      <c r="X383" s="3" t="s">
        <v>337</v>
      </c>
      <c r="Y383" s="3" t="s">
        <v>337</v>
      </c>
    </row>
    <row r="384" spans="1:25" hidden="1" x14ac:dyDescent="0.2">
      <c r="A384" s="83" t="str">
        <f t="shared" si="5"/>
        <v>新蔡水韵天街奶茶杯盖</v>
      </c>
      <c r="B384" s="3" t="s">
        <v>703</v>
      </c>
      <c r="C384" s="84">
        <v>44377</v>
      </c>
      <c r="D384" s="3" t="s">
        <v>399</v>
      </c>
      <c r="E384" s="3" t="s">
        <v>337</v>
      </c>
      <c r="F384" s="3" t="s">
        <v>337</v>
      </c>
      <c r="G384" s="70" t="s">
        <v>400</v>
      </c>
      <c r="H384" s="3" t="s">
        <v>401</v>
      </c>
      <c r="I384" s="3" t="s">
        <v>339</v>
      </c>
      <c r="J384" s="3">
        <v>0</v>
      </c>
      <c r="K384" s="3">
        <v>200</v>
      </c>
      <c r="L384" s="3">
        <v>79</v>
      </c>
      <c r="M384" s="3">
        <v>121</v>
      </c>
      <c r="N384" s="3">
        <v>121</v>
      </c>
      <c r="O384" s="70">
        <v>0</v>
      </c>
      <c r="P384" s="3">
        <v>0</v>
      </c>
      <c r="Q384" s="3">
        <v>0</v>
      </c>
      <c r="R384" s="3">
        <v>4.8925999999999997E-2</v>
      </c>
      <c r="S384" s="3">
        <v>0</v>
      </c>
      <c r="T384" s="3">
        <v>5.92</v>
      </c>
      <c r="U384" s="3">
        <v>5.92</v>
      </c>
      <c r="V384" s="70" t="s">
        <v>335</v>
      </c>
      <c r="W384" s="3" t="s">
        <v>343</v>
      </c>
      <c r="X384" s="3" t="s">
        <v>337</v>
      </c>
      <c r="Y384" s="3" t="s">
        <v>337</v>
      </c>
    </row>
    <row r="385" spans="1:25" hidden="1" x14ac:dyDescent="0.2">
      <c r="A385" s="83" t="str">
        <f t="shared" si="5"/>
        <v>郑州康复中街奶茶杯盖</v>
      </c>
      <c r="B385" s="3" t="s">
        <v>704</v>
      </c>
      <c r="C385" s="84">
        <v>44377</v>
      </c>
      <c r="D385" s="3" t="s">
        <v>399</v>
      </c>
      <c r="E385" s="3" t="s">
        <v>337</v>
      </c>
      <c r="F385" s="3" t="s">
        <v>337</v>
      </c>
      <c r="G385" s="70" t="s">
        <v>400</v>
      </c>
      <c r="H385" s="3" t="s">
        <v>401</v>
      </c>
      <c r="I385" s="3" t="s">
        <v>339</v>
      </c>
      <c r="J385" s="3">
        <v>0</v>
      </c>
      <c r="K385" s="3">
        <v>0</v>
      </c>
      <c r="L385" s="3">
        <v>240</v>
      </c>
      <c r="M385" s="3">
        <v>0</v>
      </c>
      <c r="N385" s="3">
        <v>-240</v>
      </c>
      <c r="O385" s="70">
        <v>240</v>
      </c>
      <c r="P385" s="3">
        <v>0</v>
      </c>
      <c r="Q385" s="3">
        <v>0</v>
      </c>
      <c r="R385" s="3">
        <v>5.5599999999999997E-2</v>
      </c>
      <c r="S385" s="3">
        <v>13.34</v>
      </c>
      <c r="T385" s="3">
        <v>0</v>
      </c>
      <c r="U385" s="3">
        <v>-13.34</v>
      </c>
      <c r="V385" s="70" t="s">
        <v>593</v>
      </c>
      <c r="W385" s="3" t="s">
        <v>343</v>
      </c>
      <c r="X385" s="3" t="s">
        <v>337</v>
      </c>
      <c r="Y385" s="3" t="s">
        <v>337</v>
      </c>
    </row>
    <row r="386" spans="1:25" hidden="1" x14ac:dyDescent="0.2">
      <c r="A386" s="83" t="str">
        <f t="shared" si="5"/>
        <v>郑州盛华里奶茶杯盖</v>
      </c>
      <c r="B386" s="3" t="s">
        <v>709</v>
      </c>
      <c r="C386" s="84">
        <v>44377</v>
      </c>
      <c r="D386" s="3" t="s">
        <v>399</v>
      </c>
      <c r="E386" s="3" t="s">
        <v>337</v>
      </c>
      <c r="F386" s="3" t="s">
        <v>337</v>
      </c>
      <c r="G386" s="70" t="s">
        <v>400</v>
      </c>
      <c r="H386" s="3" t="s">
        <v>401</v>
      </c>
      <c r="I386" s="3" t="s">
        <v>339</v>
      </c>
      <c r="J386" s="3">
        <v>200</v>
      </c>
      <c r="K386" s="3">
        <v>0</v>
      </c>
      <c r="L386" s="3">
        <v>37</v>
      </c>
      <c r="M386" s="3">
        <v>200</v>
      </c>
      <c r="N386" s="3">
        <v>163</v>
      </c>
      <c r="O386" s="70">
        <v>37</v>
      </c>
      <c r="P386" s="3">
        <v>0</v>
      </c>
      <c r="Q386" s="3">
        <v>0</v>
      </c>
      <c r="R386" s="3">
        <v>4.8899999999999999E-2</v>
      </c>
      <c r="S386" s="3">
        <v>1.81</v>
      </c>
      <c r="T386" s="3">
        <v>9.7799999999999994</v>
      </c>
      <c r="U386" s="3">
        <v>7.97</v>
      </c>
      <c r="V386" s="70" t="s">
        <v>637</v>
      </c>
      <c r="W386" s="3" t="s">
        <v>343</v>
      </c>
      <c r="X386" s="3" t="s">
        <v>337</v>
      </c>
      <c r="Y386" s="3" t="s">
        <v>337</v>
      </c>
    </row>
    <row r="387" spans="1:25" hidden="1" x14ac:dyDescent="0.2">
      <c r="A387" s="83" t="str">
        <f t="shared" ref="A387:A450" si="6">V387&amp;G387</f>
        <v>滑县滑台奶茶杯盖</v>
      </c>
      <c r="B387" s="3" t="s">
        <v>710</v>
      </c>
      <c r="C387" s="84">
        <v>44377</v>
      </c>
      <c r="D387" s="3" t="s">
        <v>399</v>
      </c>
      <c r="E387" s="3" t="s">
        <v>337</v>
      </c>
      <c r="F387" s="3" t="s">
        <v>337</v>
      </c>
      <c r="G387" s="70" t="s">
        <v>400</v>
      </c>
      <c r="H387" s="3" t="s">
        <v>401</v>
      </c>
      <c r="I387" s="3" t="s">
        <v>339</v>
      </c>
      <c r="J387" s="3">
        <v>59</v>
      </c>
      <c r="K387" s="3">
        <v>600</v>
      </c>
      <c r="L387" s="3">
        <v>88</v>
      </c>
      <c r="M387" s="3">
        <v>571</v>
      </c>
      <c r="N387" s="3">
        <v>571</v>
      </c>
      <c r="O387" s="70">
        <v>0</v>
      </c>
      <c r="P387" s="3">
        <v>0</v>
      </c>
      <c r="Q387" s="3">
        <v>0</v>
      </c>
      <c r="R387" s="3">
        <v>4.9001999999999997E-2</v>
      </c>
      <c r="S387" s="3">
        <v>0</v>
      </c>
      <c r="T387" s="3">
        <v>27.98</v>
      </c>
      <c r="U387" s="3">
        <v>27.98</v>
      </c>
      <c r="V387" s="70" t="s">
        <v>639</v>
      </c>
      <c r="W387" s="3" t="s">
        <v>343</v>
      </c>
      <c r="X387" s="3" t="s">
        <v>337</v>
      </c>
      <c r="Y387" s="3" t="s">
        <v>337</v>
      </c>
    </row>
    <row r="388" spans="1:25" hidden="1" x14ac:dyDescent="0.2">
      <c r="A388" s="83" t="str">
        <f t="shared" si="6"/>
        <v>郑州裕华奶茶杯盖</v>
      </c>
      <c r="B388" s="3" t="s">
        <v>711</v>
      </c>
      <c r="C388" s="84">
        <v>44377</v>
      </c>
      <c r="D388" s="3" t="s">
        <v>399</v>
      </c>
      <c r="E388" s="3" t="s">
        <v>337</v>
      </c>
      <c r="F388" s="3" t="s">
        <v>337</v>
      </c>
      <c r="G388" s="70" t="s">
        <v>400</v>
      </c>
      <c r="H388" s="3" t="s">
        <v>401</v>
      </c>
      <c r="I388" s="3" t="s">
        <v>339</v>
      </c>
      <c r="J388" s="3">
        <v>0</v>
      </c>
      <c r="K388" s="3">
        <v>0</v>
      </c>
      <c r="L388" s="3">
        <v>43</v>
      </c>
      <c r="M388" s="3">
        <v>0</v>
      </c>
      <c r="N388" s="3">
        <v>-43</v>
      </c>
      <c r="O388" s="70">
        <v>43</v>
      </c>
      <c r="P388" s="3">
        <v>0</v>
      </c>
      <c r="Q388" s="3">
        <v>0</v>
      </c>
      <c r="R388" s="3">
        <v>5.5599999999999997E-2</v>
      </c>
      <c r="S388" s="3">
        <v>2.39</v>
      </c>
      <c r="T388" s="3">
        <v>0</v>
      </c>
      <c r="U388" s="3">
        <v>-2.39</v>
      </c>
      <c r="V388" s="70" t="s">
        <v>641</v>
      </c>
      <c r="W388" s="3" t="s">
        <v>343</v>
      </c>
      <c r="X388" s="3" t="s">
        <v>337</v>
      </c>
      <c r="Y388" s="3" t="s">
        <v>337</v>
      </c>
    </row>
    <row r="389" spans="1:25" hidden="1" x14ac:dyDescent="0.2">
      <c r="A389" s="83" t="str">
        <f t="shared" si="6"/>
        <v>方城锦城国际奶茶杯盖</v>
      </c>
      <c r="B389" s="3" t="s">
        <v>712</v>
      </c>
      <c r="C389" s="84">
        <v>44377</v>
      </c>
      <c r="D389" s="3" t="s">
        <v>399</v>
      </c>
      <c r="E389" s="3" t="s">
        <v>337</v>
      </c>
      <c r="F389" s="3" t="s">
        <v>337</v>
      </c>
      <c r="G389" s="70" t="s">
        <v>400</v>
      </c>
      <c r="H389" s="3" t="s">
        <v>401</v>
      </c>
      <c r="I389" s="3" t="s">
        <v>339</v>
      </c>
      <c r="J389" s="3">
        <v>0</v>
      </c>
      <c r="K389" s="3">
        <v>0</v>
      </c>
      <c r="L389" s="3">
        <v>571</v>
      </c>
      <c r="M389" s="3">
        <v>0</v>
      </c>
      <c r="N389" s="3">
        <v>-571</v>
      </c>
      <c r="O389" s="70">
        <v>571</v>
      </c>
      <c r="P389" s="3">
        <v>0</v>
      </c>
      <c r="Q389" s="3">
        <v>0</v>
      </c>
      <c r="R389" s="3">
        <v>5.5599999999999997E-2</v>
      </c>
      <c r="S389" s="3">
        <v>31.75</v>
      </c>
      <c r="T389" s="3">
        <v>0</v>
      </c>
      <c r="U389" s="3">
        <v>-31.75</v>
      </c>
      <c r="V389" s="70" t="s">
        <v>594</v>
      </c>
      <c r="W389" s="3" t="s">
        <v>343</v>
      </c>
      <c r="X389" s="3" t="s">
        <v>337</v>
      </c>
      <c r="Y389" s="3" t="s">
        <v>337</v>
      </c>
    </row>
    <row r="390" spans="1:25" hidden="1" x14ac:dyDescent="0.2">
      <c r="A390" s="83" t="str">
        <f t="shared" si="6"/>
        <v>清丰凤鸣奶茶杯盖</v>
      </c>
      <c r="B390" s="3" t="s">
        <v>713</v>
      </c>
      <c r="C390" s="84">
        <v>44377</v>
      </c>
      <c r="D390" s="3" t="s">
        <v>399</v>
      </c>
      <c r="E390" s="3" t="s">
        <v>337</v>
      </c>
      <c r="F390" s="3" t="s">
        <v>337</v>
      </c>
      <c r="G390" s="70" t="s">
        <v>400</v>
      </c>
      <c r="H390" s="3" t="s">
        <v>401</v>
      </c>
      <c r="I390" s="3" t="s">
        <v>339</v>
      </c>
      <c r="J390" s="3">
        <v>889</v>
      </c>
      <c r="K390" s="3">
        <v>0</v>
      </c>
      <c r="L390" s="3">
        <v>31</v>
      </c>
      <c r="M390" s="3">
        <v>852</v>
      </c>
      <c r="N390" s="3">
        <v>858</v>
      </c>
      <c r="O390" s="70">
        <v>-6</v>
      </c>
      <c r="P390" s="3">
        <v>0</v>
      </c>
      <c r="Q390" s="3">
        <v>0</v>
      </c>
      <c r="R390" s="3">
        <v>4.8991E-2</v>
      </c>
      <c r="S390" s="3">
        <v>-0.28999999999999998</v>
      </c>
      <c r="T390" s="3">
        <v>41.74</v>
      </c>
      <c r="U390" s="3">
        <v>42.03</v>
      </c>
      <c r="V390" s="70" t="s">
        <v>334</v>
      </c>
      <c r="W390" s="3" t="s">
        <v>343</v>
      </c>
      <c r="X390" s="3" t="s">
        <v>337</v>
      </c>
      <c r="Y390" s="3" t="s">
        <v>337</v>
      </c>
    </row>
    <row r="391" spans="1:25" hidden="1" x14ac:dyDescent="0.2">
      <c r="A391" s="83" t="str">
        <f t="shared" si="6"/>
        <v>清丰凤鸣奶茶杯(12A热杯）</v>
      </c>
      <c r="B391" s="3" t="s">
        <v>713</v>
      </c>
      <c r="C391" s="84">
        <v>44377</v>
      </c>
      <c r="D391" s="3" t="s">
        <v>402</v>
      </c>
      <c r="E391" s="3" t="s">
        <v>337</v>
      </c>
      <c r="F391" s="3" t="s">
        <v>337</v>
      </c>
      <c r="G391" s="70" t="s">
        <v>403</v>
      </c>
      <c r="H391" s="3" t="s">
        <v>404</v>
      </c>
      <c r="I391" s="3" t="s">
        <v>339</v>
      </c>
      <c r="J391" s="3">
        <v>481</v>
      </c>
      <c r="K391" s="3">
        <v>0</v>
      </c>
      <c r="L391" s="3">
        <v>31</v>
      </c>
      <c r="M391" s="3">
        <v>450</v>
      </c>
      <c r="N391" s="3">
        <v>450</v>
      </c>
      <c r="O391" s="70">
        <v>0</v>
      </c>
      <c r="P391" s="3">
        <v>0</v>
      </c>
      <c r="Q391" s="3">
        <v>0</v>
      </c>
      <c r="R391" s="3">
        <v>0.14655599999999999</v>
      </c>
      <c r="S391" s="3">
        <v>0</v>
      </c>
      <c r="T391" s="3">
        <v>65.95</v>
      </c>
      <c r="U391" s="3">
        <v>65.95</v>
      </c>
      <c r="V391" s="70" t="s">
        <v>334</v>
      </c>
      <c r="W391" s="3" t="s">
        <v>343</v>
      </c>
      <c r="X391" s="3" t="s">
        <v>337</v>
      </c>
      <c r="Y391" s="3" t="s">
        <v>337</v>
      </c>
    </row>
    <row r="392" spans="1:25" hidden="1" x14ac:dyDescent="0.2">
      <c r="A392" s="83" t="str">
        <f t="shared" si="6"/>
        <v>方城锦城国际奶茶杯(12A热杯）</v>
      </c>
      <c r="B392" s="3" t="s">
        <v>712</v>
      </c>
      <c r="C392" s="84">
        <v>44377</v>
      </c>
      <c r="D392" s="3" t="s">
        <v>402</v>
      </c>
      <c r="E392" s="3" t="s">
        <v>337</v>
      </c>
      <c r="F392" s="3" t="s">
        <v>337</v>
      </c>
      <c r="G392" s="70" t="s">
        <v>403</v>
      </c>
      <c r="H392" s="3" t="s">
        <v>404</v>
      </c>
      <c r="I392" s="3" t="s">
        <v>339</v>
      </c>
      <c r="J392" s="3">
        <v>423</v>
      </c>
      <c r="K392" s="3">
        <v>660</v>
      </c>
      <c r="L392" s="3">
        <v>571</v>
      </c>
      <c r="M392" s="3">
        <v>512</v>
      </c>
      <c r="N392" s="3">
        <v>512</v>
      </c>
      <c r="O392" s="70">
        <v>0</v>
      </c>
      <c r="P392" s="3">
        <v>0</v>
      </c>
      <c r="Q392" s="3">
        <v>0</v>
      </c>
      <c r="R392" s="3">
        <v>0.146484</v>
      </c>
      <c r="S392" s="3">
        <v>0</v>
      </c>
      <c r="T392" s="3">
        <v>75</v>
      </c>
      <c r="U392" s="3">
        <v>75</v>
      </c>
      <c r="V392" s="70" t="s">
        <v>594</v>
      </c>
      <c r="W392" s="3" t="s">
        <v>343</v>
      </c>
      <c r="X392" s="3" t="s">
        <v>337</v>
      </c>
      <c r="Y392" s="3" t="s">
        <v>337</v>
      </c>
    </row>
    <row r="393" spans="1:25" hidden="1" x14ac:dyDescent="0.2">
      <c r="A393" s="83" t="str">
        <f t="shared" si="6"/>
        <v>郑州裕华奶茶杯(12A热杯）</v>
      </c>
      <c r="B393" s="3" t="s">
        <v>711</v>
      </c>
      <c r="C393" s="84">
        <v>44377</v>
      </c>
      <c r="D393" s="3" t="s">
        <v>402</v>
      </c>
      <c r="E393" s="3" t="s">
        <v>337</v>
      </c>
      <c r="F393" s="3" t="s">
        <v>337</v>
      </c>
      <c r="G393" s="70" t="s">
        <v>403</v>
      </c>
      <c r="H393" s="3" t="s">
        <v>404</v>
      </c>
      <c r="I393" s="3" t="s">
        <v>339</v>
      </c>
      <c r="J393" s="3">
        <v>180</v>
      </c>
      <c r="K393" s="3">
        <v>0</v>
      </c>
      <c r="L393" s="3">
        <v>43</v>
      </c>
      <c r="M393" s="3">
        <v>120</v>
      </c>
      <c r="N393" s="3">
        <v>137</v>
      </c>
      <c r="O393" s="70">
        <v>-17</v>
      </c>
      <c r="P393" s="3">
        <v>0</v>
      </c>
      <c r="Q393" s="3">
        <v>0</v>
      </c>
      <c r="R393" s="3">
        <v>0.14649999999999999</v>
      </c>
      <c r="S393" s="3">
        <v>-2.4900000000000002</v>
      </c>
      <c r="T393" s="3">
        <v>17.579999999999998</v>
      </c>
      <c r="U393" s="3">
        <v>20.07</v>
      </c>
      <c r="V393" s="70" t="s">
        <v>641</v>
      </c>
      <c r="W393" s="3" t="s">
        <v>343</v>
      </c>
      <c r="X393" s="3" t="s">
        <v>337</v>
      </c>
      <c r="Y393" s="3" t="s">
        <v>337</v>
      </c>
    </row>
    <row r="394" spans="1:25" hidden="1" x14ac:dyDescent="0.2">
      <c r="A394" s="83" t="str">
        <f t="shared" si="6"/>
        <v>滑县滑台奶茶杯(12A热杯）</v>
      </c>
      <c r="B394" s="3" t="s">
        <v>710</v>
      </c>
      <c r="C394" s="84">
        <v>44377</v>
      </c>
      <c r="D394" s="3" t="s">
        <v>402</v>
      </c>
      <c r="E394" s="3" t="s">
        <v>337</v>
      </c>
      <c r="F394" s="3" t="s">
        <v>337</v>
      </c>
      <c r="G394" s="70" t="s">
        <v>403</v>
      </c>
      <c r="H394" s="3" t="s">
        <v>404</v>
      </c>
      <c r="I394" s="3" t="s">
        <v>339</v>
      </c>
      <c r="J394" s="3">
        <v>79</v>
      </c>
      <c r="K394" s="3">
        <v>120</v>
      </c>
      <c r="L394" s="3">
        <v>88</v>
      </c>
      <c r="M394" s="3">
        <v>111</v>
      </c>
      <c r="N394" s="3">
        <v>111</v>
      </c>
      <c r="O394" s="70">
        <v>0</v>
      </c>
      <c r="P394" s="3">
        <v>0</v>
      </c>
      <c r="Q394" s="3">
        <v>0</v>
      </c>
      <c r="R394" s="3">
        <v>0.15180199999999999</v>
      </c>
      <c r="S394" s="3">
        <v>0</v>
      </c>
      <c r="T394" s="3">
        <v>16.850000000000001</v>
      </c>
      <c r="U394" s="3">
        <v>16.850000000000001</v>
      </c>
      <c r="V394" s="70" t="s">
        <v>639</v>
      </c>
      <c r="W394" s="3" t="s">
        <v>343</v>
      </c>
      <c r="X394" s="3" t="s">
        <v>337</v>
      </c>
      <c r="Y394" s="3" t="s">
        <v>337</v>
      </c>
    </row>
    <row r="395" spans="1:25" hidden="1" x14ac:dyDescent="0.2">
      <c r="A395" s="83" t="str">
        <f t="shared" si="6"/>
        <v>郑州盛华里奶茶杯(12A热杯）</v>
      </c>
      <c r="B395" s="3" t="s">
        <v>709</v>
      </c>
      <c r="C395" s="84">
        <v>44377</v>
      </c>
      <c r="D395" s="3" t="s">
        <v>402</v>
      </c>
      <c r="E395" s="3" t="s">
        <v>337</v>
      </c>
      <c r="F395" s="3" t="s">
        <v>337</v>
      </c>
      <c r="G395" s="70" t="s">
        <v>403</v>
      </c>
      <c r="H395" s="3" t="s">
        <v>404</v>
      </c>
      <c r="I395" s="3" t="s">
        <v>339</v>
      </c>
      <c r="J395" s="3">
        <v>200</v>
      </c>
      <c r="K395" s="3">
        <v>0</v>
      </c>
      <c r="L395" s="3">
        <v>37</v>
      </c>
      <c r="M395" s="3">
        <v>163</v>
      </c>
      <c r="N395" s="3">
        <v>163</v>
      </c>
      <c r="O395" s="70">
        <v>0</v>
      </c>
      <c r="P395" s="3">
        <v>0</v>
      </c>
      <c r="Q395" s="3">
        <v>0</v>
      </c>
      <c r="R395" s="3">
        <v>0.14644199999999999</v>
      </c>
      <c r="S395" s="3">
        <v>0</v>
      </c>
      <c r="T395" s="3">
        <v>23.87</v>
      </c>
      <c r="U395" s="3">
        <v>23.87</v>
      </c>
      <c r="V395" s="70" t="s">
        <v>637</v>
      </c>
      <c r="W395" s="3" t="s">
        <v>343</v>
      </c>
      <c r="X395" s="3" t="s">
        <v>337</v>
      </c>
      <c r="Y395" s="3" t="s">
        <v>337</v>
      </c>
    </row>
    <row r="396" spans="1:25" hidden="1" x14ac:dyDescent="0.2">
      <c r="A396" s="83" t="str">
        <f t="shared" si="6"/>
        <v>郑州康复中街奶茶杯(12A热杯）</v>
      </c>
      <c r="B396" s="3" t="s">
        <v>704</v>
      </c>
      <c r="C396" s="84">
        <v>44377</v>
      </c>
      <c r="D396" s="3" t="s">
        <v>402</v>
      </c>
      <c r="E396" s="3" t="s">
        <v>337</v>
      </c>
      <c r="F396" s="3" t="s">
        <v>337</v>
      </c>
      <c r="G396" s="70" t="s">
        <v>403</v>
      </c>
      <c r="H396" s="3" t="s">
        <v>404</v>
      </c>
      <c r="I396" s="3" t="s">
        <v>339</v>
      </c>
      <c r="J396" s="3">
        <v>300</v>
      </c>
      <c r="K396" s="3">
        <v>180</v>
      </c>
      <c r="L396" s="3">
        <v>240</v>
      </c>
      <c r="M396" s="3">
        <v>210</v>
      </c>
      <c r="N396" s="3">
        <v>240</v>
      </c>
      <c r="O396" s="70">
        <v>-30</v>
      </c>
      <c r="P396" s="3">
        <v>0</v>
      </c>
      <c r="Q396" s="3">
        <v>0</v>
      </c>
      <c r="R396" s="3">
        <v>0.14918999999999999</v>
      </c>
      <c r="S396" s="3">
        <v>-4.4800000000000004</v>
      </c>
      <c r="T396" s="3">
        <v>31.33</v>
      </c>
      <c r="U396" s="3">
        <v>35.81</v>
      </c>
      <c r="V396" s="70" t="s">
        <v>593</v>
      </c>
      <c r="W396" s="3" t="s">
        <v>343</v>
      </c>
      <c r="X396" s="3" t="s">
        <v>337</v>
      </c>
      <c r="Y396" s="3" t="s">
        <v>337</v>
      </c>
    </row>
    <row r="397" spans="1:25" hidden="1" x14ac:dyDescent="0.2">
      <c r="A397" s="83" t="str">
        <f t="shared" si="6"/>
        <v>新蔡水韵天街奶茶杯(12A热杯）</v>
      </c>
      <c r="B397" s="3" t="s">
        <v>703</v>
      </c>
      <c r="C397" s="84">
        <v>44377</v>
      </c>
      <c r="D397" s="3" t="s">
        <v>402</v>
      </c>
      <c r="E397" s="3" t="s">
        <v>337</v>
      </c>
      <c r="F397" s="3" t="s">
        <v>337</v>
      </c>
      <c r="G397" s="70" t="s">
        <v>403</v>
      </c>
      <c r="H397" s="3" t="s">
        <v>404</v>
      </c>
      <c r="I397" s="3" t="s">
        <v>339</v>
      </c>
      <c r="J397" s="3">
        <v>200</v>
      </c>
      <c r="K397" s="3">
        <v>0</v>
      </c>
      <c r="L397" s="3">
        <v>79</v>
      </c>
      <c r="M397" s="3">
        <v>121</v>
      </c>
      <c r="N397" s="3">
        <v>121</v>
      </c>
      <c r="O397" s="70">
        <v>0</v>
      </c>
      <c r="P397" s="3">
        <v>0</v>
      </c>
      <c r="Q397" s="3">
        <v>0</v>
      </c>
      <c r="R397" s="3">
        <v>0.14652899999999999</v>
      </c>
      <c r="S397" s="3">
        <v>0</v>
      </c>
      <c r="T397" s="3">
        <v>17.73</v>
      </c>
      <c r="U397" s="3">
        <v>17.73</v>
      </c>
      <c r="V397" s="70" t="s">
        <v>335</v>
      </c>
      <c r="W397" s="3" t="s">
        <v>343</v>
      </c>
      <c r="X397" s="3" t="s">
        <v>337</v>
      </c>
      <c r="Y397" s="3" t="s">
        <v>337</v>
      </c>
    </row>
    <row r="398" spans="1:25" hidden="1" x14ac:dyDescent="0.2">
      <c r="A398" s="83" t="str">
        <f t="shared" si="6"/>
        <v>郑州西悦城奶茶杯(12A热杯）</v>
      </c>
      <c r="B398" s="3" t="s">
        <v>708</v>
      </c>
      <c r="C398" s="84">
        <v>44377</v>
      </c>
      <c r="D398" s="3" t="s">
        <v>402</v>
      </c>
      <c r="E398" s="3" t="s">
        <v>337</v>
      </c>
      <c r="F398" s="3" t="s">
        <v>337</v>
      </c>
      <c r="G398" s="70" t="s">
        <v>403</v>
      </c>
      <c r="H398" s="3" t="s">
        <v>404</v>
      </c>
      <c r="I398" s="3" t="s">
        <v>339</v>
      </c>
      <c r="J398" s="3">
        <v>530</v>
      </c>
      <c r="K398" s="3">
        <v>0</v>
      </c>
      <c r="L398" s="3">
        <v>186</v>
      </c>
      <c r="M398" s="3">
        <v>337</v>
      </c>
      <c r="N398" s="3">
        <v>344</v>
      </c>
      <c r="O398" s="70">
        <v>-7</v>
      </c>
      <c r="P398" s="3">
        <v>0</v>
      </c>
      <c r="Q398" s="3">
        <v>0</v>
      </c>
      <c r="R398" s="3">
        <v>0.14649899999999999</v>
      </c>
      <c r="S398" s="3">
        <v>-1.03</v>
      </c>
      <c r="T398" s="3">
        <v>49.37</v>
      </c>
      <c r="U398" s="3">
        <v>50.4</v>
      </c>
      <c r="V398" s="70" t="s">
        <v>332</v>
      </c>
      <c r="W398" s="3" t="s">
        <v>343</v>
      </c>
      <c r="X398" s="3" t="s">
        <v>337</v>
      </c>
      <c r="Y398" s="3" t="s">
        <v>337</v>
      </c>
    </row>
    <row r="399" spans="1:25" hidden="1" x14ac:dyDescent="0.2">
      <c r="A399" s="83" t="str">
        <f t="shared" si="6"/>
        <v>郑州铁英街奶茶杯(12A热杯）</v>
      </c>
      <c r="B399" s="3" t="s">
        <v>707</v>
      </c>
      <c r="C399" s="84">
        <v>44377</v>
      </c>
      <c r="D399" s="3" t="s">
        <v>402</v>
      </c>
      <c r="E399" s="3" t="s">
        <v>337</v>
      </c>
      <c r="F399" s="3" t="s">
        <v>337</v>
      </c>
      <c r="G399" s="70" t="s">
        <v>403</v>
      </c>
      <c r="H399" s="3" t="s">
        <v>404</v>
      </c>
      <c r="I399" s="3" t="s">
        <v>339</v>
      </c>
      <c r="J399" s="3">
        <v>500</v>
      </c>
      <c r="K399" s="3">
        <v>0</v>
      </c>
      <c r="L399" s="3">
        <v>91</v>
      </c>
      <c r="M399" s="3">
        <v>407</v>
      </c>
      <c r="N399" s="3">
        <v>409</v>
      </c>
      <c r="O399" s="70">
        <v>-2</v>
      </c>
      <c r="P399" s="3">
        <v>0</v>
      </c>
      <c r="Q399" s="3">
        <v>0</v>
      </c>
      <c r="R399" s="3">
        <v>0.147174</v>
      </c>
      <c r="S399" s="3">
        <v>-0.28999999999999998</v>
      </c>
      <c r="T399" s="3">
        <v>59.9</v>
      </c>
      <c r="U399" s="3">
        <v>60.19</v>
      </c>
      <c r="V399" s="70" t="s">
        <v>592</v>
      </c>
      <c r="W399" s="3" t="s">
        <v>343</v>
      </c>
      <c r="X399" s="3" t="s">
        <v>337</v>
      </c>
      <c r="Y399" s="3" t="s">
        <v>337</v>
      </c>
    </row>
    <row r="400" spans="1:25" hidden="1" x14ac:dyDescent="0.2">
      <c r="A400" s="83" t="str">
        <f t="shared" si="6"/>
        <v>郑州瀚海海尚奶茶杯(12A热杯）</v>
      </c>
      <c r="B400" s="3" t="s">
        <v>706</v>
      </c>
      <c r="C400" s="84">
        <v>44377</v>
      </c>
      <c r="D400" s="3" t="s">
        <v>402</v>
      </c>
      <c r="E400" s="3" t="s">
        <v>337</v>
      </c>
      <c r="F400" s="3" t="s">
        <v>337</v>
      </c>
      <c r="G400" s="70" t="s">
        <v>403</v>
      </c>
      <c r="H400" s="3" t="s">
        <v>404</v>
      </c>
      <c r="I400" s="3" t="s">
        <v>339</v>
      </c>
      <c r="J400" s="3">
        <v>532</v>
      </c>
      <c r="K400" s="3">
        <v>120</v>
      </c>
      <c r="L400" s="3">
        <v>244</v>
      </c>
      <c r="M400" s="3">
        <v>450</v>
      </c>
      <c r="N400" s="3">
        <v>408</v>
      </c>
      <c r="O400" s="70">
        <v>42</v>
      </c>
      <c r="P400" s="3">
        <v>0</v>
      </c>
      <c r="Q400" s="3">
        <v>0</v>
      </c>
      <c r="R400" s="3">
        <v>0.146867</v>
      </c>
      <c r="S400" s="3">
        <v>6.17</v>
      </c>
      <c r="T400" s="3">
        <v>66.09</v>
      </c>
      <c r="U400" s="3">
        <v>59.92</v>
      </c>
      <c r="V400" s="70" t="s">
        <v>333</v>
      </c>
      <c r="W400" s="3" t="s">
        <v>343</v>
      </c>
      <c r="X400" s="3" t="s">
        <v>337</v>
      </c>
      <c r="Y400" s="3" t="s">
        <v>337</v>
      </c>
    </row>
    <row r="401" spans="1:25" hidden="1" x14ac:dyDescent="0.2">
      <c r="A401" s="83" t="str">
        <f t="shared" si="6"/>
        <v>华山龙源奶茶杯(12A热杯）</v>
      </c>
      <c r="B401" s="3" t="s">
        <v>705</v>
      </c>
      <c r="C401" s="84">
        <v>44377</v>
      </c>
      <c r="D401" s="3" t="s">
        <v>402</v>
      </c>
      <c r="E401" s="3" t="s">
        <v>337</v>
      </c>
      <c r="F401" s="3" t="s">
        <v>337</v>
      </c>
      <c r="G401" s="70" t="s">
        <v>403</v>
      </c>
      <c r="H401" s="3" t="s">
        <v>404</v>
      </c>
      <c r="I401" s="3" t="s">
        <v>339</v>
      </c>
      <c r="J401" s="3">
        <v>131</v>
      </c>
      <c r="K401" s="3">
        <v>180</v>
      </c>
      <c r="L401" s="3">
        <v>228</v>
      </c>
      <c r="M401" s="3">
        <v>74</v>
      </c>
      <c r="N401" s="3">
        <v>83</v>
      </c>
      <c r="O401" s="70">
        <v>-9</v>
      </c>
      <c r="P401" s="3">
        <v>0</v>
      </c>
      <c r="Q401" s="3">
        <v>0</v>
      </c>
      <c r="R401" s="3">
        <v>0.14729700000000001</v>
      </c>
      <c r="S401" s="3">
        <v>-1.33</v>
      </c>
      <c r="T401" s="3">
        <v>10.9</v>
      </c>
      <c r="U401" s="3">
        <v>12.23</v>
      </c>
      <c r="V401" s="70" t="s">
        <v>643</v>
      </c>
      <c r="W401" s="3" t="s">
        <v>343</v>
      </c>
      <c r="X401" s="3" t="s">
        <v>337</v>
      </c>
      <c r="Y401" s="3" t="s">
        <v>337</v>
      </c>
    </row>
    <row r="402" spans="1:25" hidden="1" x14ac:dyDescent="0.2">
      <c r="A402" s="83" t="str">
        <f t="shared" si="6"/>
        <v>郑州政六街奶茶杯(12A热杯）</v>
      </c>
      <c r="B402" s="3" t="s">
        <v>714</v>
      </c>
      <c r="C402" s="84">
        <v>44377</v>
      </c>
      <c r="D402" s="3" t="s">
        <v>402</v>
      </c>
      <c r="E402" s="3" t="s">
        <v>337</v>
      </c>
      <c r="F402" s="3" t="s">
        <v>337</v>
      </c>
      <c r="G402" s="70" t="s">
        <v>403</v>
      </c>
      <c r="H402" s="3" t="s">
        <v>404</v>
      </c>
      <c r="I402" s="3" t="s">
        <v>339</v>
      </c>
      <c r="J402" s="3">
        <v>151</v>
      </c>
      <c r="K402" s="3">
        <v>120</v>
      </c>
      <c r="L402" s="3">
        <v>123</v>
      </c>
      <c r="M402" s="3">
        <v>140</v>
      </c>
      <c r="N402" s="3">
        <v>148</v>
      </c>
      <c r="O402" s="70">
        <v>-8</v>
      </c>
      <c r="P402" s="3">
        <v>0</v>
      </c>
      <c r="Q402" s="3">
        <v>0</v>
      </c>
      <c r="R402" s="3">
        <v>0.147286</v>
      </c>
      <c r="S402" s="3">
        <v>-1.18</v>
      </c>
      <c r="T402" s="3">
        <v>20.62</v>
      </c>
      <c r="U402" s="3">
        <v>21.8</v>
      </c>
      <c r="V402" s="70" t="s">
        <v>591</v>
      </c>
      <c r="W402" s="3" t="s">
        <v>343</v>
      </c>
      <c r="X402" s="3" t="s">
        <v>337</v>
      </c>
      <c r="Y402" s="3" t="s">
        <v>337</v>
      </c>
    </row>
    <row r="403" spans="1:25" hidden="1" x14ac:dyDescent="0.2">
      <c r="A403" s="83" t="str">
        <f t="shared" si="6"/>
        <v>郑州政六街120Z波纹杯</v>
      </c>
      <c r="B403" s="3" t="s">
        <v>714</v>
      </c>
      <c r="C403" s="84">
        <v>44377</v>
      </c>
      <c r="D403" s="3" t="s">
        <v>405</v>
      </c>
      <c r="E403" s="3" t="s">
        <v>337</v>
      </c>
      <c r="F403" s="3" t="s">
        <v>337</v>
      </c>
      <c r="G403" s="70" t="s">
        <v>406</v>
      </c>
      <c r="H403" s="3" t="s">
        <v>389</v>
      </c>
      <c r="I403" s="3" t="s">
        <v>339</v>
      </c>
      <c r="J403" s="3">
        <v>1</v>
      </c>
      <c r="K403" s="3">
        <v>80</v>
      </c>
      <c r="L403" s="3">
        <v>59</v>
      </c>
      <c r="M403" s="3">
        <v>40</v>
      </c>
      <c r="N403" s="3">
        <v>22</v>
      </c>
      <c r="O403" s="70">
        <v>18</v>
      </c>
      <c r="P403" s="3">
        <v>0</v>
      </c>
      <c r="Q403" s="3">
        <v>0</v>
      </c>
      <c r="R403" s="3">
        <v>0.27750000000000002</v>
      </c>
      <c r="S403" s="3">
        <v>5</v>
      </c>
      <c r="T403" s="3">
        <v>11.1</v>
      </c>
      <c r="U403" s="3">
        <v>6.11</v>
      </c>
      <c r="V403" s="70" t="s">
        <v>591</v>
      </c>
      <c r="W403" s="3" t="s">
        <v>343</v>
      </c>
      <c r="X403" s="3" t="s">
        <v>337</v>
      </c>
      <c r="Y403" s="3" t="s">
        <v>337</v>
      </c>
    </row>
    <row r="404" spans="1:25" hidden="1" x14ac:dyDescent="0.2">
      <c r="A404" s="83" t="str">
        <f t="shared" si="6"/>
        <v>郑州瀚海海尚120Z波纹杯</v>
      </c>
      <c r="B404" s="3" t="s">
        <v>706</v>
      </c>
      <c r="C404" s="84">
        <v>44377</v>
      </c>
      <c r="D404" s="3" t="s">
        <v>405</v>
      </c>
      <c r="E404" s="3" t="s">
        <v>337</v>
      </c>
      <c r="F404" s="3" t="s">
        <v>337</v>
      </c>
      <c r="G404" s="70" t="s">
        <v>406</v>
      </c>
      <c r="H404" s="3" t="s">
        <v>389</v>
      </c>
      <c r="I404" s="3" t="s">
        <v>339</v>
      </c>
      <c r="J404" s="3">
        <v>131</v>
      </c>
      <c r="K404" s="3">
        <v>80</v>
      </c>
      <c r="L404" s="3">
        <v>114</v>
      </c>
      <c r="M404" s="3">
        <v>97</v>
      </c>
      <c r="N404" s="3">
        <v>97</v>
      </c>
      <c r="O404" s="70">
        <v>0</v>
      </c>
      <c r="P404" s="3">
        <v>0</v>
      </c>
      <c r="Q404" s="3">
        <v>0</v>
      </c>
      <c r="R404" s="3">
        <v>0.27505200000000002</v>
      </c>
      <c r="S404" s="3">
        <v>0</v>
      </c>
      <c r="T404" s="3">
        <v>26.68</v>
      </c>
      <c r="U404" s="3">
        <v>26.68</v>
      </c>
      <c r="V404" s="70" t="s">
        <v>333</v>
      </c>
      <c r="W404" s="3" t="s">
        <v>343</v>
      </c>
      <c r="X404" s="3" t="s">
        <v>337</v>
      </c>
      <c r="Y404" s="3" t="s">
        <v>337</v>
      </c>
    </row>
    <row r="405" spans="1:25" hidden="1" x14ac:dyDescent="0.2">
      <c r="A405" s="83" t="str">
        <f t="shared" si="6"/>
        <v>华山龙源120Z波纹杯</v>
      </c>
      <c r="B405" s="3" t="s">
        <v>705</v>
      </c>
      <c r="C405" s="84">
        <v>44377</v>
      </c>
      <c r="D405" s="3" t="s">
        <v>405</v>
      </c>
      <c r="E405" s="3" t="s">
        <v>337</v>
      </c>
      <c r="F405" s="3" t="s">
        <v>337</v>
      </c>
      <c r="G405" s="70" t="s">
        <v>406</v>
      </c>
      <c r="H405" s="3" t="s">
        <v>389</v>
      </c>
      <c r="I405" s="3" t="s">
        <v>339</v>
      </c>
      <c r="J405" s="3">
        <v>128</v>
      </c>
      <c r="K405" s="3">
        <v>0</v>
      </c>
      <c r="L405" s="3">
        <v>106</v>
      </c>
      <c r="M405" s="3">
        <v>20</v>
      </c>
      <c r="N405" s="3">
        <v>22</v>
      </c>
      <c r="O405" s="70">
        <v>-2</v>
      </c>
      <c r="P405" s="3">
        <v>0</v>
      </c>
      <c r="Q405" s="3">
        <v>0</v>
      </c>
      <c r="R405" s="3">
        <v>0.27</v>
      </c>
      <c r="S405" s="3">
        <v>-0.54</v>
      </c>
      <c r="T405" s="3">
        <v>5.4</v>
      </c>
      <c r="U405" s="3">
        <v>5.94</v>
      </c>
      <c r="V405" s="70" t="s">
        <v>643</v>
      </c>
      <c r="W405" s="3" t="s">
        <v>343</v>
      </c>
      <c r="X405" s="3" t="s">
        <v>337</v>
      </c>
      <c r="Y405" s="3" t="s">
        <v>337</v>
      </c>
    </row>
    <row r="406" spans="1:25" hidden="1" x14ac:dyDescent="0.2">
      <c r="A406" s="83" t="str">
        <f t="shared" si="6"/>
        <v>郑州西悦城120Z波纹杯</v>
      </c>
      <c r="B406" s="3" t="s">
        <v>708</v>
      </c>
      <c r="C406" s="84">
        <v>44377</v>
      </c>
      <c r="D406" s="3" t="s">
        <v>405</v>
      </c>
      <c r="E406" s="3" t="s">
        <v>337</v>
      </c>
      <c r="F406" s="3" t="s">
        <v>337</v>
      </c>
      <c r="G406" s="70" t="s">
        <v>406</v>
      </c>
      <c r="H406" s="3" t="s">
        <v>389</v>
      </c>
      <c r="I406" s="3" t="s">
        <v>339</v>
      </c>
      <c r="J406" s="3">
        <v>440</v>
      </c>
      <c r="K406" s="3">
        <v>0</v>
      </c>
      <c r="L406" s="3">
        <v>114</v>
      </c>
      <c r="M406" s="3">
        <v>300</v>
      </c>
      <c r="N406" s="3">
        <v>326</v>
      </c>
      <c r="O406" s="70">
        <v>-26</v>
      </c>
      <c r="P406" s="3">
        <v>0</v>
      </c>
      <c r="Q406" s="3">
        <v>0</v>
      </c>
      <c r="R406" s="3">
        <v>0.27253300000000003</v>
      </c>
      <c r="S406" s="3">
        <v>-7.09</v>
      </c>
      <c r="T406" s="3">
        <v>81.760000000000005</v>
      </c>
      <c r="U406" s="3">
        <v>88.85</v>
      </c>
      <c r="V406" s="70" t="s">
        <v>332</v>
      </c>
      <c r="W406" s="3" t="s">
        <v>343</v>
      </c>
      <c r="X406" s="3" t="s">
        <v>337</v>
      </c>
      <c r="Y406" s="3" t="s">
        <v>337</v>
      </c>
    </row>
    <row r="407" spans="1:25" hidden="1" x14ac:dyDescent="0.2">
      <c r="A407" s="83" t="str">
        <f t="shared" si="6"/>
        <v>郑州铁英街120Z波纹杯</v>
      </c>
      <c r="B407" s="3" t="s">
        <v>707</v>
      </c>
      <c r="C407" s="84">
        <v>44377</v>
      </c>
      <c r="D407" s="3" t="s">
        <v>405</v>
      </c>
      <c r="E407" s="3" t="s">
        <v>337</v>
      </c>
      <c r="F407" s="3" t="s">
        <v>337</v>
      </c>
      <c r="G407" s="70" t="s">
        <v>406</v>
      </c>
      <c r="H407" s="3" t="s">
        <v>389</v>
      </c>
      <c r="I407" s="3" t="s">
        <v>339</v>
      </c>
      <c r="J407" s="3">
        <v>15</v>
      </c>
      <c r="K407" s="3">
        <v>80</v>
      </c>
      <c r="L407" s="3">
        <v>36</v>
      </c>
      <c r="M407" s="3">
        <v>61</v>
      </c>
      <c r="N407" s="3">
        <v>59</v>
      </c>
      <c r="O407" s="70">
        <v>2</v>
      </c>
      <c r="P407" s="3">
        <v>0</v>
      </c>
      <c r="Q407" s="3">
        <v>0</v>
      </c>
      <c r="R407" s="3">
        <v>0.27754099999999998</v>
      </c>
      <c r="S407" s="3">
        <v>0.56000000000000005</v>
      </c>
      <c r="T407" s="3">
        <v>16.93</v>
      </c>
      <c r="U407" s="3">
        <v>16.37</v>
      </c>
      <c r="V407" s="70" t="s">
        <v>592</v>
      </c>
      <c r="W407" s="3" t="s">
        <v>343</v>
      </c>
      <c r="X407" s="3" t="s">
        <v>337</v>
      </c>
      <c r="Y407" s="3" t="s">
        <v>337</v>
      </c>
    </row>
    <row r="408" spans="1:25" hidden="1" x14ac:dyDescent="0.2">
      <c r="A408" s="83" t="str">
        <f t="shared" si="6"/>
        <v>新蔡水韵天街120Z波纹杯</v>
      </c>
      <c r="B408" s="3" t="s">
        <v>703</v>
      </c>
      <c r="C408" s="84">
        <v>44377</v>
      </c>
      <c r="D408" s="3" t="s">
        <v>405</v>
      </c>
      <c r="E408" s="3" t="s">
        <v>337</v>
      </c>
      <c r="F408" s="3" t="s">
        <v>337</v>
      </c>
      <c r="G408" s="70" t="s">
        <v>406</v>
      </c>
      <c r="H408" s="3" t="s">
        <v>389</v>
      </c>
      <c r="I408" s="3" t="s">
        <v>339</v>
      </c>
      <c r="J408" s="3">
        <v>125</v>
      </c>
      <c r="K408" s="3">
        <v>120</v>
      </c>
      <c r="L408" s="3">
        <v>146</v>
      </c>
      <c r="M408" s="3">
        <v>99</v>
      </c>
      <c r="N408" s="3">
        <v>99</v>
      </c>
      <c r="O408" s="70">
        <v>0</v>
      </c>
      <c r="P408" s="3">
        <v>0</v>
      </c>
      <c r="Q408" s="3">
        <v>0</v>
      </c>
      <c r="R408" s="3">
        <v>0.272424</v>
      </c>
      <c r="S408" s="3">
        <v>0</v>
      </c>
      <c r="T408" s="3">
        <v>26.97</v>
      </c>
      <c r="U408" s="3">
        <v>26.97</v>
      </c>
      <c r="V408" s="70" t="s">
        <v>335</v>
      </c>
      <c r="W408" s="3" t="s">
        <v>343</v>
      </c>
      <c r="X408" s="3" t="s">
        <v>337</v>
      </c>
      <c r="Y408" s="3" t="s">
        <v>337</v>
      </c>
    </row>
    <row r="409" spans="1:25" hidden="1" x14ac:dyDescent="0.2">
      <c r="A409" s="83" t="str">
        <f t="shared" si="6"/>
        <v>郑州康复中街120Z波纹杯</v>
      </c>
      <c r="B409" s="3" t="s">
        <v>704</v>
      </c>
      <c r="C409" s="84">
        <v>44377</v>
      </c>
      <c r="D409" s="3" t="s">
        <v>405</v>
      </c>
      <c r="E409" s="3" t="s">
        <v>337</v>
      </c>
      <c r="F409" s="3" t="s">
        <v>337</v>
      </c>
      <c r="G409" s="70" t="s">
        <v>406</v>
      </c>
      <c r="H409" s="3" t="s">
        <v>389</v>
      </c>
      <c r="I409" s="3" t="s">
        <v>339</v>
      </c>
      <c r="J409" s="3">
        <v>236</v>
      </c>
      <c r="K409" s="3">
        <v>0</v>
      </c>
      <c r="L409" s="3">
        <v>84</v>
      </c>
      <c r="M409" s="3">
        <v>140</v>
      </c>
      <c r="N409" s="3">
        <v>152</v>
      </c>
      <c r="O409" s="70">
        <v>-12</v>
      </c>
      <c r="P409" s="3">
        <v>0</v>
      </c>
      <c r="Q409" s="3">
        <v>0</v>
      </c>
      <c r="R409" s="3">
        <v>0.27242899999999998</v>
      </c>
      <c r="S409" s="3">
        <v>-3.27</v>
      </c>
      <c r="T409" s="3">
        <v>38.14</v>
      </c>
      <c r="U409" s="3">
        <v>41.41</v>
      </c>
      <c r="V409" s="70" t="s">
        <v>593</v>
      </c>
      <c r="W409" s="3" t="s">
        <v>343</v>
      </c>
      <c r="X409" s="3" t="s">
        <v>337</v>
      </c>
      <c r="Y409" s="3" t="s">
        <v>337</v>
      </c>
    </row>
    <row r="410" spans="1:25" hidden="1" x14ac:dyDescent="0.2">
      <c r="A410" s="83" t="str">
        <f t="shared" si="6"/>
        <v>郑州盛华里120Z波纹杯</v>
      </c>
      <c r="B410" s="3" t="s">
        <v>709</v>
      </c>
      <c r="C410" s="84">
        <v>44377</v>
      </c>
      <c r="D410" s="3" t="s">
        <v>405</v>
      </c>
      <c r="E410" s="3" t="s">
        <v>337</v>
      </c>
      <c r="F410" s="3" t="s">
        <v>337</v>
      </c>
      <c r="G410" s="70" t="s">
        <v>406</v>
      </c>
      <c r="H410" s="3" t="s">
        <v>389</v>
      </c>
      <c r="I410" s="3" t="s">
        <v>339</v>
      </c>
      <c r="J410" s="3">
        <v>135</v>
      </c>
      <c r="K410" s="3">
        <v>0</v>
      </c>
      <c r="L410" s="3">
        <v>28</v>
      </c>
      <c r="M410" s="3">
        <v>107</v>
      </c>
      <c r="N410" s="3">
        <v>107</v>
      </c>
      <c r="O410" s="70">
        <v>0</v>
      </c>
      <c r="P410" s="3">
        <v>0</v>
      </c>
      <c r="Q410" s="3">
        <v>0</v>
      </c>
      <c r="R410" s="3">
        <v>0.272617</v>
      </c>
      <c r="S410" s="3">
        <v>0</v>
      </c>
      <c r="T410" s="3">
        <v>29.17</v>
      </c>
      <c r="U410" s="3">
        <v>29.17</v>
      </c>
      <c r="V410" s="70" t="s">
        <v>637</v>
      </c>
      <c r="W410" s="3" t="s">
        <v>343</v>
      </c>
      <c r="X410" s="3" t="s">
        <v>337</v>
      </c>
      <c r="Y410" s="3" t="s">
        <v>337</v>
      </c>
    </row>
    <row r="411" spans="1:25" hidden="1" x14ac:dyDescent="0.2">
      <c r="A411" s="83" t="str">
        <f t="shared" si="6"/>
        <v>滑县滑台120Z波纹杯</v>
      </c>
      <c r="B411" s="3" t="s">
        <v>710</v>
      </c>
      <c r="C411" s="84">
        <v>44377</v>
      </c>
      <c r="D411" s="3" t="s">
        <v>405</v>
      </c>
      <c r="E411" s="3" t="s">
        <v>337</v>
      </c>
      <c r="F411" s="3" t="s">
        <v>337</v>
      </c>
      <c r="G411" s="70" t="s">
        <v>406</v>
      </c>
      <c r="H411" s="3" t="s">
        <v>389</v>
      </c>
      <c r="I411" s="3" t="s">
        <v>339</v>
      </c>
      <c r="J411" s="3">
        <v>112</v>
      </c>
      <c r="K411" s="3">
        <v>120</v>
      </c>
      <c r="L411" s="3">
        <v>90</v>
      </c>
      <c r="M411" s="3">
        <v>142</v>
      </c>
      <c r="N411" s="3">
        <v>142</v>
      </c>
      <c r="O411" s="70">
        <v>0</v>
      </c>
      <c r="P411" s="3">
        <v>0</v>
      </c>
      <c r="Q411" s="3">
        <v>0</v>
      </c>
      <c r="R411" s="3">
        <v>0.27528200000000003</v>
      </c>
      <c r="S411" s="3">
        <v>0</v>
      </c>
      <c r="T411" s="3">
        <v>39.090000000000003</v>
      </c>
      <c r="U411" s="3">
        <v>39.090000000000003</v>
      </c>
      <c r="V411" s="70" t="s">
        <v>639</v>
      </c>
      <c r="W411" s="3" t="s">
        <v>343</v>
      </c>
      <c r="X411" s="3" t="s">
        <v>337</v>
      </c>
      <c r="Y411" s="3" t="s">
        <v>337</v>
      </c>
    </row>
    <row r="412" spans="1:25" hidden="1" x14ac:dyDescent="0.2">
      <c r="A412" s="83" t="str">
        <f t="shared" si="6"/>
        <v>郑州裕华120Z波纹杯</v>
      </c>
      <c r="B412" s="3" t="s">
        <v>711</v>
      </c>
      <c r="C412" s="84">
        <v>44377</v>
      </c>
      <c r="D412" s="3" t="s">
        <v>405</v>
      </c>
      <c r="E412" s="3" t="s">
        <v>337</v>
      </c>
      <c r="F412" s="3" t="s">
        <v>337</v>
      </c>
      <c r="G412" s="70" t="s">
        <v>406</v>
      </c>
      <c r="H412" s="3" t="s">
        <v>389</v>
      </c>
      <c r="I412" s="3" t="s">
        <v>339</v>
      </c>
      <c r="J412" s="3">
        <v>90</v>
      </c>
      <c r="K412" s="3">
        <v>0</v>
      </c>
      <c r="L412" s="3">
        <v>100</v>
      </c>
      <c r="M412" s="3">
        <v>0</v>
      </c>
      <c r="N412" s="3">
        <v>-10</v>
      </c>
      <c r="O412" s="70">
        <v>10</v>
      </c>
      <c r="P412" s="3">
        <v>0</v>
      </c>
      <c r="Q412" s="3">
        <v>0</v>
      </c>
      <c r="R412" s="3">
        <v>0.27244400000000002</v>
      </c>
      <c r="S412" s="3">
        <v>2.72</v>
      </c>
      <c r="T412" s="3">
        <v>0</v>
      </c>
      <c r="U412" s="3">
        <v>-2.72</v>
      </c>
      <c r="V412" s="70" t="s">
        <v>641</v>
      </c>
      <c r="W412" s="3" t="s">
        <v>343</v>
      </c>
      <c r="X412" s="3" t="s">
        <v>337</v>
      </c>
      <c r="Y412" s="3" t="s">
        <v>337</v>
      </c>
    </row>
    <row r="413" spans="1:25" hidden="1" x14ac:dyDescent="0.2">
      <c r="A413" s="83" t="str">
        <f t="shared" si="6"/>
        <v>清丰凤鸣120Z波纹杯</v>
      </c>
      <c r="B413" s="3" t="s">
        <v>713</v>
      </c>
      <c r="C413" s="84">
        <v>44377</v>
      </c>
      <c r="D413" s="3" t="s">
        <v>405</v>
      </c>
      <c r="E413" s="3" t="s">
        <v>337</v>
      </c>
      <c r="F413" s="3" t="s">
        <v>337</v>
      </c>
      <c r="G413" s="70" t="s">
        <v>406</v>
      </c>
      <c r="H413" s="3" t="s">
        <v>389</v>
      </c>
      <c r="I413" s="3" t="s">
        <v>339</v>
      </c>
      <c r="J413" s="3">
        <v>162</v>
      </c>
      <c r="K413" s="3">
        <v>0</v>
      </c>
      <c r="L413" s="3">
        <v>82</v>
      </c>
      <c r="M413" s="3">
        <v>80</v>
      </c>
      <c r="N413" s="3">
        <v>80</v>
      </c>
      <c r="O413" s="70">
        <v>0</v>
      </c>
      <c r="P413" s="3">
        <v>0</v>
      </c>
      <c r="Q413" s="3">
        <v>0</v>
      </c>
      <c r="R413" s="3">
        <v>0.27262500000000001</v>
      </c>
      <c r="S413" s="3">
        <v>0</v>
      </c>
      <c r="T413" s="3">
        <v>21.81</v>
      </c>
      <c r="U413" s="3">
        <v>21.81</v>
      </c>
      <c r="V413" s="70" t="s">
        <v>334</v>
      </c>
      <c r="W413" s="3" t="s">
        <v>343</v>
      </c>
      <c r="X413" s="3" t="s">
        <v>337</v>
      </c>
      <c r="Y413" s="3" t="s">
        <v>337</v>
      </c>
    </row>
    <row r="414" spans="1:25" hidden="1" x14ac:dyDescent="0.2">
      <c r="A414" s="83" t="str">
        <f t="shared" si="6"/>
        <v>方城锦城国际120Z波纹杯</v>
      </c>
      <c r="B414" s="3" t="s">
        <v>712</v>
      </c>
      <c r="C414" s="84">
        <v>44377</v>
      </c>
      <c r="D414" s="3" t="s">
        <v>405</v>
      </c>
      <c r="E414" s="3" t="s">
        <v>337</v>
      </c>
      <c r="F414" s="3" t="s">
        <v>337</v>
      </c>
      <c r="G414" s="70" t="s">
        <v>406</v>
      </c>
      <c r="H414" s="3" t="s">
        <v>389</v>
      </c>
      <c r="I414" s="3" t="s">
        <v>339</v>
      </c>
      <c r="J414" s="3">
        <v>593</v>
      </c>
      <c r="K414" s="3">
        <v>0</v>
      </c>
      <c r="L414" s="3">
        <v>164</v>
      </c>
      <c r="M414" s="3">
        <v>429</v>
      </c>
      <c r="N414" s="3">
        <v>429</v>
      </c>
      <c r="O414" s="70">
        <v>0</v>
      </c>
      <c r="P414" s="3">
        <v>0</v>
      </c>
      <c r="Q414" s="3">
        <v>0</v>
      </c>
      <c r="R414" s="3">
        <v>0.27258700000000002</v>
      </c>
      <c r="S414" s="3">
        <v>0</v>
      </c>
      <c r="T414" s="3">
        <v>116.94</v>
      </c>
      <c r="U414" s="3">
        <v>116.94</v>
      </c>
      <c r="V414" s="70" t="s">
        <v>594</v>
      </c>
      <c r="W414" s="3" t="s">
        <v>343</v>
      </c>
      <c r="X414" s="3" t="s">
        <v>337</v>
      </c>
      <c r="Y414" s="3" t="s">
        <v>337</v>
      </c>
    </row>
    <row r="415" spans="1:25" hidden="1" x14ac:dyDescent="0.2">
      <c r="A415" s="83" t="str">
        <f t="shared" si="6"/>
        <v>方城锦城国际120Z波纹杯杯盖</v>
      </c>
      <c r="B415" s="3" t="s">
        <v>712</v>
      </c>
      <c r="C415" s="84">
        <v>44377</v>
      </c>
      <c r="D415" s="3" t="s">
        <v>407</v>
      </c>
      <c r="E415" s="3" t="s">
        <v>337</v>
      </c>
      <c r="F415" s="3" t="s">
        <v>337</v>
      </c>
      <c r="G415" s="70" t="s">
        <v>408</v>
      </c>
      <c r="H415" s="3" t="s">
        <v>389</v>
      </c>
      <c r="I415" s="3" t="s">
        <v>339</v>
      </c>
      <c r="J415" s="3">
        <v>0</v>
      </c>
      <c r="K415" s="3">
        <v>160</v>
      </c>
      <c r="L415" s="3">
        <v>164</v>
      </c>
      <c r="M415" s="3">
        <v>160</v>
      </c>
      <c r="N415" s="3">
        <v>-4</v>
      </c>
      <c r="O415" s="70">
        <v>164</v>
      </c>
      <c r="P415" s="3">
        <v>0</v>
      </c>
      <c r="Q415" s="3">
        <v>0</v>
      </c>
      <c r="R415" s="3">
        <v>9.6562999999999996E-2</v>
      </c>
      <c r="S415" s="3">
        <v>15.84</v>
      </c>
      <c r="T415" s="3">
        <v>15.45</v>
      </c>
      <c r="U415" s="3">
        <v>-0.39</v>
      </c>
      <c r="V415" s="70" t="s">
        <v>594</v>
      </c>
      <c r="W415" s="3" t="s">
        <v>343</v>
      </c>
      <c r="X415" s="3" t="s">
        <v>337</v>
      </c>
      <c r="Y415" s="3" t="s">
        <v>337</v>
      </c>
    </row>
    <row r="416" spans="1:25" hidden="1" x14ac:dyDescent="0.2">
      <c r="A416" s="83" t="str">
        <f t="shared" si="6"/>
        <v>清丰凤鸣120Z波纹杯杯盖</v>
      </c>
      <c r="B416" s="3" t="s">
        <v>713</v>
      </c>
      <c r="C416" s="84">
        <v>44377</v>
      </c>
      <c r="D416" s="3" t="s">
        <v>407</v>
      </c>
      <c r="E416" s="3" t="s">
        <v>337</v>
      </c>
      <c r="F416" s="3" t="s">
        <v>337</v>
      </c>
      <c r="G416" s="70" t="s">
        <v>408</v>
      </c>
      <c r="H416" s="3" t="s">
        <v>389</v>
      </c>
      <c r="I416" s="3" t="s">
        <v>339</v>
      </c>
      <c r="J416" s="3">
        <v>162</v>
      </c>
      <c r="K416" s="3">
        <v>0</v>
      </c>
      <c r="L416" s="3">
        <v>82</v>
      </c>
      <c r="M416" s="3">
        <v>80</v>
      </c>
      <c r="N416" s="3">
        <v>80</v>
      </c>
      <c r="O416" s="70">
        <v>0</v>
      </c>
      <c r="P416" s="3">
        <v>0</v>
      </c>
      <c r="Q416" s="3">
        <v>0</v>
      </c>
      <c r="R416" s="3">
        <v>9.6625000000000003E-2</v>
      </c>
      <c r="S416" s="3">
        <v>0</v>
      </c>
      <c r="T416" s="3">
        <v>7.73</v>
      </c>
      <c r="U416" s="3">
        <v>7.73</v>
      </c>
      <c r="V416" s="70" t="s">
        <v>334</v>
      </c>
      <c r="W416" s="3" t="s">
        <v>343</v>
      </c>
      <c r="X416" s="3" t="s">
        <v>337</v>
      </c>
      <c r="Y416" s="3" t="s">
        <v>337</v>
      </c>
    </row>
    <row r="417" spans="1:25" hidden="1" x14ac:dyDescent="0.2">
      <c r="A417" s="83" t="str">
        <f t="shared" si="6"/>
        <v>郑州裕华120Z波纹杯杯盖</v>
      </c>
      <c r="B417" s="3" t="s">
        <v>711</v>
      </c>
      <c r="C417" s="84">
        <v>44377</v>
      </c>
      <c r="D417" s="3" t="s">
        <v>407</v>
      </c>
      <c r="E417" s="3" t="s">
        <v>337</v>
      </c>
      <c r="F417" s="3" t="s">
        <v>337</v>
      </c>
      <c r="G417" s="70" t="s">
        <v>408</v>
      </c>
      <c r="H417" s="3" t="s">
        <v>389</v>
      </c>
      <c r="I417" s="3" t="s">
        <v>339</v>
      </c>
      <c r="J417" s="3">
        <v>0</v>
      </c>
      <c r="K417" s="3">
        <v>0</v>
      </c>
      <c r="L417" s="3">
        <v>100</v>
      </c>
      <c r="M417" s="3">
        <v>0</v>
      </c>
      <c r="N417" s="3">
        <v>-100</v>
      </c>
      <c r="O417" s="70">
        <v>100</v>
      </c>
      <c r="P417" s="3">
        <v>0</v>
      </c>
      <c r="Q417" s="3">
        <v>0</v>
      </c>
      <c r="R417" s="3">
        <v>0.10756599999999999</v>
      </c>
      <c r="S417" s="3">
        <v>10.76</v>
      </c>
      <c r="T417" s="3">
        <v>0</v>
      </c>
      <c r="U417" s="3">
        <v>-10.76</v>
      </c>
      <c r="V417" s="70" t="s">
        <v>641</v>
      </c>
      <c r="W417" s="3" t="s">
        <v>343</v>
      </c>
      <c r="X417" s="3" t="s">
        <v>337</v>
      </c>
      <c r="Y417" s="3" t="s">
        <v>337</v>
      </c>
    </row>
    <row r="418" spans="1:25" hidden="1" x14ac:dyDescent="0.2">
      <c r="A418" s="83" t="str">
        <f t="shared" si="6"/>
        <v>滑县滑台120Z波纹杯杯盖</v>
      </c>
      <c r="B418" s="3" t="s">
        <v>710</v>
      </c>
      <c r="C418" s="84">
        <v>44377</v>
      </c>
      <c r="D418" s="3" t="s">
        <v>407</v>
      </c>
      <c r="E418" s="3" t="s">
        <v>337</v>
      </c>
      <c r="F418" s="3" t="s">
        <v>337</v>
      </c>
      <c r="G418" s="70" t="s">
        <v>408</v>
      </c>
      <c r="H418" s="3" t="s">
        <v>389</v>
      </c>
      <c r="I418" s="3" t="s">
        <v>339</v>
      </c>
      <c r="J418" s="3">
        <v>112</v>
      </c>
      <c r="K418" s="3">
        <v>40</v>
      </c>
      <c r="L418" s="3">
        <v>90</v>
      </c>
      <c r="M418" s="3">
        <v>62</v>
      </c>
      <c r="N418" s="3">
        <v>62</v>
      </c>
      <c r="O418" s="70">
        <v>0</v>
      </c>
      <c r="P418" s="3">
        <v>0</v>
      </c>
      <c r="Q418" s="3">
        <v>0</v>
      </c>
      <c r="R418" s="3">
        <v>9.4676999999999997E-2</v>
      </c>
      <c r="S418" s="3">
        <v>0</v>
      </c>
      <c r="T418" s="3">
        <v>5.87</v>
      </c>
      <c r="U418" s="3">
        <v>5.87</v>
      </c>
      <c r="V418" s="70" t="s">
        <v>639</v>
      </c>
      <c r="W418" s="3" t="s">
        <v>343</v>
      </c>
      <c r="X418" s="3" t="s">
        <v>337</v>
      </c>
      <c r="Y418" s="3" t="s">
        <v>337</v>
      </c>
    </row>
    <row r="419" spans="1:25" hidden="1" x14ac:dyDescent="0.2">
      <c r="A419" s="83" t="str">
        <f t="shared" si="6"/>
        <v>郑州盛华里120Z波纹杯杯盖</v>
      </c>
      <c r="B419" s="3" t="s">
        <v>709</v>
      </c>
      <c r="C419" s="84">
        <v>44377</v>
      </c>
      <c r="D419" s="3" t="s">
        <v>407</v>
      </c>
      <c r="E419" s="3" t="s">
        <v>337</v>
      </c>
      <c r="F419" s="3" t="s">
        <v>337</v>
      </c>
      <c r="G419" s="70" t="s">
        <v>408</v>
      </c>
      <c r="H419" s="3" t="s">
        <v>389</v>
      </c>
      <c r="I419" s="3" t="s">
        <v>339</v>
      </c>
      <c r="J419" s="3">
        <v>80</v>
      </c>
      <c r="K419" s="3">
        <v>0</v>
      </c>
      <c r="L419" s="3">
        <v>28</v>
      </c>
      <c r="M419" s="3">
        <v>50</v>
      </c>
      <c r="N419" s="3">
        <v>52</v>
      </c>
      <c r="O419" s="70">
        <v>-2</v>
      </c>
      <c r="P419" s="3">
        <v>0</v>
      </c>
      <c r="Q419" s="3">
        <v>0</v>
      </c>
      <c r="R419" s="3">
        <v>9.64E-2</v>
      </c>
      <c r="S419" s="3">
        <v>-0.19</v>
      </c>
      <c r="T419" s="3">
        <v>4.82</v>
      </c>
      <c r="U419" s="3">
        <v>5.01</v>
      </c>
      <c r="V419" s="70" t="s">
        <v>637</v>
      </c>
      <c r="W419" s="3" t="s">
        <v>343</v>
      </c>
      <c r="X419" s="3" t="s">
        <v>337</v>
      </c>
      <c r="Y419" s="3" t="s">
        <v>337</v>
      </c>
    </row>
    <row r="420" spans="1:25" hidden="1" x14ac:dyDescent="0.2">
      <c r="A420" s="83" t="str">
        <f t="shared" si="6"/>
        <v>郑州康复中街120Z波纹杯杯盖</v>
      </c>
      <c r="B420" s="3" t="s">
        <v>704</v>
      </c>
      <c r="C420" s="84">
        <v>44377</v>
      </c>
      <c r="D420" s="3" t="s">
        <v>407</v>
      </c>
      <c r="E420" s="3" t="s">
        <v>337</v>
      </c>
      <c r="F420" s="3" t="s">
        <v>337</v>
      </c>
      <c r="G420" s="70" t="s">
        <v>408</v>
      </c>
      <c r="H420" s="3" t="s">
        <v>389</v>
      </c>
      <c r="I420" s="3" t="s">
        <v>339</v>
      </c>
      <c r="J420" s="3">
        <v>0</v>
      </c>
      <c r="K420" s="3">
        <v>0</v>
      </c>
      <c r="L420" s="3">
        <v>84</v>
      </c>
      <c r="M420" s="3">
        <v>0</v>
      </c>
      <c r="N420" s="3">
        <v>-84</v>
      </c>
      <c r="O420" s="70">
        <v>84</v>
      </c>
      <c r="P420" s="3">
        <v>0</v>
      </c>
      <c r="Q420" s="3">
        <v>0</v>
      </c>
      <c r="R420" s="3">
        <v>0.10756599999999999</v>
      </c>
      <c r="S420" s="3">
        <v>9.0399999999999991</v>
      </c>
      <c r="T420" s="3">
        <v>0</v>
      </c>
      <c r="U420" s="3">
        <v>-9.0399999999999991</v>
      </c>
      <c r="V420" s="70" t="s">
        <v>593</v>
      </c>
      <c r="W420" s="3" t="s">
        <v>343</v>
      </c>
      <c r="X420" s="3" t="s">
        <v>337</v>
      </c>
      <c r="Y420" s="3" t="s">
        <v>337</v>
      </c>
    </row>
    <row r="421" spans="1:25" hidden="1" x14ac:dyDescent="0.2">
      <c r="A421" s="83" t="str">
        <f t="shared" si="6"/>
        <v>新蔡水韵天街120Z波纹杯杯盖</v>
      </c>
      <c r="B421" s="3" t="s">
        <v>703</v>
      </c>
      <c r="C421" s="84">
        <v>44377</v>
      </c>
      <c r="D421" s="3" t="s">
        <v>407</v>
      </c>
      <c r="E421" s="3" t="s">
        <v>337</v>
      </c>
      <c r="F421" s="3" t="s">
        <v>337</v>
      </c>
      <c r="G421" s="70" t="s">
        <v>408</v>
      </c>
      <c r="H421" s="3" t="s">
        <v>389</v>
      </c>
      <c r="I421" s="3" t="s">
        <v>339</v>
      </c>
      <c r="J421" s="3">
        <v>0</v>
      </c>
      <c r="K421" s="3">
        <v>120</v>
      </c>
      <c r="L421" s="3">
        <v>146</v>
      </c>
      <c r="M421" s="3">
        <v>26</v>
      </c>
      <c r="N421" s="3">
        <v>-26</v>
      </c>
      <c r="O421" s="70">
        <v>52</v>
      </c>
      <c r="P421" s="3">
        <v>0</v>
      </c>
      <c r="Q421" s="3">
        <v>0</v>
      </c>
      <c r="R421" s="3">
        <v>9.6537999999999999E-2</v>
      </c>
      <c r="S421" s="3">
        <v>5.0199999999999996</v>
      </c>
      <c r="T421" s="3">
        <v>2.5099999999999998</v>
      </c>
      <c r="U421" s="3">
        <v>-2.5099999999999998</v>
      </c>
      <c r="V421" s="70" t="s">
        <v>335</v>
      </c>
      <c r="W421" s="3" t="s">
        <v>343</v>
      </c>
      <c r="X421" s="3" t="s">
        <v>337</v>
      </c>
      <c r="Y421" s="3" t="s">
        <v>337</v>
      </c>
    </row>
    <row r="422" spans="1:25" hidden="1" x14ac:dyDescent="0.2">
      <c r="A422" s="83" t="str">
        <f t="shared" si="6"/>
        <v>郑州铁英街120Z波纹杯杯盖</v>
      </c>
      <c r="B422" s="3" t="s">
        <v>707</v>
      </c>
      <c r="C422" s="84">
        <v>44377</v>
      </c>
      <c r="D422" s="3" t="s">
        <v>407</v>
      </c>
      <c r="E422" s="3" t="s">
        <v>337</v>
      </c>
      <c r="F422" s="3" t="s">
        <v>337</v>
      </c>
      <c r="G422" s="70" t="s">
        <v>408</v>
      </c>
      <c r="H422" s="3" t="s">
        <v>389</v>
      </c>
      <c r="I422" s="3" t="s">
        <v>339</v>
      </c>
      <c r="J422" s="3">
        <v>77</v>
      </c>
      <c r="K422" s="3">
        <v>0</v>
      </c>
      <c r="L422" s="3">
        <v>36</v>
      </c>
      <c r="M422" s="3">
        <v>57</v>
      </c>
      <c r="N422" s="3">
        <v>41</v>
      </c>
      <c r="O422" s="70">
        <v>16</v>
      </c>
      <c r="P422" s="3">
        <v>0</v>
      </c>
      <c r="Q422" s="3">
        <v>0</v>
      </c>
      <c r="R422" s="3">
        <v>9.6315999999999999E-2</v>
      </c>
      <c r="S422" s="3">
        <v>1.54</v>
      </c>
      <c r="T422" s="3">
        <v>5.49</v>
      </c>
      <c r="U422" s="3">
        <v>3.95</v>
      </c>
      <c r="V422" s="70" t="s">
        <v>592</v>
      </c>
      <c r="W422" s="3" t="s">
        <v>343</v>
      </c>
      <c r="X422" s="3" t="s">
        <v>337</v>
      </c>
      <c r="Y422" s="3" t="s">
        <v>337</v>
      </c>
    </row>
    <row r="423" spans="1:25" hidden="1" x14ac:dyDescent="0.2">
      <c r="A423" s="83" t="str">
        <f t="shared" si="6"/>
        <v>郑州西悦城120Z波纹杯杯盖</v>
      </c>
      <c r="B423" s="3" t="s">
        <v>708</v>
      </c>
      <c r="C423" s="84">
        <v>44377</v>
      </c>
      <c r="D423" s="3" t="s">
        <v>407</v>
      </c>
      <c r="E423" s="3" t="s">
        <v>337</v>
      </c>
      <c r="F423" s="3" t="s">
        <v>337</v>
      </c>
      <c r="G423" s="70" t="s">
        <v>408</v>
      </c>
      <c r="H423" s="3" t="s">
        <v>389</v>
      </c>
      <c r="I423" s="3" t="s">
        <v>339</v>
      </c>
      <c r="J423" s="3">
        <v>0</v>
      </c>
      <c r="K423" s="3">
        <v>0</v>
      </c>
      <c r="L423" s="3">
        <v>114</v>
      </c>
      <c r="M423" s="3">
        <v>0</v>
      </c>
      <c r="N423" s="3">
        <v>-114</v>
      </c>
      <c r="O423" s="70">
        <v>114</v>
      </c>
      <c r="P423" s="3">
        <v>0</v>
      </c>
      <c r="Q423" s="3">
        <v>0</v>
      </c>
      <c r="R423" s="3">
        <v>0.10756599999999999</v>
      </c>
      <c r="S423" s="3">
        <v>12.26</v>
      </c>
      <c r="T423" s="3">
        <v>0</v>
      </c>
      <c r="U423" s="3">
        <v>-12.26</v>
      </c>
      <c r="V423" s="70" t="s">
        <v>332</v>
      </c>
      <c r="W423" s="3" t="s">
        <v>343</v>
      </c>
      <c r="X423" s="3" t="s">
        <v>337</v>
      </c>
      <c r="Y423" s="3" t="s">
        <v>337</v>
      </c>
    </row>
    <row r="424" spans="1:25" hidden="1" x14ac:dyDescent="0.2">
      <c r="A424" s="83" t="str">
        <f t="shared" si="6"/>
        <v>华山龙源120Z波纹杯杯盖</v>
      </c>
      <c r="B424" s="3" t="s">
        <v>705</v>
      </c>
      <c r="C424" s="84">
        <v>44377</v>
      </c>
      <c r="D424" s="3" t="s">
        <v>407</v>
      </c>
      <c r="E424" s="3" t="s">
        <v>337</v>
      </c>
      <c r="F424" s="3" t="s">
        <v>337</v>
      </c>
      <c r="G424" s="70" t="s">
        <v>408</v>
      </c>
      <c r="H424" s="3" t="s">
        <v>389</v>
      </c>
      <c r="I424" s="3" t="s">
        <v>339</v>
      </c>
      <c r="J424" s="3">
        <v>162</v>
      </c>
      <c r="K424" s="3">
        <v>0</v>
      </c>
      <c r="L424" s="3">
        <v>106</v>
      </c>
      <c r="M424" s="3">
        <v>86</v>
      </c>
      <c r="N424" s="3">
        <v>56</v>
      </c>
      <c r="O424" s="70">
        <v>30</v>
      </c>
      <c r="P424" s="3">
        <v>0</v>
      </c>
      <c r="Q424" s="3">
        <v>0</v>
      </c>
      <c r="R424" s="3">
        <v>9.6743999999999997E-2</v>
      </c>
      <c r="S424" s="3">
        <v>2.9</v>
      </c>
      <c r="T424" s="3">
        <v>8.32</v>
      </c>
      <c r="U424" s="3">
        <v>5.42</v>
      </c>
      <c r="V424" s="70" t="s">
        <v>643</v>
      </c>
      <c r="W424" s="3" t="s">
        <v>343</v>
      </c>
      <c r="X424" s="3" t="s">
        <v>337</v>
      </c>
      <c r="Y424" s="3" t="s">
        <v>337</v>
      </c>
    </row>
    <row r="425" spans="1:25" hidden="1" x14ac:dyDescent="0.2">
      <c r="A425" s="83" t="str">
        <f t="shared" si="6"/>
        <v>郑州瀚海海尚120Z波纹杯杯盖</v>
      </c>
      <c r="B425" s="3" t="s">
        <v>706</v>
      </c>
      <c r="C425" s="84">
        <v>44377</v>
      </c>
      <c r="D425" s="3" t="s">
        <v>407</v>
      </c>
      <c r="E425" s="3" t="s">
        <v>337</v>
      </c>
      <c r="F425" s="3" t="s">
        <v>337</v>
      </c>
      <c r="G425" s="70" t="s">
        <v>408</v>
      </c>
      <c r="H425" s="3" t="s">
        <v>389</v>
      </c>
      <c r="I425" s="3" t="s">
        <v>339</v>
      </c>
      <c r="J425" s="3">
        <v>200</v>
      </c>
      <c r="K425" s="3">
        <v>0</v>
      </c>
      <c r="L425" s="3">
        <v>114</v>
      </c>
      <c r="M425" s="3">
        <v>100</v>
      </c>
      <c r="N425" s="3">
        <v>86</v>
      </c>
      <c r="O425" s="70">
        <v>14</v>
      </c>
      <c r="P425" s="3">
        <v>0</v>
      </c>
      <c r="Q425" s="3">
        <v>0</v>
      </c>
      <c r="R425" s="3">
        <v>9.6500000000000002E-2</v>
      </c>
      <c r="S425" s="3">
        <v>1.35</v>
      </c>
      <c r="T425" s="3">
        <v>9.65</v>
      </c>
      <c r="U425" s="3">
        <v>8.3000000000000007</v>
      </c>
      <c r="V425" s="70" t="s">
        <v>333</v>
      </c>
      <c r="W425" s="3" t="s">
        <v>343</v>
      </c>
      <c r="X425" s="3" t="s">
        <v>337</v>
      </c>
      <c r="Y425" s="3" t="s">
        <v>337</v>
      </c>
    </row>
    <row r="426" spans="1:25" hidden="1" x14ac:dyDescent="0.2">
      <c r="A426" s="83" t="str">
        <f t="shared" si="6"/>
        <v>郑州政六街120Z波纹杯杯盖</v>
      </c>
      <c r="B426" s="3" t="s">
        <v>714</v>
      </c>
      <c r="C426" s="84">
        <v>44377</v>
      </c>
      <c r="D426" s="3" t="s">
        <v>407</v>
      </c>
      <c r="E426" s="3" t="s">
        <v>337</v>
      </c>
      <c r="F426" s="3" t="s">
        <v>337</v>
      </c>
      <c r="G426" s="70" t="s">
        <v>408</v>
      </c>
      <c r="H426" s="3" t="s">
        <v>389</v>
      </c>
      <c r="I426" s="3" t="s">
        <v>339</v>
      </c>
      <c r="J426" s="3">
        <v>0</v>
      </c>
      <c r="K426" s="3">
        <v>0</v>
      </c>
      <c r="L426" s="3">
        <v>59</v>
      </c>
      <c r="M426" s="3">
        <v>0</v>
      </c>
      <c r="N426" s="3">
        <v>-59</v>
      </c>
      <c r="O426" s="70">
        <v>59</v>
      </c>
      <c r="P426" s="3">
        <v>0</v>
      </c>
      <c r="Q426" s="3">
        <v>0</v>
      </c>
      <c r="R426" s="3">
        <v>0.10756599999999999</v>
      </c>
      <c r="S426" s="3">
        <v>6.35</v>
      </c>
      <c r="T426" s="3">
        <v>0</v>
      </c>
      <c r="U426" s="3">
        <v>-6.35</v>
      </c>
      <c r="V426" s="70" t="s">
        <v>591</v>
      </c>
      <c r="W426" s="3" t="s">
        <v>343</v>
      </c>
      <c r="X426" s="3" t="s">
        <v>337</v>
      </c>
      <c r="Y426" s="3" t="s">
        <v>337</v>
      </c>
    </row>
    <row r="427" spans="1:25" hidden="1" x14ac:dyDescent="0.2">
      <c r="A427" s="83" t="str">
        <f t="shared" si="6"/>
        <v>郑州瀚海海尚门店收银纸</v>
      </c>
      <c r="B427" s="3" t="s">
        <v>706</v>
      </c>
      <c r="C427" s="84">
        <v>44377</v>
      </c>
      <c r="D427" s="3" t="s">
        <v>409</v>
      </c>
      <c r="E427" s="3" t="s">
        <v>337</v>
      </c>
      <c r="F427" s="3" t="s">
        <v>337</v>
      </c>
      <c r="G427" s="70" t="s">
        <v>410</v>
      </c>
      <c r="H427" s="3" t="s">
        <v>343</v>
      </c>
      <c r="I427" s="3" t="s">
        <v>339</v>
      </c>
      <c r="J427" s="3">
        <v>342</v>
      </c>
      <c r="K427" s="3">
        <v>0</v>
      </c>
      <c r="L427" s="3">
        <v>0</v>
      </c>
      <c r="M427" s="3">
        <v>275</v>
      </c>
      <c r="N427" s="3">
        <v>342</v>
      </c>
      <c r="O427" s="70">
        <v>-67</v>
      </c>
      <c r="P427" s="3">
        <v>0</v>
      </c>
      <c r="Q427" s="3">
        <v>0</v>
      </c>
      <c r="R427" s="3">
        <v>0.9</v>
      </c>
      <c r="S427" s="3">
        <v>-60.3</v>
      </c>
      <c r="T427" s="3">
        <v>247.5</v>
      </c>
      <c r="U427" s="3">
        <v>307.8</v>
      </c>
      <c r="V427" s="70" t="s">
        <v>333</v>
      </c>
      <c r="W427" s="3" t="s">
        <v>343</v>
      </c>
      <c r="X427" s="3" t="s">
        <v>337</v>
      </c>
      <c r="Y427" s="3" t="s">
        <v>337</v>
      </c>
    </row>
    <row r="428" spans="1:25" hidden="1" x14ac:dyDescent="0.2">
      <c r="A428" s="83" t="str">
        <f t="shared" si="6"/>
        <v>华山龙源门店收银纸</v>
      </c>
      <c r="B428" s="3" t="s">
        <v>705</v>
      </c>
      <c r="C428" s="84">
        <v>44377</v>
      </c>
      <c r="D428" s="3" t="s">
        <v>409</v>
      </c>
      <c r="E428" s="3" t="s">
        <v>337</v>
      </c>
      <c r="F428" s="3" t="s">
        <v>337</v>
      </c>
      <c r="G428" s="70" t="s">
        <v>410</v>
      </c>
      <c r="H428" s="3" t="s">
        <v>343</v>
      </c>
      <c r="I428" s="3" t="s">
        <v>339</v>
      </c>
      <c r="J428" s="3">
        <v>109</v>
      </c>
      <c r="K428" s="3">
        <v>0</v>
      </c>
      <c r="L428" s="3">
        <v>0</v>
      </c>
      <c r="M428" s="3">
        <v>89</v>
      </c>
      <c r="N428" s="3">
        <v>109</v>
      </c>
      <c r="O428" s="70">
        <v>-20</v>
      </c>
      <c r="P428" s="3">
        <v>0</v>
      </c>
      <c r="Q428" s="3">
        <v>0</v>
      </c>
      <c r="R428" s="3">
        <v>0.9</v>
      </c>
      <c r="S428" s="3">
        <v>-18</v>
      </c>
      <c r="T428" s="3">
        <v>80.099999999999994</v>
      </c>
      <c r="U428" s="3">
        <v>98.1</v>
      </c>
      <c r="V428" s="70" t="s">
        <v>643</v>
      </c>
      <c r="W428" s="3" t="s">
        <v>343</v>
      </c>
      <c r="X428" s="3" t="s">
        <v>337</v>
      </c>
      <c r="Y428" s="3" t="s">
        <v>337</v>
      </c>
    </row>
    <row r="429" spans="1:25" hidden="1" x14ac:dyDescent="0.2">
      <c r="A429" s="83" t="str">
        <f t="shared" si="6"/>
        <v>郑州西悦城门店收银纸</v>
      </c>
      <c r="B429" s="3" t="s">
        <v>708</v>
      </c>
      <c r="C429" s="84">
        <v>44377</v>
      </c>
      <c r="D429" s="3" t="s">
        <v>409</v>
      </c>
      <c r="E429" s="3" t="s">
        <v>337</v>
      </c>
      <c r="F429" s="3" t="s">
        <v>337</v>
      </c>
      <c r="G429" s="70" t="s">
        <v>410</v>
      </c>
      <c r="H429" s="3" t="s">
        <v>343</v>
      </c>
      <c r="I429" s="3" t="s">
        <v>339</v>
      </c>
      <c r="J429" s="3">
        <v>100</v>
      </c>
      <c r="K429" s="3">
        <v>0</v>
      </c>
      <c r="L429" s="3">
        <v>0</v>
      </c>
      <c r="M429" s="3">
        <v>60</v>
      </c>
      <c r="N429" s="3">
        <v>100</v>
      </c>
      <c r="O429" s="70">
        <v>-40</v>
      </c>
      <c r="P429" s="3">
        <v>0</v>
      </c>
      <c r="Q429" s="3">
        <v>0</v>
      </c>
      <c r="R429" s="3">
        <v>0.9</v>
      </c>
      <c r="S429" s="3">
        <v>-36</v>
      </c>
      <c r="T429" s="3">
        <v>54</v>
      </c>
      <c r="U429" s="3">
        <v>90</v>
      </c>
      <c r="V429" s="70" t="s">
        <v>332</v>
      </c>
      <c r="W429" s="3" t="s">
        <v>343</v>
      </c>
      <c r="X429" s="3" t="s">
        <v>337</v>
      </c>
      <c r="Y429" s="3" t="s">
        <v>337</v>
      </c>
    </row>
    <row r="430" spans="1:25" hidden="1" x14ac:dyDescent="0.2">
      <c r="A430" s="83" t="str">
        <f t="shared" si="6"/>
        <v>郑州铁英街门店收银纸</v>
      </c>
      <c r="B430" s="3" t="s">
        <v>707</v>
      </c>
      <c r="C430" s="84">
        <v>44377</v>
      </c>
      <c r="D430" s="3" t="s">
        <v>409</v>
      </c>
      <c r="E430" s="3" t="s">
        <v>337</v>
      </c>
      <c r="F430" s="3" t="s">
        <v>337</v>
      </c>
      <c r="G430" s="70" t="s">
        <v>410</v>
      </c>
      <c r="H430" s="3" t="s">
        <v>343</v>
      </c>
      <c r="I430" s="3" t="s">
        <v>339</v>
      </c>
      <c r="J430" s="3">
        <v>54</v>
      </c>
      <c r="K430" s="3">
        <v>0</v>
      </c>
      <c r="L430" s="3">
        <v>0</v>
      </c>
      <c r="M430" s="3">
        <v>17</v>
      </c>
      <c r="N430" s="3">
        <v>54</v>
      </c>
      <c r="O430" s="70">
        <v>-37</v>
      </c>
      <c r="P430" s="3">
        <v>0</v>
      </c>
      <c r="Q430" s="3">
        <v>0</v>
      </c>
      <c r="R430" s="3">
        <v>0.9</v>
      </c>
      <c r="S430" s="3">
        <v>-33.299999999999997</v>
      </c>
      <c r="T430" s="3">
        <v>15.3</v>
      </c>
      <c r="U430" s="3">
        <v>48.6</v>
      </c>
      <c r="V430" s="70" t="s">
        <v>592</v>
      </c>
      <c r="W430" s="3" t="s">
        <v>343</v>
      </c>
      <c r="X430" s="3" t="s">
        <v>337</v>
      </c>
      <c r="Y430" s="3" t="s">
        <v>337</v>
      </c>
    </row>
    <row r="431" spans="1:25" hidden="1" x14ac:dyDescent="0.2">
      <c r="A431" s="83" t="str">
        <f t="shared" si="6"/>
        <v>新蔡水韵天街门店收银纸</v>
      </c>
      <c r="B431" s="3" t="s">
        <v>703</v>
      </c>
      <c r="C431" s="84">
        <v>44377</v>
      </c>
      <c r="D431" s="3" t="s">
        <v>409</v>
      </c>
      <c r="E431" s="3" t="s">
        <v>337</v>
      </c>
      <c r="F431" s="3" t="s">
        <v>337</v>
      </c>
      <c r="G431" s="70" t="s">
        <v>410</v>
      </c>
      <c r="H431" s="3" t="s">
        <v>343</v>
      </c>
      <c r="I431" s="3" t="s">
        <v>339</v>
      </c>
      <c r="J431" s="3">
        <v>50</v>
      </c>
      <c r="K431" s="3">
        <v>0</v>
      </c>
      <c r="L431" s="3">
        <v>0</v>
      </c>
      <c r="M431" s="3">
        <v>10</v>
      </c>
      <c r="N431" s="3">
        <v>50</v>
      </c>
      <c r="O431" s="70">
        <v>-40</v>
      </c>
      <c r="P431" s="3">
        <v>0</v>
      </c>
      <c r="Q431" s="3">
        <v>0</v>
      </c>
      <c r="R431" s="3">
        <v>0.9</v>
      </c>
      <c r="S431" s="3">
        <v>-36</v>
      </c>
      <c r="T431" s="3">
        <v>9</v>
      </c>
      <c r="U431" s="3">
        <v>45</v>
      </c>
      <c r="V431" s="70" t="s">
        <v>335</v>
      </c>
      <c r="W431" s="3" t="s">
        <v>343</v>
      </c>
      <c r="X431" s="3" t="s">
        <v>337</v>
      </c>
      <c r="Y431" s="3" t="s">
        <v>337</v>
      </c>
    </row>
    <row r="432" spans="1:25" hidden="1" x14ac:dyDescent="0.2">
      <c r="A432" s="83" t="str">
        <f t="shared" si="6"/>
        <v>郑州康复中街门店收银纸</v>
      </c>
      <c r="B432" s="3" t="s">
        <v>704</v>
      </c>
      <c r="C432" s="84">
        <v>44377</v>
      </c>
      <c r="D432" s="3" t="s">
        <v>409</v>
      </c>
      <c r="E432" s="3" t="s">
        <v>337</v>
      </c>
      <c r="F432" s="3" t="s">
        <v>337</v>
      </c>
      <c r="G432" s="70" t="s">
        <v>410</v>
      </c>
      <c r="H432" s="3" t="s">
        <v>343</v>
      </c>
      <c r="I432" s="3" t="s">
        <v>339</v>
      </c>
      <c r="J432" s="3">
        <v>169</v>
      </c>
      <c r="K432" s="3">
        <v>0</v>
      </c>
      <c r="L432" s="3">
        <v>0</v>
      </c>
      <c r="M432" s="3">
        <v>100</v>
      </c>
      <c r="N432" s="3">
        <v>169</v>
      </c>
      <c r="O432" s="70">
        <v>-69</v>
      </c>
      <c r="P432" s="3">
        <v>0</v>
      </c>
      <c r="Q432" s="3">
        <v>0</v>
      </c>
      <c r="R432" s="3">
        <v>0.9</v>
      </c>
      <c r="S432" s="3">
        <v>-62.1</v>
      </c>
      <c r="T432" s="3">
        <v>90</v>
      </c>
      <c r="U432" s="3">
        <v>152.1</v>
      </c>
      <c r="V432" s="70" t="s">
        <v>593</v>
      </c>
      <c r="W432" s="3" t="s">
        <v>343</v>
      </c>
      <c r="X432" s="3" t="s">
        <v>337</v>
      </c>
      <c r="Y432" s="3" t="s">
        <v>337</v>
      </c>
    </row>
    <row r="433" spans="1:25" hidden="1" x14ac:dyDescent="0.2">
      <c r="A433" s="83" t="str">
        <f t="shared" si="6"/>
        <v>郑州盛华里门店收银纸</v>
      </c>
      <c r="B433" s="3" t="s">
        <v>709</v>
      </c>
      <c r="C433" s="84">
        <v>44377</v>
      </c>
      <c r="D433" s="3" t="s">
        <v>409</v>
      </c>
      <c r="E433" s="3" t="s">
        <v>337</v>
      </c>
      <c r="F433" s="3" t="s">
        <v>337</v>
      </c>
      <c r="G433" s="70" t="s">
        <v>410</v>
      </c>
      <c r="H433" s="3" t="s">
        <v>343</v>
      </c>
      <c r="I433" s="3" t="s">
        <v>339</v>
      </c>
      <c r="J433" s="3">
        <v>88</v>
      </c>
      <c r="K433" s="3">
        <v>120</v>
      </c>
      <c r="L433" s="3">
        <v>0</v>
      </c>
      <c r="M433" s="3">
        <v>205</v>
      </c>
      <c r="N433" s="3">
        <v>208</v>
      </c>
      <c r="O433" s="70">
        <v>-3</v>
      </c>
      <c r="P433" s="3">
        <v>0</v>
      </c>
      <c r="Q433" s="3">
        <v>0</v>
      </c>
      <c r="R433" s="3">
        <v>0.9</v>
      </c>
      <c r="S433" s="3">
        <v>-2.7</v>
      </c>
      <c r="T433" s="3">
        <v>184.5</v>
      </c>
      <c r="U433" s="3">
        <v>187.2</v>
      </c>
      <c r="V433" s="70" t="s">
        <v>637</v>
      </c>
      <c r="W433" s="3" t="s">
        <v>343</v>
      </c>
      <c r="X433" s="3" t="s">
        <v>337</v>
      </c>
      <c r="Y433" s="3" t="s">
        <v>337</v>
      </c>
    </row>
    <row r="434" spans="1:25" hidden="1" x14ac:dyDescent="0.2">
      <c r="A434" s="83" t="str">
        <f t="shared" si="6"/>
        <v>滑县滑台门店收银纸</v>
      </c>
      <c r="B434" s="3" t="s">
        <v>710</v>
      </c>
      <c r="C434" s="84">
        <v>44377</v>
      </c>
      <c r="D434" s="3" t="s">
        <v>409</v>
      </c>
      <c r="E434" s="3" t="s">
        <v>337</v>
      </c>
      <c r="F434" s="3" t="s">
        <v>337</v>
      </c>
      <c r="G434" s="70" t="s">
        <v>410</v>
      </c>
      <c r="H434" s="3" t="s">
        <v>343</v>
      </c>
      <c r="I434" s="3" t="s">
        <v>339</v>
      </c>
      <c r="J434" s="3">
        <v>80</v>
      </c>
      <c r="K434" s="3">
        <v>0</v>
      </c>
      <c r="L434" s="3">
        <v>0</v>
      </c>
      <c r="M434" s="3">
        <v>28</v>
      </c>
      <c r="N434" s="3">
        <v>80</v>
      </c>
      <c r="O434" s="70">
        <v>-52</v>
      </c>
      <c r="P434" s="3">
        <v>0</v>
      </c>
      <c r="Q434" s="3">
        <v>0</v>
      </c>
      <c r="R434" s="3">
        <v>0.9</v>
      </c>
      <c r="S434" s="3">
        <v>-46.8</v>
      </c>
      <c r="T434" s="3">
        <v>25.2</v>
      </c>
      <c r="U434" s="3">
        <v>72</v>
      </c>
      <c r="V434" s="70" t="s">
        <v>639</v>
      </c>
      <c r="W434" s="3" t="s">
        <v>343</v>
      </c>
      <c r="X434" s="3" t="s">
        <v>337</v>
      </c>
      <c r="Y434" s="3" t="s">
        <v>337</v>
      </c>
    </row>
    <row r="435" spans="1:25" hidden="1" x14ac:dyDescent="0.2">
      <c r="A435" s="83" t="str">
        <f t="shared" si="6"/>
        <v>郑州裕华门店收银纸</v>
      </c>
      <c r="B435" s="3" t="s">
        <v>711</v>
      </c>
      <c r="C435" s="84">
        <v>44377</v>
      </c>
      <c r="D435" s="3" t="s">
        <v>409</v>
      </c>
      <c r="E435" s="3" t="s">
        <v>337</v>
      </c>
      <c r="F435" s="3" t="s">
        <v>337</v>
      </c>
      <c r="G435" s="70" t="s">
        <v>410</v>
      </c>
      <c r="H435" s="3" t="s">
        <v>343</v>
      </c>
      <c r="I435" s="3" t="s">
        <v>339</v>
      </c>
      <c r="J435" s="3">
        <v>100</v>
      </c>
      <c r="K435" s="3">
        <v>0</v>
      </c>
      <c r="L435" s="3">
        <v>0</v>
      </c>
      <c r="M435" s="3">
        <v>70</v>
      </c>
      <c r="N435" s="3">
        <v>100</v>
      </c>
      <c r="O435" s="70">
        <v>-30</v>
      </c>
      <c r="P435" s="3">
        <v>0</v>
      </c>
      <c r="Q435" s="3">
        <v>0</v>
      </c>
      <c r="R435" s="3">
        <v>0.9</v>
      </c>
      <c r="S435" s="3">
        <v>-27</v>
      </c>
      <c r="T435" s="3">
        <v>63</v>
      </c>
      <c r="U435" s="3">
        <v>90</v>
      </c>
      <c r="V435" s="70" t="s">
        <v>641</v>
      </c>
      <c r="W435" s="3" t="s">
        <v>343</v>
      </c>
      <c r="X435" s="3" t="s">
        <v>337</v>
      </c>
      <c r="Y435" s="3" t="s">
        <v>337</v>
      </c>
    </row>
    <row r="436" spans="1:25" hidden="1" x14ac:dyDescent="0.2">
      <c r="A436" s="83" t="str">
        <f t="shared" si="6"/>
        <v>清丰凤鸣门店收银纸</v>
      </c>
      <c r="B436" s="3" t="s">
        <v>713</v>
      </c>
      <c r="C436" s="84">
        <v>44377</v>
      </c>
      <c r="D436" s="3" t="s">
        <v>409</v>
      </c>
      <c r="E436" s="3" t="s">
        <v>337</v>
      </c>
      <c r="F436" s="3" t="s">
        <v>337</v>
      </c>
      <c r="G436" s="70" t="s">
        <v>410</v>
      </c>
      <c r="H436" s="3" t="s">
        <v>343</v>
      </c>
      <c r="I436" s="3" t="s">
        <v>339</v>
      </c>
      <c r="J436" s="3">
        <v>34</v>
      </c>
      <c r="K436" s="3">
        <v>120</v>
      </c>
      <c r="L436" s="3">
        <v>0</v>
      </c>
      <c r="M436" s="3">
        <v>123</v>
      </c>
      <c r="N436" s="3">
        <v>154</v>
      </c>
      <c r="O436" s="70">
        <v>-31</v>
      </c>
      <c r="P436" s="3">
        <v>0</v>
      </c>
      <c r="Q436" s="3">
        <v>0</v>
      </c>
      <c r="R436" s="3">
        <v>0.9</v>
      </c>
      <c r="S436" s="3">
        <v>-27.9</v>
      </c>
      <c r="T436" s="3">
        <v>110.7</v>
      </c>
      <c r="U436" s="3">
        <v>138.6</v>
      </c>
      <c r="V436" s="70" t="s">
        <v>334</v>
      </c>
      <c r="W436" s="3" t="s">
        <v>343</v>
      </c>
      <c r="X436" s="3" t="s">
        <v>337</v>
      </c>
      <c r="Y436" s="3" t="s">
        <v>337</v>
      </c>
    </row>
    <row r="437" spans="1:25" hidden="1" x14ac:dyDescent="0.2">
      <c r="A437" s="83" t="str">
        <f t="shared" si="6"/>
        <v>方城锦城国际门店收银纸</v>
      </c>
      <c r="B437" s="3" t="s">
        <v>712</v>
      </c>
      <c r="C437" s="84">
        <v>44377</v>
      </c>
      <c r="D437" s="3" t="s">
        <v>409</v>
      </c>
      <c r="E437" s="3" t="s">
        <v>337</v>
      </c>
      <c r="F437" s="3" t="s">
        <v>337</v>
      </c>
      <c r="G437" s="70" t="s">
        <v>410</v>
      </c>
      <c r="H437" s="3" t="s">
        <v>343</v>
      </c>
      <c r="I437" s="3" t="s">
        <v>339</v>
      </c>
      <c r="J437" s="3">
        <v>46</v>
      </c>
      <c r="K437" s="3">
        <v>0</v>
      </c>
      <c r="L437" s="3">
        <v>0</v>
      </c>
      <c r="M437" s="3">
        <v>3</v>
      </c>
      <c r="N437" s="3">
        <v>46</v>
      </c>
      <c r="O437" s="70">
        <v>-43</v>
      </c>
      <c r="P437" s="3">
        <v>0</v>
      </c>
      <c r="Q437" s="3">
        <v>0</v>
      </c>
      <c r="R437" s="3">
        <v>0.9</v>
      </c>
      <c r="S437" s="3">
        <v>-38.700000000000003</v>
      </c>
      <c r="T437" s="3">
        <v>2.7</v>
      </c>
      <c r="U437" s="3">
        <v>41.4</v>
      </c>
      <c r="V437" s="70" t="s">
        <v>594</v>
      </c>
      <c r="W437" s="3" t="s">
        <v>343</v>
      </c>
      <c r="X437" s="3" t="s">
        <v>337</v>
      </c>
      <c r="Y437" s="3" t="s">
        <v>337</v>
      </c>
    </row>
    <row r="438" spans="1:25" hidden="1" x14ac:dyDescent="0.2">
      <c r="A438" s="83" t="str">
        <f t="shared" si="6"/>
        <v>方城锦城国际腌制袋</v>
      </c>
      <c r="B438" s="3" t="s">
        <v>712</v>
      </c>
      <c r="C438" s="84">
        <v>44377</v>
      </c>
      <c r="D438" s="3" t="s">
        <v>411</v>
      </c>
      <c r="E438" s="3" t="s">
        <v>337</v>
      </c>
      <c r="F438" s="3" t="s">
        <v>337</v>
      </c>
      <c r="G438" s="70" t="s">
        <v>412</v>
      </c>
      <c r="H438" s="3" t="s">
        <v>343</v>
      </c>
      <c r="I438" s="3" t="s">
        <v>413</v>
      </c>
      <c r="J438" s="3">
        <v>3</v>
      </c>
      <c r="K438" s="3">
        <v>0</v>
      </c>
      <c r="L438" s="3">
        <v>0</v>
      </c>
      <c r="M438" s="3">
        <v>1</v>
      </c>
      <c r="N438" s="3">
        <v>3</v>
      </c>
      <c r="O438" s="70">
        <v>-2</v>
      </c>
      <c r="P438" s="3">
        <v>0</v>
      </c>
      <c r="Q438" s="3">
        <v>0</v>
      </c>
      <c r="R438" s="3">
        <v>3.6</v>
      </c>
      <c r="S438" s="3">
        <v>-7.2</v>
      </c>
      <c r="T438" s="3">
        <v>3.6</v>
      </c>
      <c r="U438" s="3">
        <v>10.8</v>
      </c>
      <c r="V438" s="70" t="s">
        <v>594</v>
      </c>
      <c r="W438" s="3" t="s">
        <v>343</v>
      </c>
      <c r="X438" s="3" t="s">
        <v>337</v>
      </c>
      <c r="Y438" s="3" t="s">
        <v>337</v>
      </c>
    </row>
    <row r="439" spans="1:25" hidden="1" x14ac:dyDescent="0.2">
      <c r="A439" s="83" t="str">
        <f t="shared" si="6"/>
        <v>清丰凤鸣腌制袋</v>
      </c>
      <c r="B439" s="3" t="s">
        <v>713</v>
      </c>
      <c r="C439" s="84">
        <v>44377</v>
      </c>
      <c r="D439" s="3" t="s">
        <v>411</v>
      </c>
      <c r="E439" s="3" t="s">
        <v>337</v>
      </c>
      <c r="F439" s="3" t="s">
        <v>337</v>
      </c>
      <c r="G439" s="70" t="s">
        <v>412</v>
      </c>
      <c r="H439" s="3" t="s">
        <v>343</v>
      </c>
      <c r="I439" s="3" t="s">
        <v>413</v>
      </c>
      <c r="J439" s="3">
        <v>8</v>
      </c>
      <c r="K439" s="3">
        <v>0</v>
      </c>
      <c r="L439" s="3">
        <v>0</v>
      </c>
      <c r="M439" s="3">
        <v>4</v>
      </c>
      <c r="N439" s="3">
        <v>8</v>
      </c>
      <c r="O439" s="70">
        <v>-4</v>
      </c>
      <c r="P439" s="3">
        <v>0</v>
      </c>
      <c r="Q439" s="3">
        <v>0</v>
      </c>
      <c r="R439" s="3">
        <v>3.6</v>
      </c>
      <c r="S439" s="3">
        <v>-14.4</v>
      </c>
      <c r="T439" s="3">
        <v>14.4</v>
      </c>
      <c r="U439" s="3">
        <v>28.8</v>
      </c>
      <c r="V439" s="70" t="s">
        <v>334</v>
      </c>
      <c r="W439" s="3" t="s">
        <v>343</v>
      </c>
      <c r="X439" s="3" t="s">
        <v>337</v>
      </c>
      <c r="Y439" s="3" t="s">
        <v>337</v>
      </c>
    </row>
    <row r="440" spans="1:25" hidden="1" x14ac:dyDescent="0.2">
      <c r="A440" s="83" t="str">
        <f t="shared" si="6"/>
        <v>郑州裕华腌制袋</v>
      </c>
      <c r="B440" s="3" t="s">
        <v>711</v>
      </c>
      <c r="C440" s="84">
        <v>44377</v>
      </c>
      <c r="D440" s="3" t="s">
        <v>411</v>
      </c>
      <c r="E440" s="3" t="s">
        <v>337</v>
      </c>
      <c r="F440" s="3" t="s">
        <v>337</v>
      </c>
      <c r="G440" s="70" t="s">
        <v>412</v>
      </c>
      <c r="H440" s="3" t="s">
        <v>343</v>
      </c>
      <c r="I440" s="3" t="s">
        <v>413</v>
      </c>
      <c r="J440" s="3">
        <v>18</v>
      </c>
      <c r="K440" s="3">
        <v>0</v>
      </c>
      <c r="L440" s="3">
        <v>0</v>
      </c>
      <c r="M440" s="3">
        <v>6</v>
      </c>
      <c r="N440" s="3">
        <v>18</v>
      </c>
      <c r="O440" s="70">
        <v>-12</v>
      </c>
      <c r="P440" s="3">
        <v>0</v>
      </c>
      <c r="Q440" s="3">
        <v>0</v>
      </c>
      <c r="R440" s="3">
        <v>3.6</v>
      </c>
      <c r="S440" s="3">
        <v>-43.2</v>
      </c>
      <c r="T440" s="3">
        <v>21.6</v>
      </c>
      <c r="U440" s="3">
        <v>64.8</v>
      </c>
      <c r="V440" s="70" t="s">
        <v>641</v>
      </c>
      <c r="W440" s="3" t="s">
        <v>343</v>
      </c>
      <c r="X440" s="3" t="s">
        <v>337</v>
      </c>
      <c r="Y440" s="3" t="s">
        <v>337</v>
      </c>
    </row>
    <row r="441" spans="1:25" hidden="1" x14ac:dyDescent="0.2">
      <c r="A441" s="83" t="str">
        <f t="shared" si="6"/>
        <v>滑县滑台腌制袋</v>
      </c>
      <c r="B441" s="3" t="s">
        <v>710</v>
      </c>
      <c r="C441" s="84">
        <v>44377</v>
      </c>
      <c r="D441" s="3" t="s">
        <v>411</v>
      </c>
      <c r="E441" s="3" t="s">
        <v>337</v>
      </c>
      <c r="F441" s="3" t="s">
        <v>337</v>
      </c>
      <c r="G441" s="70" t="s">
        <v>412</v>
      </c>
      <c r="H441" s="3" t="s">
        <v>343</v>
      </c>
      <c r="I441" s="3" t="s">
        <v>413</v>
      </c>
      <c r="J441" s="3">
        <v>3</v>
      </c>
      <c r="K441" s="3">
        <v>10</v>
      </c>
      <c r="L441" s="3">
        <v>0</v>
      </c>
      <c r="M441" s="3">
        <v>5</v>
      </c>
      <c r="N441" s="3">
        <v>13</v>
      </c>
      <c r="O441" s="70">
        <v>-8</v>
      </c>
      <c r="P441" s="3">
        <v>0</v>
      </c>
      <c r="Q441" s="3">
        <v>0</v>
      </c>
      <c r="R441" s="3">
        <v>3.6</v>
      </c>
      <c r="S441" s="3">
        <v>-28.8</v>
      </c>
      <c r="T441" s="3">
        <v>18</v>
      </c>
      <c r="U441" s="3">
        <v>46.8</v>
      </c>
      <c r="V441" s="70" t="s">
        <v>639</v>
      </c>
      <c r="W441" s="3" t="s">
        <v>343</v>
      </c>
      <c r="X441" s="3" t="s">
        <v>337</v>
      </c>
      <c r="Y441" s="3" t="s">
        <v>337</v>
      </c>
    </row>
    <row r="442" spans="1:25" hidden="1" x14ac:dyDescent="0.2">
      <c r="A442" s="83" t="str">
        <f t="shared" si="6"/>
        <v>郑州盛华里腌制袋</v>
      </c>
      <c r="B442" s="3" t="s">
        <v>709</v>
      </c>
      <c r="C442" s="84">
        <v>44377</v>
      </c>
      <c r="D442" s="3" t="s">
        <v>411</v>
      </c>
      <c r="E442" s="3" t="s">
        <v>337</v>
      </c>
      <c r="F442" s="3" t="s">
        <v>337</v>
      </c>
      <c r="G442" s="70" t="s">
        <v>412</v>
      </c>
      <c r="H442" s="3" t="s">
        <v>343</v>
      </c>
      <c r="I442" s="3" t="s">
        <v>413</v>
      </c>
      <c r="J442" s="3">
        <v>4</v>
      </c>
      <c r="K442" s="3">
        <v>0</v>
      </c>
      <c r="L442" s="3">
        <v>0</v>
      </c>
      <c r="M442" s="3">
        <v>3</v>
      </c>
      <c r="N442" s="3">
        <v>4</v>
      </c>
      <c r="O442" s="70">
        <v>-1</v>
      </c>
      <c r="P442" s="3">
        <v>0</v>
      </c>
      <c r="Q442" s="3">
        <v>0</v>
      </c>
      <c r="R442" s="3">
        <v>3.6</v>
      </c>
      <c r="S442" s="3">
        <v>-3.6</v>
      </c>
      <c r="T442" s="3">
        <v>10.8</v>
      </c>
      <c r="U442" s="3">
        <v>14.4</v>
      </c>
      <c r="V442" s="70" t="s">
        <v>637</v>
      </c>
      <c r="W442" s="3" t="s">
        <v>343</v>
      </c>
      <c r="X442" s="3" t="s">
        <v>337</v>
      </c>
      <c r="Y442" s="3" t="s">
        <v>337</v>
      </c>
    </row>
    <row r="443" spans="1:25" hidden="1" x14ac:dyDescent="0.2">
      <c r="A443" s="83" t="str">
        <f t="shared" si="6"/>
        <v>郑州康复中街腌制袋</v>
      </c>
      <c r="B443" s="3" t="s">
        <v>704</v>
      </c>
      <c r="C443" s="84">
        <v>44377</v>
      </c>
      <c r="D443" s="3" t="s">
        <v>411</v>
      </c>
      <c r="E443" s="3" t="s">
        <v>337</v>
      </c>
      <c r="F443" s="3" t="s">
        <v>337</v>
      </c>
      <c r="G443" s="70" t="s">
        <v>412</v>
      </c>
      <c r="H443" s="3" t="s">
        <v>343</v>
      </c>
      <c r="I443" s="3" t="s">
        <v>413</v>
      </c>
      <c r="J443" s="3">
        <v>10</v>
      </c>
      <c r="K443" s="3">
        <v>0</v>
      </c>
      <c r="L443" s="3">
        <v>0</v>
      </c>
      <c r="M443" s="3">
        <v>6</v>
      </c>
      <c r="N443" s="3">
        <v>10</v>
      </c>
      <c r="O443" s="70">
        <v>-4</v>
      </c>
      <c r="P443" s="3">
        <v>0</v>
      </c>
      <c r="Q443" s="3">
        <v>0</v>
      </c>
      <c r="R443" s="3">
        <v>3.6</v>
      </c>
      <c r="S443" s="3">
        <v>-14.4</v>
      </c>
      <c r="T443" s="3">
        <v>21.6</v>
      </c>
      <c r="U443" s="3">
        <v>36</v>
      </c>
      <c r="V443" s="70" t="s">
        <v>593</v>
      </c>
      <c r="W443" s="3" t="s">
        <v>343</v>
      </c>
      <c r="X443" s="3" t="s">
        <v>337</v>
      </c>
      <c r="Y443" s="3" t="s">
        <v>337</v>
      </c>
    </row>
    <row r="444" spans="1:25" hidden="1" x14ac:dyDescent="0.2">
      <c r="A444" s="83" t="str">
        <f t="shared" si="6"/>
        <v>新蔡水韵天街腌制袋</v>
      </c>
      <c r="B444" s="3" t="s">
        <v>703</v>
      </c>
      <c r="C444" s="84">
        <v>44377</v>
      </c>
      <c r="D444" s="3" t="s">
        <v>411</v>
      </c>
      <c r="E444" s="3" t="s">
        <v>337</v>
      </c>
      <c r="F444" s="3" t="s">
        <v>337</v>
      </c>
      <c r="G444" s="70" t="s">
        <v>412</v>
      </c>
      <c r="H444" s="3" t="s">
        <v>343</v>
      </c>
      <c r="I444" s="3" t="s">
        <v>413</v>
      </c>
      <c r="J444" s="3">
        <v>3</v>
      </c>
      <c r="K444" s="3">
        <v>10</v>
      </c>
      <c r="L444" s="3">
        <v>0</v>
      </c>
      <c r="M444" s="3">
        <v>9</v>
      </c>
      <c r="N444" s="3">
        <v>13</v>
      </c>
      <c r="O444" s="70">
        <v>-4</v>
      </c>
      <c r="P444" s="3">
        <v>0</v>
      </c>
      <c r="Q444" s="3">
        <v>0</v>
      </c>
      <c r="R444" s="3">
        <v>3.6</v>
      </c>
      <c r="S444" s="3">
        <v>-14.4</v>
      </c>
      <c r="T444" s="3">
        <v>32.4</v>
      </c>
      <c r="U444" s="3">
        <v>46.8</v>
      </c>
      <c r="V444" s="70" t="s">
        <v>335</v>
      </c>
      <c r="W444" s="3" t="s">
        <v>343</v>
      </c>
      <c r="X444" s="3" t="s">
        <v>337</v>
      </c>
      <c r="Y444" s="3" t="s">
        <v>337</v>
      </c>
    </row>
    <row r="445" spans="1:25" hidden="1" x14ac:dyDescent="0.2">
      <c r="A445" s="83" t="str">
        <f t="shared" si="6"/>
        <v>郑州铁英街腌制袋</v>
      </c>
      <c r="B445" s="3" t="s">
        <v>707</v>
      </c>
      <c r="C445" s="84">
        <v>44377</v>
      </c>
      <c r="D445" s="3" t="s">
        <v>411</v>
      </c>
      <c r="E445" s="3" t="s">
        <v>337</v>
      </c>
      <c r="F445" s="3" t="s">
        <v>337</v>
      </c>
      <c r="G445" s="70" t="s">
        <v>412</v>
      </c>
      <c r="H445" s="3" t="s">
        <v>343</v>
      </c>
      <c r="I445" s="3" t="s">
        <v>413</v>
      </c>
      <c r="J445" s="3">
        <v>2</v>
      </c>
      <c r="K445" s="3">
        <v>10</v>
      </c>
      <c r="L445" s="3">
        <v>0</v>
      </c>
      <c r="M445" s="3">
        <v>10</v>
      </c>
      <c r="N445" s="3">
        <v>12</v>
      </c>
      <c r="O445" s="70">
        <v>-2</v>
      </c>
      <c r="P445" s="3">
        <v>0</v>
      </c>
      <c r="Q445" s="3">
        <v>0</v>
      </c>
      <c r="R445" s="3">
        <v>3.6</v>
      </c>
      <c r="S445" s="3">
        <v>-7.2</v>
      </c>
      <c r="T445" s="3">
        <v>36</v>
      </c>
      <c r="U445" s="3">
        <v>43.2</v>
      </c>
      <c r="V445" s="70" t="s">
        <v>592</v>
      </c>
      <c r="W445" s="3" t="s">
        <v>343</v>
      </c>
      <c r="X445" s="3" t="s">
        <v>337</v>
      </c>
      <c r="Y445" s="3" t="s">
        <v>337</v>
      </c>
    </row>
    <row r="446" spans="1:25" hidden="1" x14ac:dyDescent="0.2">
      <c r="A446" s="83" t="str">
        <f t="shared" si="6"/>
        <v>郑州西悦城腌制袋</v>
      </c>
      <c r="B446" s="3" t="s">
        <v>708</v>
      </c>
      <c r="C446" s="84">
        <v>44377</v>
      </c>
      <c r="D446" s="3" t="s">
        <v>411</v>
      </c>
      <c r="E446" s="3" t="s">
        <v>337</v>
      </c>
      <c r="F446" s="3" t="s">
        <v>337</v>
      </c>
      <c r="G446" s="70" t="s">
        <v>412</v>
      </c>
      <c r="H446" s="3" t="s">
        <v>343</v>
      </c>
      <c r="I446" s="3" t="s">
        <v>413</v>
      </c>
      <c r="J446" s="3">
        <v>9</v>
      </c>
      <c r="K446" s="3">
        <v>0</v>
      </c>
      <c r="L446" s="3">
        <v>0</v>
      </c>
      <c r="M446" s="3">
        <v>9</v>
      </c>
      <c r="N446" s="3">
        <v>9</v>
      </c>
      <c r="O446" s="70">
        <v>0</v>
      </c>
      <c r="P446" s="3">
        <v>0</v>
      </c>
      <c r="Q446" s="3">
        <v>0</v>
      </c>
      <c r="R446" s="3">
        <v>3.6</v>
      </c>
      <c r="S446" s="3">
        <v>0</v>
      </c>
      <c r="T446" s="3">
        <v>32.4</v>
      </c>
      <c r="U446" s="3">
        <v>32.4</v>
      </c>
      <c r="V446" s="70" t="s">
        <v>332</v>
      </c>
      <c r="W446" s="3" t="s">
        <v>343</v>
      </c>
      <c r="X446" s="3" t="s">
        <v>337</v>
      </c>
      <c r="Y446" s="3" t="s">
        <v>337</v>
      </c>
    </row>
    <row r="447" spans="1:25" hidden="1" x14ac:dyDescent="0.2">
      <c r="A447" s="83" t="str">
        <f t="shared" si="6"/>
        <v>华山龙源腌制袋</v>
      </c>
      <c r="B447" s="3" t="s">
        <v>705</v>
      </c>
      <c r="C447" s="84">
        <v>44377</v>
      </c>
      <c r="D447" s="3" t="s">
        <v>411</v>
      </c>
      <c r="E447" s="3" t="s">
        <v>337</v>
      </c>
      <c r="F447" s="3" t="s">
        <v>337</v>
      </c>
      <c r="G447" s="70" t="s">
        <v>412</v>
      </c>
      <c r="H447" s="3" t="s">
        <v>343</v>
      </c>
      <c r="I447" s="3" t="s">
        <v>413</v>
      </c>
      <c r="J447" s="3">
        <v>8</v>
      </c>
      <c r="K447" s="3">
        <v>0</v>
      </c>
      <c r="L447" s="3">
        <v>0</v>
      </c>
      <c r="M447" s="3">
        <v>1</v>
      </c>
      <c r="N447" s="3">
        <v>8</v>
      </c>
      <c r="O447" s="70">
        <v>-7</v>
      </c>
      <c r="P447" s="3">
        <v>0</v>
      </c>
      <c r="Q447" s="3">
        <v>0</v>
      </c>
      <c r="R447" s="3">
        <v>3.6</v>
      </c>
      <c r="S447" s="3">
        <v>-25.2</v>
      </c>
      <c r="T447" s="3">
        <v>3.6</v>
      </c>
      <c r="U447" s="3">
        <v>28.8</v>
      </c>
      <c r="V447" s="70" t="s">
        <v>643</v>
      </c>
      <c r="W447" s="3" t="s">
        <v>343</v>
      </c>
      <c r="X447" s="3" t="s">
        <v>337</v>
      </c>
      <c r="Y447" s="3" t="s">
        <v>337</v>
      </c>
    </row>
    <row r="448" spans="1:25" hidden="1" x14ac:dyDescent="0.2">
      <c r="A448" s="83" t="str">
        <f t="shared" si="6"/>
        <v>郑州瀚海海尚腌制袋</v>
      </c>
      <c r="B448" s="3" t="s">
        <v>706</v>
      </c>
      <c r="C448" s="84">
        <v>44377</v>
      </c>
      <c r="D448" s="3" t="s">
        <v>411</v>
      </c>
      <c r="E448" s="3" t="s">
        <v>337</v>
      </c>
      <c r="F448" s="3" t="s">
        <v>337</v>
      </c>
      <c r="G448" s="70" t="s">
        <v>412</v>
      </c>
      <c r="H448" s="3" t="s">
        <v>343</v>
      </c>
      <c r="I448" s="3" t="s">
        <v>413</v>
      </c>
      <c r="J448" s="3">
        <v>16</v>
      </c>
      <c r="K448" s="3">
        <v>0</v>
      </c>
      <c r="L448" s="3">
        <v>0</v>
      </c>
      <c r="M448" s="3">
        <v>16</v>
      </c>
      <c r="N448" s="3">
        <v>16</v>
      </c>
      <c r="O448" s="70">
        <v>0</v>
      </c>
      <c r="P448" s="3">
        <v>0</v>
      </c>
      <c r="Q448" s="3">
        <v>0</v>
      </c>
      <c r="R448" s="3">
        <v>3.6</v>
      </c>
      <c r="S448" s="3">
        <v>0</v>
      </c>
      <c r="T448" s="3">
        <v>57.6</v>
      </c>
      <c r="U448" s="3">
        <v>57.6</v>
      </c>
      <c r="V448" s="70" t="s">
        <v>333</v>
      </c>
      <c r="W448" s="3" t="s">
        <v>343</v>
      </c>
      <c r="X448" s="3" t="s">
        <v>337</v>
      </c>
      <c r="Y448" s="3" t="s">
        <v>337</v>
      </c>
    </row>
    <row r="449" spans="1:25" hidden="1" x14ac:dyDescent="0.2">
      <c r="A449" s="83" t="str">
        <f t="shared" si="6"/>
        <v>郑州瀚海海尚玉米杯原材料</v>
      </c>
      <c r="B449" s="3" t="s">
        <v>706</v>
      </c>
      <c r="C449" s="84">
        <v>44377</v>
      </c>
      <c r="D449" s="3" t="s">
        <v>414</v>
      </c>
      <c r="E449" s="3" t="s">
        <v>337</v>
      </c>
      <c r="F449" s="3" t="s">
        <v>337</v>
      </c>
      <c r="G449" s="70" t="s">
        <v>415</v>
      </c>
      <c r="H449" s="3" t="s">
        <v>415</v>
      </c>
      <c r="I449" s="3" t="s">
        <v>339</v>
      </c>
      <c r="J449" s="3">
        <v>282</v>
      </c>
      <c r="K449" s="3">
        <v>0</v>
      </c>
      <c r="L449" s="3">
        <v>216</v>
      </c>
      <c r="M449" s="3">
        <v>170</v>
      </c>
      <c r="N449" s="3">
        <v>66</v>
      </c>
      <c r="O449" s="70">
        <v>104</v>
      </c>
      <c r="P449" s="3">
        <v>0</v>
      </c>
      <c r="Q449" s="3">
        <v>0</v>
      </c>
      <c r="R449" s="3">
        <v>7.9411999999999996E-2</v>
      </c>
      <c r="S449" s="3">
        <v>8.26</v>
      </c>
      <c r="T449" s="3">
        <v>13.5</v>
      </c>
      <c r="U449" s="3">
        <v>5.24</v>
      </c>
      <c r="V449" s="70" t="s">
        <v>333</v>
      </c>
      <c r="W449" s="3" t="s">
        <v>343</v>
      </c>
      <c r="X449" s="3" t="s">
        <v>337</v>
      </c>
      <c r="Y449" s="3" t="s">
        <v>337</v>
      </c>
    </row>
    <row r="450" spans="1:25" hidden="1" x14ac:dyDescent="0.2">
      <c r="A450" s="83" t="str">
        <f t="shared" si="6"/>
        <v>华山龙源玉米杯原材料</v>
      </c>
      <c r="B450" s="3" t="s">
        <v>705</v>
      </c>
      <c r="C450" s="84">
        <v>44377</v>
      </c>
      <c r="D450" s="3" t="s">
        <v>414</v>
      </c>
      <c r="E450" s="3" t="s">
        <v>337</v>
      </c>
      <c r="F450" s="3" t="s">
        <v>337</v>
      </c>
      <c r="G450" s="70" t="s">
        <v>415</v>
      </c>
      <c r="H450" s="3" t="s">
        <v>415</v>
      </c>
      <c r="I450" s="3" t="s">
        <v>339</v>
      </c>
      <c r="J450" s="3">
        <v>120</v>
      </c>
      <c r="K450" s="3">
        <v>140</v>
      </c>
      <c r="L450" s="3">
        <v>123</v>
      </c>
      <c r="M450" s="3">
        <v>140</v>
      </c>
      <c r="N450" s="3">
        <v>137</v>
      </c>
      <c r="O450" s="70">
        <v>3</v>
      </c>
      <c r="P450" s="3">
        <v>0</v>
      </c>
      <c r="Q450" s="3">
        <v>0</v>
      </c>
      <c r="R450" s="3">
        <v>7.9643000000000005E-2</v>
      </c>
      <c r="S450" s="3">
        <v>0.24</v>
      </c>
      <c r="T450" s="3">
        <v>11.15</v>
      </c>
      <c r="U450" s="3">
        <v>10.91</v>
      </c>
      <c r="V450" s="70" t="s">
        <v>643</v>
      </c>
      <c r="W450" s="3" t="s">
        <v>343</v>
      </c>
      <c r="X450" s="3" t="s">
        <v>337</v>
      </c>
      <c r="Y450" s="3" t="s">
        <v>337</v>
      </c>
    </row>
    <row r="451" spans="1:25" hidden="1" x14ac:dyDescent="0.2">
      <c r="A451" s="83" t="str">
        <f t="shared" ref="A451:A514" si="7">V451&amp;G451</f>
        <v>郑州西悦城玉米杯原材料</v>
      </c>
      <c r="B451" s="3" t="s">
        <v>708</v>
      </c>
      <c r="C451" s="84">
        <v>44377</v>
      </c>
      <c r="D451" s="3" t="s">
        <v>414</v>
      </c>
      <c r="E451" s="3" t="s">
        <v>337</v>
      </c>
      <c r="F451" s="3" t="s">
        <v>337</v>
      </c>
      <c r="G451" s="70" t="s">
        <v>415</v>
      </c>
      <c r="H451" s="3" t="s">
        <v>415</v>
      </c>
      <c r="I451" s="3" t="s">
        <v>339</v>
      </c>
      <c r="J451" s="3">
        <v>295</v>
      </c>
      <c r="K451" s="3">
        <v>350</v>
      </c>
      <c r="L451" s="3">
        <v>320</v>
      </c>
      <c r="M451" s="3">
        <v>325</v>
      </c>
      <c r="N451" s="3">
        <v>325</v>
      </c>
      <c r="O451" s="70">
        <v>0</v>
      </c>
      <c r="P451" s="3">
        <v>0</v>
      </c>
      <c r="Q451" s="3">
        <v>0</v>
      </c>
      <c r="R451" s="3">
        <v>7.9477000000000006E-2</v>
      </c>
      <c r="S451" s="3">
        <v>0</v>
      </c>
      <c r="T451" s="3">
        <v>25.83</v>
      </c>
      <c r="U451" s="3">
        <v>25.83</v>
      </c>
      <c r="V451" s="70" t="s">
        <v>332</v>
      </c>
      <c r="W451" s="3" t="s">
        <v>343</v>
      </c>
      <c r="X451" s="3" t="s">
        <v>337</v>
      </c>
      <c r="Y451" s="3" t="s">
        <v>337</v>
      </c>
    </row>
    <row r="452" spans="1:25" hidden="1" x14ac:dyDescent="0.2">
      <c r="A452" s="83" t="str">
        <f t="shared" si="7"/>
        <v>郑州铁英街玉米杯原材料</v>
      </c>
      <c r="B452" s="3" t="s">
        <v>707</v>
      </c>
      <c r="C452" s="84">
        <v>44377</v>
      </c>
      <c r="D452" s="3" t="s">
        <v>414</v>
      </c>
      <c r="E452" s="3" t="s">
        <v>337</v>
      </c>
      <c r="F452" s="3" t="s">
        <v>337</v>
      </c>
      <c r="G452" s="70" t="s">
        <v>415</v>
      </c>
      <c r="H452" s="3" t="s">
        <v>415</v>
      </c>
      <c r="I452" s="3" t="s">
        <v>339</v>
      </c>
      <c r="J452" s="3">
        <v>88</v>
      </c>
      <c r="K452" s="3">
        <v>280</v>
      </c>
      <c r="L452" s="3">
        <v>138</v>
      </c>
      <c r="M452" s="3">
        <v>218</v>
      </c>
      <c r="N452" s="3">
        <v>230</v>
      </c>
      <c r="O452" s="70">
        <v>-12</v>
      </c>
      <c r="P452" s="3">
        <v>0</v>
      </c>
      <c r="Q452" s="3">
        <v>0</v>
      </c>
      <c r="R452" s="3">
        <v>7.9450000000000007E-2</v>
      </c>
      <c r="S452" s="3">
        <v>-0.95</v>
      </c>
      <c r="T452" s="3">
        <v>17.32</v>
      </c>
      <c r="U452" s="3">
        <v>18.27</v>
      </c>
      <c r="V452" s="70" t="s">
        <v>592</v>
      </c>
      <c r="W452" s="3" t="s">
        <v>343</v>
      </c>
      <c r="X452" s="3" t="s">
        <v>337</v>
      </c>
      <c r="Y452" s="3" t="s">
        <v>337</v>
      </c>
    </row>
    <row r="453" spans="1:25" hidden="1" x14ac:dyDescent="0.2">
      <c r="A453" s="83" t="str">
        <f t="shared" si="7"/>
        <v>新蔡水韵天街玉米杯原材料</v>
      </c>
      <c r="B453" s="3" t="s">
        <v>703</v>
      </c>
      <c r="C453" s="84">
        <v>44377</v>
      </c>
      <c r="D453" s="3" t="s">
        <v>414</v>
      </c>
      <c r="E453" s="3" t="s">
        <v>337</v>
      </c>
      <c r="F453" s="3" t="s">
        <v>337</v>
      </c>
      <c r="G453" s="70" t="s">
        <v>415</v>
      </c>
      <c r="H453" s="3" t="s">
        <v>415</v>
      </c>
      <c r="I453" s="3" t="s">
        <v>339</v>
      </c>
      <c r="J453" s="3">
        <v>64</v>
      </c>
      <c r="K453" s="3">
        <v>140</v>
      </c>
      <c r="L453" s="3">
        <v>203</v>
      </c>
      <c r="M453" s="3">
        <v>1</v>
      </c>
      <c r="N453" s="3">
        <v>1</v>
      </c>
      <c r="O453" s="70">
        <v>0</v>
      </c>
      <c r="P453" s="3">
        <v>0</v>
      </c>
      <c r="Q453" s="3">
        <v>0</v>
      </c>
      <c r="R453" s="3">
        <v>0.05</v>
      </c>
      <c r="S453" s="3">
        <v>0</v>
      </c>
      <c r="T453" s="3">
        <v>0.05</v>
      </c>
      <c r="U453" s="3">
        <v>0.05</v>
      </c>
      <c r="V453" s="70" t="s">
        <v>335</v>
      </c>
      <c r="W453" s="3" t="s">
        <v>343</v>
      </c>
      <c r="X453" s="3" t="s">
        <v>337</v>
      </c>
      <c r="Y453" s="3" t="s">
        <v>337</v>
      </c>
    </row>
    <row r="454" spans="1:25" hidden="1" x14ac:dyDescent="0.2">
      <c r="A454" s="83" t="str">
        <f t="shared" si="7"/>
        <v>郑州康复中街玉米杯原材料</v>
      </c>
      <c r="B454" s="3" t="s">
        <v>704</v>
      </c>
      <c r="C454" s="84">
        <v>44377</v>
      </c>
      <c r="D454" s="3" t="s">
        <v>414</v>
      </c>
      <c r="E454" s="3" t="s">
        <v>337</v>
      </c>
      <c r="F454" s="3" t="s">
        <v>337</v>
      </c>
      <c r="G454" s="70" t="s">
        <v>415</v>
      </c>
      <c r="H454" s="3" t="s">
        <v>415</v>
      </c>
      <c r="I454" s="3" t="s">
        <v>339</v>
      </c>
      <c r="J454" s="3">
        <v>60</v>
      </c>
      <c r="K454" s="3">
        <v>140</v>
      </c>
      <c r="L454" s="3">
        <v>199</v>
      </c>
      <c r="M454" s="3">
        <v>1</v>
      </c>
      <c r="N454" s="3">
        <v>1</v>
      </c>
      <c r="O454" s="70">
        <v>0</v>
      </c>
      <c r="P454" s="3">
        <v>0</v>
      </c>
      <c r="Q454" s="3">
        <v>0</v>
      </c>
      <c r="R454" s="3">
        <v>0.06</v>
      </c>
      <c r="S454" s="3">
        <v>0</v>
      </c>
      <c r="T454" s="3">
        <v>0.06</v>
      </c>
      <c r="U454" s="3">
        <v>0.06</v>
      </c>
      <c r="V454" s="70" t="s">
        <v>593</v>
      </c>
      <c r="W454" s="3" t="s">
        <v>343</v>
      </c>
      <c r="X454" s="3" t="s">
        <v>337</v>
      </c>
      <c r="Y454" s="3" t="s">
        <v>337</v>
      </c>
    </row>
    <row r="455" spans="1:25" hidden="1" x14ac:dyDescent="0.2">
      <c r="A455" s="83" t="str">
        <f t="shared" si="7"/>
        <v>郑州盛华里玉米杯原材料</v>
      </c>
      <c r="B455" s="3" t="s">
        <v>709</v>
      </c>
      <c r="C455" s="84">
        <v>44377</v>
      </c>
      <c r="D455" s="3" t="s">
        <v>414</v>
      </c>
      <c r="E455" s="3" t="s">
        <v>337</v>
      </c>
      <c r="F455" s="3" t="s">
        <v>337</v>
      </c>
      <c r="G455" s="70" t="s">
        <v>415</v>
      </c>
      <c r="H455" s="3" t="s">
        <v>415</v>
      </c>
      <c r="I455" s="3" t="s">
        <v>339</v>
      </c>
      <c r="J455" s="3">
        <v>235</v>
      </c>
      <c r="K455" s="3">
        <v>140</v>
      </c>
      <c r="L455" s="3">
        <v>64</v>
      </c>
      <c r="M455" s="3">
        <v>311</v>
      </c>
      <c r="N455" s="3">
        <v>311</v>
      </c>
      <c r="O455" s="70">
        <v>0</v>
      </c>
      <c r="P455" s="3">
        <v>0</v>
      </c>
      <c r="Q455" s="3">
        <v>0</v>
      </c>
      <c r="R455" s="3">
        <v>7.9452999999999996E-2</v>
      </c>
      <c r="S455" s="3">
        <v>0</v>
      </c>
      <c r="T455" s="3">
        <v>24.71</v>
      </c>
      <c r="U455" s="3">
        <v>24.71</v>
      </c>
      <c r="V455" s="70" t="s">
        <v>637</v>
      </c>
      <c r="W455" s="3" t="s">
        <v>343</v>
      </c>
      <c r="X455" s="3" t="s">
        <v>337</v>
      </c>
      <c r="Y455" s="3" t="s">
        <v>337</v>
      </c>
    </row>
    <row r="456" spans="1:25" hidden="1" x14ac:dyDescent="0.2">
      <c r="A456" s="83" t="str">
        <f t="shared" si="7"/>
        <v>滑县滑台玉米杯原材料</v>
      </c>
      <c r="B456" s="3" t="s">
        <v>710</v>
      </c>
      <c r="C456" s="84">
        <v>44377</v>
      </c>
      <c r="D456" s="3" t="s">
        <v>414</v>
      </c>
      <c r="E456" s="3" t="s">
        <v>337</v>
      </c>
      <c r="F456" s="3" t="s">
        <v>337</v>
      </c>
      <c r="G456" s="70" t="s">
        <v>415</v>
      </c>
      <c r="H456" s="3" t="s">
        <v>415</v>
      </c>
      <c r="I456" s="3" t="s">
        <v>339</v>
      </c>
      <c r="J456" s="3">
        <v>149</v>
      </c>
      <c r="K456" s="3">
        <v>490</v>
      </c>
      <c r="L456" s="3">
        <v>412</v>
      </c>
      <c r="M456" s="3">
        <v>227</v>
      </c>
      <c r="N456" s="3">
        <v>227</v>
      </c>
      <c r="O456" s="70">
        <v>0</v>
      </c>
      <c r="P456" s="3">
        <v>0</v>
      </c>
      <c r="Q456" s="3">
        <v>0</v>
      </c>
      <c r="R456" s="3">
        <v>7.9515000000000002E-2</v>
      </c>
      <c r="S456" s="3">
        <v>0</v>
      </c>
      <c r="T456" s="3">
        <v>18.05</v>
      </c>
      <c r="U456" s="3">
        <v>18.05</v>
      </c>
      <c r="V456" s="70" t="s">
        <v>639</v>
      </c>
      <c r="W456" s="3" t="s">
        <v>343</v>
      </c>
      <c r="X456" s="3" t="s">
        <v>337</v>
      </c>
      <c r="Y456" s="3" t="s">
        <v>337</v>
      </c>
    </row>
    <row r="457" spans="1:25" hidden="1" x14ac:dyDescent="0.2">
      <c r="A457" s="83" t="str">
        <f t="shared" si="7"/>
        <v>郑州裕华玉米杯原材料</v>
      </c>
      <c r="B457" s="3" t="s">
        <v>711</v>
      </c>
      <c r="C457" s="84">
        <v>44377</v>
      </c>
      <c r="D457" s="3" t="s">
        <v>414</v>
      </c>
      <c r="E457" s="3" t="s">
        <v>337</v>
      </c>
      <c r="F457" s="3" t="s">
        <v>337</v>
      </c>
      <c r="G457" s="70" t="s">
        <v>415</v>
      </c>
      <c r="H457" s="3" t="s">
        <v>415</v>
      </c>
      <c r="I457" s="3" t="s">
        <v>339</v>
      </c>
      <c r="J457" s="3">
        <v>218</v>
      </c>
      <c r="K457" s="3">
        <v>0</v>
      </c>
      <c r="L457" s="3">
        <v>162</v>
      </c>
      <c r="M457" s="3">
        <v>50</v>
      </c>
      <c r="N457" s="3">
        <v>56</v>
      </c>
      <c r="O457" s="70">
        <v>-6</v>
      </c>
      <c r="P457" s="3">
        <v>0</v>
      </c>
      <c r="Q457" s="3">
        <v>0</v>
      </c>
      <c r="R457" s="3">
        <v>7.9399999999999998E-2</v>
      </c>
      <c r="S457" s="3">
        <v>-0.48</v>
      </c>
      <c r="T457" s="3">
        <v>3.97</v>
      </c>
      <c r="U457" s="3">
        <v>4.45</v>
      </c>
      <c r="V457" s="70" t="s">
        <v>641</v>
      </c>
      <c r="W457" s="3" t="s">
        <v>343</v>
      </c>
      <c r="X457" s="3" t="s">
        <v>337</v>
      </c>
      <c r="Y457" s="3" t="s">
        <v>337</v>
      </c>
    </row>
    <row r="458" spans="1:25" hidden="1" x14ac:dyDescent="0.2">
      <c r="A458" s="83" t="str">
        <f t="shared" si="7"/>
        <v>方城锦城国际玉米杯原材料</v>
      </c>
      <c r="B458" s="3" t="s">
        <v>712</v>
      </c>
      <c r="C458" s="84">
        <v>44377</v>
      </c>
      <c r="D458" s="3" t="s">
        <v>414</v>
      </c>
      <c r="E458" s="3" t="s">
        <v>337</v>
      </c>
      <c r="F458" s="3" t="s">
        <v>337</v>
      </c>
      <c r="G458" s="70" t="s">
        <v>415</v>
      </c>
      <c r="H458" s="3" t="s">
        <v>415</v>
      </c>
      <c r="I458" s="3" t="s">
        <v>339</v>
      </c>
      <c r="J458" s="3">
        <v>220</v>
      </c>
      <c r="K458" s="3">
        <v>140</v>
      </c>
      <c r="L458" s="3">
        <v>234</v>
      </c>
      <c r="M458" s="3">
        <v>126</v>
      </c>
      <c r="N458" s="3">
        <v>126</v>
      </c>
      <c r="O458" s="70">
        <v>0</v>
      </c>
      <c r="P458" s="3">
        <v>0</v>
      </c>
      <c r="Q458" s="3">
        <v>0</v>
      </c>
      <c r="R458" s="3">
        <v>7.9365000000000005E-2</v>
      </c>
      <c r="S458" s="3">
        <v>0</v>
      </c>
      <c r="T458" s="3">
        <v>10</v>
      </c>
      <c r="U458" s="3">
        <v>10</v>
      </c>
      <c r="V458" s="70" t="s">
        <v>594</v>
      </c>
      <c r="W458" s="3" t="s">
        <v>343</v>
      </c>
      <c r="X458" s="3" t="s">
        <v>337</v>
      </c>
      <c r="Y458" s="3" t="s">
        <v>337</v>
      </c>
    </row>
    <row r="459" spans="1:25" hidden="1" x14ac:dyDescent="0.2">
      <c r="A459" s="83" t="str">
        <f t="shared" si="7"/>
        <v>清丰凤鸣玉米杯原材料</v>
      </c>
      <c r="B459" s="3" t="s">
        <v>713</v>
      </c>
      <c r="C459" s="84">
        <v>44377</v>
      </c>
      <c r="D459" s="3" t="s">
        <v>414</v>
      </c>
      <c r="E459" s="3" t="s">
        <v>337</v>
      </c>
      <c r="F459" s="3" t="s">
        <v>337</v>
      </c>
      <c r="G459" s="70" t="s">
        <v>415</v>
      </c>
      <c r="H459" s="3" t="s">
        <v>415</v>
      </c>
      <c r="I459" s="3" t="s">
        <v>339</v>
      </c>
      <c r="J459" s="3">
        <v>418</v>
      </c>
      <c r="K459" s="3">
        <v>140</v>
      </c>
      <c r="L459" s="3">
        <v>195</v>
      </c>
      <c r="M459" s="3">
        <v>360</v>
      </c>
      <c r="N459" s="3">
        <v>363</v>
      </c>
      <c r="O459" s="70">
        <v>-3</v>
      </c>
      <c r="P459" s="3">
        <v>0</v>
      </c>
      <c r="Q459" s="3">
        <v>0</v>
      </c>
      <c r="R459" s="3">
        <v>7.9472000000000001E-2</v>
      </c>
      <c r="S459" s="3">
        <v>-0.24</v>
      </c>
      <c r="T459" s="3">
        <v>28.61</v>
      </c>
      <c r="U459" s="3">
        <v>28.85</v>
      </c>
      <c r="V459" s="70" t="s">
        <v>334</v>
      </c>
      <c r="W459" s="3" t="s">
        <v>343</v>
      </c>
      <c r="X459" s="3" t="s">
        <v>337</v>
      </c>
      <c r="Y459" s="3" t="s">
        <v>337</v>
      </c>
    </row>
    <row r="460" spans="1:25" hidden="1" x14ac:dyDescent="0.2">
      <c r="A460" s="83" t="str">
        <f t="shared" si="7"/>
        <v>郑州政六街玉米杯原材料</v>
      </c>
      <c r="B460" s="3" t="s">
        <v>714</v>
      </c>
      <c r="C460" s="84">
        <v>44377</v>
      </c>
      <c r="D460" s="3" t="s">
        <v>414</v>
      </c>
      <c r="E460" s="3" t="s">
        <v>337</v>
      </c>
      <c r="F460" s="3" t="s">
        <v>337</v>
      </c>
      <c r="G460" s="70" t="s">
        <v>415</v>
      </c>
      <c r="H460" s="3" t="s">
        <v>415</v>
      </c>
      <c r="I460" s="3" t="s">
        <v>339</v>
      </c>
      <c r="J460" s="3">
        <v>7</v>
      </c>
      <c r="K460" s="3">
        <v>280</v>
      </c>
      <c r="L460" s="3">
        <v>108</v>
      </c>
      <c r="M460" s="3">
        <v>150</v>
      </c>
      <c r="N460" s="3">
        <v>179</v>
      </c>
      <c r="O460" s="70">
        <v>-29</v>
      </c>
      <c r="P460" s="3">
        <v>0</v>
      </c>
      <c r="Q460" s="3">
        <v>0</v>
      </c>
      <c r="R460" s="3">
        <v>7.9333000000000001E-2</v>
      </c>
      <c r="S460" s="3">
        <v>-2.2999999999999998</v>
      </c>
      <c r="T460" s="3">
        <v>11.9</v>
      </c>
      <c r="U460" s="3">
        <v>14.2</v>
      </c>
      <c r="V460" s="70" t="s">
        <v>591</v>
      </c>
      <c r="W460" s="3" t="s">
        <v>343</v>
      </c>
      <c r="X460" s="3" t="s">
        <v>337</v>
      </c>
      <c r="Y460" s="3" t="s">
        <v>337</v>
      </c>
    </row>
    <row r="461" spans="1:25" hidden="1" x14ac:dyDescent="0.2">
      <c r="A461" s="83" t="str">
        <f t="shared" si="7"/>
        <v>郑州政六街玉米杯盖</v>
      </c>
      <c r="B461" s="3" t="s">
        <v>714</v>
      </c>
      <c r="C461" s="84">
        <v>44377</v>
      </c>
      <c r="D461" s="3" t="s">
        <v>416</v>
      </c>
      <c r="E461" s="3" t="s">
        <v>337</v>
      </c>
      <c r="F461" s="3" t="s">
        <v>337</v>
      </c>
      <c r="G461" s="70" t="s">
        <v>417</v>
      </c>
      <c r="H461" s="3" t="s">
        <v>343</v>
      </c>
      <c r="I461" s="3" t="s">
        <v>339</v>
      </c>
      <c r="J461" s="3">
        <v>127</v>
      </c>
      <c r="K461" s="3">
        <v>140</v>
      </c>
      <c r="L461" s="3">
        <v>108</v>
      </c>
      <c r="M461" s="3">
        <v>175</v>
      </c>
      <c r="N461" s="3">
        <v>159</v>
      </c>
      <c r="O461" s="70">
        <v>16</v>
      </c>
      <c r="P461" s="3">
        <v>0</v>
      </c>
      <c r="Q461" s="3">
        <v>0</v>
      </c>
      <c r="R461" s="3">
        <v>4.7600000000000003E-2</v>
      </c>
      <c r="S461" s="3">
        <v>0.76</v>
      </c>
      <c r="T461" s="3">
        <v>8.33</v>
      </c>
      <c r="U461" s="3">
        <v>7.57</v>
      </c>
      <c r="V461" s="70" t="s">
        <v>591</v>
      </c>
      <c r="W461" s="3" t="s">
        <v>343</v>
      </c>
      <c r="X461" s="3" t="s">
        <v>337</v>
      </c>
      <c r="Y461" s="3" t="s">
        <v>337</v>
      </c>
    </row>
    <row r="462" spans="1:25" hidden="1" x14ac:dyDescent="0.2">
      <c r="A462" s="83" t="str">
        <f t="shared" si="7"/>
        <v>清丰凤鸣玉米杯盖</v>
      </c>
      <c r="B462" s="3" t="s">
        <v>713</v>
      </c>
      <c r="C462" s="84">
        <v>44377</v>
      </c>
      <c r="D462" s="3" t="s">
        <v>416</v>
      </c>
      <c r="E462" s="3" t="s">
        <v>337</v>
      </c>
      <c r="F462" s="3" t="s">
        <v>337</v>
      </c>
      <c r="G462" s="70" t="s">
        <v>417</v>
      </c>
      <c r="H462" s="3" t="s">
        <v>343</v>
      </c>
      <c r="I462" s="3" t="s">
        <v>339</v>
      </c>
      <c r="J462" s="3">
        <v>418</v>
      </c>
      <c r="K462" s="3">
        <v>140</v>
      </c>
      <c r="L462" s="3">
        <v>195</v>
      </c>
      <c r="M462" s="3">
        <v>360</v>
      </c>
      <c r="N462" s="3">
        <v>363</v>
      </c>
      <c r="O462" s="70">
        <v>-3</v>
      </c>
      <c r="P462" s="3">
        <v>0</v>
      </c>
      <c r="Q462" s="3">
        <v>0</v>
      </c>
      <c r="R462" s="3">
        <v>4.7556000000000001E-2</v>
      </c>
      <c r="S462" s="3">
        <v>-0.14000000000000001</v>
      </c>
      <c r="T462" s="3">
        <v>17.12</v>
      </c>
      <c r="U462" s="3">
        <v>17.260000000000002</v>
      </c>
      <c r="V462" s="70" t="s">
        <v>334</v>
      </c>
      <c r="W462" s="3" t="s">
        <v>343</v>
      </c>
      <c r="X462" s="3" t="s">
        <v>337</v>
      </c>
      <c r="Y462" s="3" t="s">
        <v>337</v>
      </c>
    </row>
    <row r="463" spans="1:25" hidden="1" x14ac:dyDescent="0.2">
      <c r="A463" s="83" t="str">
        <f t="shared" si="7"/>
        <v>方城锦城国际玉米杯盖</v>
      </c>
      <c r="B463" s="3" t="s">
        <v>712</v>
      </c>
      <c r="C463" s="84">
        <v>44377</v>
      </c>
      <c r="D463" s="3" t="s">
        <v>416</v>
      </c>
      <c r="E463" s="3" t="s">
        <v>337</v>
      </c>
      <c r="F463" s="3" t="s">
        <v>337</v>
      </c>
      <c r="G463" s="70" t="s">
        <v>417</v>
      </c>
      <c r="H463" s="3" t="s">
        <v>343</v>
      </c>
      <c r="I463" s="3" t="s">
        <v>339</v>
      </c>
      <c r="J463" s="3">
        <v>220</v>
      </c>
      <c r="K463" s="3">
        <v>210</v>
      </c>
      <c r="L463" s="3">
        <v>234</v>
      </c>
      <c r="M463" s="3">
        <v>126</v>
      </c>
      <c r="N463" s="3">
        <v>196</v>
      </c>
      <c r="O463" s="70">
        <v>-70</v>
      </c>
      <c r="P463" s="3">
        <v>0</v>
      </c>
      <c r="Q463" s="3">
        <v>0</v>
      </c>
      <c r="R463" s="3">
        <v>4.7697999999999997E-2</v>
      </c>
      <c r="S463" s="3">
        <v>-3.34</v>
      </c>
      <c r="T463" s="3">
        <v>6.01</v>
      </c>
      <c r="U463" s="3">
        <v>9.35</v>
      </c>
      <c r="V463" s="70" t="s">
        <v>594</v>
      </c>
      <c r="W463" s="3" t="s">
        <v>343</v>
      </c>
      <c r="X463" s="3" t="s">
        <v>337</v>
      </c>
      <c r="Y463" s="3" t="s">
        <v>337</v>
      </c>
    </row>
    <row r="464" spans="1:25" hidden="1" x14ac:dyDescent="0.2">
      <c r="A464" s="83" t="str">
        <f t="shared" si="7"/>
        <v>郑州裕华玉米杯盖</v>
      </c>
      <c r="B464" s="3" t="s">
        <v>711</v>
      </c>
      <c r="C464" s="84">
        <v>44377</v>
      </c>
      <c r="D464" s="3" t="s">
        <v>416</v>
      </c>
      <c r="E464" s="3" t="s">
        <v>337</v>
      </c>
      <c r="F464" s="3" t="s">
        <v>337</v>
      </c>
      <c r="G464" s="70" t="s">
        <v>417</v>
      </c>
      <c r="H464" s="3" t="s">
        <v>343</v>
      </c>
      <c r="I464" s="3" t="s">
        <v>339</v>
      </c>
      <c r="J464" s="3">
        <v>148</v>
      </c>
      <c r="K464" s="3">
        <v>70</v>
      </c>
      <c r="L464" s="3">
        <v>162</v>
      </c>
      <c r="M464" s="3">
        <v>50</v>
      </c>
      <c r="N464" s="3">
        <v>56</v>
      </c>
      <c r="O464" s="70">
        <v>-6</v>
      </c>
      <c r="P464" s="3">
        <v>0</v>
      </c>
      <c r="Q464" s="3">
        <v>0</v>
      </c>
      <c r="R464" s="3">
        <v>4.7199999999999999E-2</v>
      </c>
      <c r="S464" s="3">
        <v>-0.28000000000000003</v>
      </c>
      <c r="T464" s="3">
        <v>2.36</v>
      </c>
      <c r="U464" s="3">
        <v>2.64</v>
      </c>
      <c r="V464" s="70" t="s">
        <v>641</v>
      </c>
      <c r="W464" s="3" t="s">
        <v>343</v>
      </c>
      <c r="X464" s="3" t="s">
        <v>337</v>
      </c>
      <c r="Y464" s="3" t="s">
        <v>337</v>
      </c>
    </row>
    <row r="465" spans="1:25" hidden="1" x14ac:dyDescent="0.2">
      <c r="A465" s="83" t="str">
        <f t="shared" si="7"/>
        <v>滑县滑台玉米杯盖</v>
      </c>
      <c r="B465" s="3" t="s">
        <v>710</v>
      </c>
      <c r="C465" s="84">
        <v>44377</v>
      </c>
      <c r="D465" s="3" t="s">
        <v>416</v>
      </c>
      <c r="E465" s="3" t="s">
        <v>337</v>
      </c>
      <c r="F465" s="3" t="s">
        <v>337</v>
      </c>
      <c r="G465" s="70" t="s">
        <v>417</v>
      </c>
      <c r="H465" s="3" t="s">
        <v>343</v>
      </c>
      <c r="I465" s="3" t="s">
        <v>339</v>
      </c>
      <c r="J465" s="3">
        <v>149</v>
      </c>
      <c r="K465" s="3">
        <v>490</v>
      </c>
      <c r="L465" s="3">
        <v>412</v>
      </c>
      <c r="M465" s="3">
        <v>227</v>
      </c>
      <c r="N465" s="3">
        <v>227</v>
      </c>
      <c r="O465" s="70">
        <v>0</v>
      </c>
      <c r="P465" s="3">
        <v>0</v>
      </c>
      <c r="Q465" s="3">
        <v>0</v>
      </c>
      <c r="R465" s="3">
        <v>4.7620999999999997E-2</v>
      </c>
      <c r="S465" s="3">
        <v>0</v>
      </c>
      <c r="T465" s="3">
        <v>10.81</v>
      </c>
      <c r="U465" s="3">
        <v>10.81</v>
      </c>
      <c r="V465" s="70" t="s">
        <v>639</v>
      </c>
      <c r="W465" s="3" t="s">
        <v>343</v>
      </c>
      <c r="X465" s="3" t="s">
        <v>337</v>
      </c>
      <c r="Y465" s="3" t="s">
        <v>337</v>
      </c>
    </row>
    <row r="466" spans="1:25" hidden="1" x14ac:dyDescent="0.2">
      <c r="A466" s="83" t="str">
        <f t="shared" si="7"/>
        <v>郑州盛华里玉米杯盖</v>
      </c>
      <c r="B466" s="3" t="s">
        <v>709</v>
      </c>
      <c r="C466" s="84">
        <v>44377</v>
      </c>
      <c r="D466" s="3" t="s">
        <v>416</v>
      </c>
      <c r="E466" s="3" t="s">
        <v>337</v>
      </c>
      <c r="F466" s="3" t="s">
        <v>337</v>
      </c>
      <c r="G466" s="70" t="s">
        <v>417</v>
      </c>
      <c r="H466" s="3" t="s">
        <v>343</v>
      </c>
      <c r="I466" s="3" t="s">
        <v>339</v>
      </c>
      <c r="J466" s="3">
        <v>235</v>
      </c>
      <c r="K466" s="3">
        <v>0</v>
      </c>
      <c r="L466" s="3">
        <v>64</v>
      </c>
      <c r="M466" s="3">
        <v>171</v>
      </c>
      <c r="N466" s="3">
        <v>171</v>
      </c>
      <c r="O466" s="70">
        <v>0</v>
      </c>
      <c r="P466" s="3">
        <v>0</v>
      </c>
      <c r="Q466" s="3">
        <v>0</v>
      </c>
      <c r="R466" s="3">
        <v>4.7484999999999999E-2</v>
      </c>
      <c r="S466" s="3">
        <v>0</v>
      </c>
      <c r="T466" s="3">
        <v>8.1199999999999992</v>
      </c>
      <c r="U466" s="3">
        <v>8.1199999999999992</v>
      </c>
      <c r="V466" s="70" t="s">
        <v>637</v>
      </c>
      <c r="W466" s="3" t="s">
        <v>343</v>
      </c>
      <c r="X466" s="3" t="s">
        <v>337</v>
      </c>
      <c r="Y466" s="3" t="s">
        <v>337</v>
      </c>
    </row>
    <row r="467" spans="1:25" hidden="1" x14ac:dyDescent="0.2">
      <c r="A467" s="83" t="str">
        <f t="shared" si="7"/>
        <v>郑州康复中街玉米杯盖</v>
      </c>
      <c r="B467" s="3" t="s">
        <v>704</v>
      </c>
      <c r="C467" s="84">
        <v>44377</v>
      </c>
      <c r="D467" s="3" t="s">
        <v>416</v>
      </c>
      <c r="E467" s="3" t="s">
        <v>337</v>
      </c>
      <c r="F467" s="3" t="s">
        <v>337</v>
      </c>
      <c r="G467" s="70" t="s">
        <v>417</v>
      </c>
      <c r="H467" s="3" t="s">
        <v>343</v>
      </c>
      <c r="I467" s="3" t="s">
        <v>339</v>
      </c>
      <c r="J467" s="3">
        <v>20</v>
      </c>
      <c r="K467" s="3">
        <v>210</v>
      </c>
      <c r="L467" s="3">
        <v>199</v>
      </c>
      <c r="M467" s="3">
        <v>25</v>
      </c>
      <c r="N467" s="3">
        <v>31</v>
      </c>
      <c r="O467" s="70">
        <v>-6</v>
      </c>
      <c r="P467" s="3">
        <v>0</v>
      </c>
      <c r="Q467" s="3">
        <v>0</v>
      </c>
      <c r="R467" s="3">
        <v>4.7600000000000003E-2</v>
      </c>
      <c r="S467" s="3">
        <v>-0.28999999999999998</v>
      </c>
      <c r="T467" s="3">
        <v>1.19</v>
      </c>
      <c r="U467" s="3">
        <v>1.48</v>
      </c>
      <c r="V467" s="70" t="s">
        <v>593</v>
      </c>
      <c r="W467" s="3" t="s">
        <v>343</v>
      </c>
      <c r="X467" s="3" t="s">
        <v>337</v>
      </c>
      <c r="Y467" s="3" t="s">
        <v>337</v>
      </c>
    </row>
    <row r="468" spans="1:25" hidden="1" x14ac:dyDescent="0.2">
      <c r="A468" s="83" t="str">
        <f t="shared" si="7"/>
        <v>新蔡水韵天街玉米杯盖</v>
      </c>
      <c r="B468" s="3" t="s">
        <v>703</v>
      </c>
      <c r="C468" s="84">
        <v>44377</v>
      </c>
      <c r="D468" s="3" t="s">
        <v>416</v>
      </c>
      <c r="E468" s="3" t="s">
        <v>337</v>
      </c>
      <c r="F468" s="3" t="s">
        <v>337</v>
      </c>
      <c r="G468" s="70" t="s">
        <v>417</v>
      </c>
      <c r="H468" s="3" t="s">
        <v>343</v>
      </c>
      <c r="I468" s="3" t="s">
        <v>339</v>
      </c>
      <c r="J468" s="3">
        <v>64</v>
      </c>
      <c r="K468" s="3">
        <v>70</v>
      </c>
      <c r="L468" s="3">
        <v>203</v>
      </c>
      <c r="M468" s="3">
        <v>50</v>
      </c>
      <c r="N468" s="3">
        <v>-69</v>
      </c>
      <c r="O468" s="70">
        <v>119</v>
      </c>
      <c r="P468" s="3">
        <v>0</v>
      </c>
      <c r="Q468" s="3">
        <v>0</v>
      </c>
      <c r="R468" s="3">
        <v>4.7600000000000003E-2</v>
      </c>
      <c r="S468" s="3">
        <v>5.66</v>
      </c>
      <c r="T468" s="3">
        <v>2.38</v>
      </c>
      <c r="U468" s="3">
        <v>-3.28</v>
      </c>
      <c r="V468" s="70" t="s">
        <v>335</v>
      </c>
      <c r="W468" s="3" t="s">
        <v>343</v>
      </c>
      <c r="X468" s="3" t="s">
        <v>337</v>
      </c>
      <c r="Y468" s="3" t="s">
        <v>337</v>
      </c>
    </row>
    <row r="469" spans="1:25" hidden="1" x14ac:dyDescent="0.2">
      <c r="A469" s="83" t="str">
        <f t="shared" si="7"/>
        <v>郑州铁英街玉米杯盖</v>
      </c>
      <c r="B469" s="3" t="s">
        <v>707</v>
      </c>
      <c r="C469" s="84">
        <v>44377</v>
      </c>
      <c r="D469" s="3" t="s">
        <v>416</v>
      </c>
      <c r="E469" s="3" t="s">
        <v>337</v>
      </c>
      <c r="F469" s="3" t="s">
        <v>337</v>
      </c>
      <c r="G469" s="70" t="s">
        <v>417</v>
      </c>
      <c r="H469" s="3" t="s">
        <v>343</v>
      </c>
      <c r="I469" s="3" t="s">
        <v>339</v>
      </c>
      <c r="J469" s="3">
        <v>130</v>
      </c>
      <c r="K469" s="3">
        <v>0</v>
      </c>
      <c r="L469" s="3">
        <v>138</v>
      </c>
      <c r="M469" s="3">
        <v>42</v>
      </c>
      <c r="N469" s="3">
        <v>-8</v>
      </c>
      <c r="O469" s="70">
        <v>50</v>
      </c>
      <c r="P469" s="3">
        <v>0</v>
      </c>
      <c r="Q469" s="3">
        <v>0</v>
      </c>
      <c r="R469" s="3">
        <v>4.7381E-2</v>
      </c>
      <c r="S469" s="3">
        <v>2.37</v>
      </c>
      <c r="T469" s="3">
        <v>1.99</v>
      </c>
      <c r="U469" s="3">
        <v>-0.38</v>
      </c>
      <c r="V469" s="70" t="s">
        <v>592</v>
      </c>
      <c r="W469" s="3" t="s">
        <v>343</v>
      </c>
      <c r="X469" s="3" t="s">
        <v>337</v>
      </c>
      <c r="Y469" s="3" t="s">
        <v>337</v>
      </c>
    </row>
    <row r="470" spans="1:25" hidden="1" x14ac:dyDescent="0.2">
      <c r="A470" s="83" t="str">
        <f t="shared" si="7"/>
        <v>郑州西悦城玉米杯盖</v>
      </c>
      <c r="B470" s="3" t="s">
        <v>708</v>
      </c>
      <c r="C470" s="84">
        <v>44377</v>
      </c>
      <c r="D470" s="3" t="s">
        <v>416</v>
      </c>
      <c r="E470" s="3" t="s">
        <v>337</v>
      </c>
      <c r="F470" s="3" t="s">
        <v>337</v>
      </c>
      <c r="G470" s="70" t="s">
        <v>417</v>
      </c>
      <c r="H470" s="3" t="s">
        <v>343</v>
      </c>
      <c r="I470" s="3" t="s">
        <v>339</v>
      </c>
      <c r="J470" s="3">
        <v>295</v>
      </c>
      <c r="K470" s="3">
        <v>350</v>
      </c>
      <c r="L470" s="3">
        <v>320</v>
      </c>
      <c r="M470" s="3">
        <v>325</v>
      </c>
      <c r="N470" s="3">
        <v>325</v>
      </c>
      <c r="O470" s="70">
        <v>0</v>
      </c>
      <c r="P470" s="3">
        <v>0</v>
      </c>
      <c r="Q470" s="3">
        <v>0</v>
      </c>
      <c r="R470" s="3">
        <v>4.7569E-2</v>
      </c>
      <c r="S470" s="3">
        <v>0</v>
      </c>
      <c r="T470" s="3">
        <v>15.46</v>
      </c>
      <c r="U470" s="3">
        <v>15.46</v>
      </c>
      <c r="V470" s="70" t="s">
        <v>332</v>
      </c>
      <c r="W470" s="3" t="s">
        <v>343</v>
      </c>
      <c r="X470" s="3" t="s">
        <v>337</v>
      </c>
      <c r="Y470" s="3" t="s">
        <v>337</v>
      </c>
    </row>
    <row r="471" spans="1:25" hidden="1" x14ac:dyDescent="0.2">
      <c r="A471" s="83" t="str">
        <f t="shared" si="7"/>
        <v>华山龙源玉米杯盖</v>
      </c>
      <c r="B471" s="3" t="s">
        <v>705</v>
      </c>
      <c r="C471" s="84">
        <v>44377</v>
      </c>
      <c r="D471" s="3" t="s">
        <v>416</v>
      </c>
      <c r="E471" s="3" t="s">
        <v>337</v>
      </c>
      <c r="F471" s="3" t="s">
        <v>337</v>
      </c>
      <c r="G471" s="70" t="s">
        <v>417</v>
      </c>
      <c r="H471" s="3" t="s">
        <v>343</v>
      </c>
      <c r="I471" s="3" t="s">
        <v>339</v>
      </c>
      <c r="J471" s="3">
        <v>131</v>
      </c>
      <c r="K471" s="3">
        <v>140</v>
      </c>
      <c r="L471" s="3">
        <v>123</v>
      </c>
      <c r="M471" s="3">
        <v>156</v>
      </c>
      <c r="N471" s="3">
        <v>148</v>
      </c>
      <c r="O471" s="70">
        <v>8</v>
      </c>
      <c r="P471" s="3">
        <v>0</v>
      </c>
      <c r="Q471" s="3">
        <v>0</v>
      </c>
      <c r="R471" s="3">
        <v>4.7564000000000002E-2</v>
      </c>
      <c r="S471" s="3">
        <v>0.38</v>
      </c>
      <c r="T471" s="3">
        <v>7.42</v>
      </c>
      <c r="U471" s="3">
        <v>7.04</v>
      </c>
      <c r="V471" s="70" t="s">
        <v>643</v>
      </c>
      <c r="W471" s="3" t="s">
        <v>343</v>
      </c>
      <c r="X471" s="3" t="s">
        <v>337</v>
      </c>
      <c r="Y471" s="3" t="s">
        <v>337</v>
      </c>
    </row>
    <row r="472" spans="1:25" hidden="1" x14ac:dyDescent="0.2">
      <c r="A472" s="83" t="str">
        <f t="shared" si="7"/>
        <v>郑州瀚海海尚玉米杯盖</v>
      </c>
      <c r="B472" s="3" t="s">
        <v>706</v>
      </c>
      <c r="C472" s="84">
        <v>44377</v>
      </c>
      <c r="D472" s="3" t="s">
        <v>416</v>
      </c>
      <c r="E472" s="3" t="s">
        <v>337</v>
      </c>
      <c r="F472" s="3" t="s">
        <v>337</v>
      </c>
      <c r="G472" s="70" t="s">
        <v>417</v>
      </c>
      <c r="H472" s="3" t="s">
        <v>343</v>
      </c>
      <c r="I472" s="3" t="s">
        <v>339</v>
      </c>
      <c r="J472" s="3">
        <v>350</v>
      </c>
      <c r="K472" s="3">
        <v>0</v>
      </c>
      <c r="L472" s="3">
        <v>216</v>
      </c>
      <c r="M472" s="3">
        <v>232</v>
      </c>
      <c r="N472" s="3">
        <v>134</v>
      </c>
      <c r="O472" s="70">
        <v>98</v>
      </c>
      <c r="P472" s="3">
        <v>0</v>
      </c>
      <c r="Q472" s="3">
        <v>0</v>
      </c>
      <c r="R472" s="3">
        <v>4.7456999999999999E-2</v>
      </c>
      <c r="S472" s="3">
        <v>4.6500000000000004</v>
      </c>
      <c r="T472" s="3">
        <v>11.01</v>
      </c>
      <c r="U472" s="3">
        <v>6.36</v>
      </c>
      <c r="V472" s="70" t="s">
        <v>333</v>
      </c>
      <c r="W472" s="3" t="s">
        <v>343</v>
      </c>
      <c r="X472" s="3" t="s">
        <v>337</v>
      </c>
      <c r="Y472" s="3" t="s">
        <v>337</v>
      </c>
    </row>
    <row r="473" spans="1:25" hidden="1" x14ac:dyDescent="0.2">
      <c r="A473" s="83" t="str">
        <f t="shared" si="7"/>
        <v>郑州裕华伯爵红茶</v>
      </c>
      <c r="B473" s="3" t="s">
        <v>711</v>
      </c>
      <c r="C473" s="84">
        <v>44377</v>
      </c>
      <c r="D473" s="3" t="s">
        <v>715</v>
      </c>
      <c r="E473" s="3" t="s">
        <v>337</v>
      </c>
      <c r="F473" s="3" t="s">
        <v>337</v>
      </c>
      <c r="G473" s="70" t="s">
        <v>726</v>
      </c>
      <c r="H473" s="3" t="s">
        <v>727</v>
      </c>
      <c r="I473" s="3" t="s">
        <v>354</v>
      </c>
      <c r="J473" s="3">
        <v>0</v>
      </c>
      <c r="K473" s="3">
        <v>0</v>
      </c>
      <c r="L473" s="3">
        <v>1</v>
      </c>
      <c r="M473" s="3">
        <v>0</v>
      </c>
      <c r="N473" s="3">
        <v>-1</v>
      </c>
      <c r="O473" s="70">
        <v>1</v>
      </c>
      <c r="P473" s="3">
        <v>0</v>
      </c>
      <c r="Q473" s="3">
        <v>0</v>
      </c>
      <c r="R473" s="3">
        <v>0.97</v>
      </c>
      <c r="S473" s="3">
        <v>0.97</v>
      </c>
      <c r="T473" s="3">
        <v>0</v>
      </c>
      <c r="U473" s="3">
        <v>-0.97</v>
      </c>
      <c r="V473" s="70" t="s">
        <v>641</v>
      </c>
      <c r="W473" s="3" t="s">
        <v>343</v>
      </c>
      <c r="X473" s="3" t="s">
        <v>337</v>
      </c>
      <c r="Y473" s="3" t="s">
        <v>337</v>
      </c>
    </row>
    <row r="474" spans="1:25" hidden="1" x14ac:dyDescent="0.2">
      <c r="A474" s="83" t="str">
        <f t="shared" si="7"/>
        <v>郑州裕华七喜糖浆</v>
      </c>
      <c r="B474" s="3" t="s">
        <v>711</v>
      </c>
      <c r="C474" s="84">
        <v>44377</v>
      </c>
      <c r="D474" s="3" t="s">
        <v>418</v>
      </c>
      <c r="E474" s="3" t="s">
        <v>337</v>
      </c>
      <c r="F474" s="3" t="s">
        <v>337</v>
      </c>
      <c r="G474" s="70" t="s">
        <v>67</v>
      </c>
      <c r="H474" s="3" t="s">
        <v>419</v>
      </c>
      <c r="I474" s="3" t="s">
        <v>89</v>
      </c>
      <c r="J474" s="3">
        <v>19000</v>
      </c>
      <c r="K474" s="3">
        <v>11517</v>
      </c>
      <c r="L474" s="3">
        <v>9484.74</v>
      </c>
      <c r="M474" s="3">
        <v>10000</v>
      </c>
      <c r="N474" s="3">
        <v>21032.26</v>
      </c>
      <c r="O474" s="70">
        <v>-11032.26</v>
      </c>
      <c r="P474" s="3">
        <v>0</v>
      </c>
      <c r="Q474" s="3">
        <v>0</v>
      </c>
      <c r="R474" s="3">
        <v>1.0803E-2</v>
      </c>
      <c r="S474" s="3">
        <v>-119.18</v>
      </c>
      <c r="T474" s="3">
        <v>108.03</v>
      </c>
      <c r="U474" s="3">
        <v>227.21</v>
      </c>
      <c r="V474" s="70" t="s">
        <v>641</v>
      </c>
      <c r="W474" s="3" t="s">
        <v>343</v>
      </c>
      <c r="X474" s="3" t="s">
        <v>337</v>
      </c>
      <c r="Y474" s="3" t="s">
        <v>337</v>
      </c>
    </row>
    <row r="475" spans="1:25" hidden="1" x14ac:dyDescent="0.2">
      <c r="A475" s="83" t="str">
        <f t="shared" si="7"/>
        <v>方城锦城国际七喜糖浆</v>
      </c>
      <c r="B475" s="3" t="s">
        <v>712</v>
      </c>
      <c r="C475" s="84">
        <v>44377</v>
      </c>
      <c r="D475" s="3" t="s">
        <v>418</v>
      </c>
      <c r="E475" s="3" t="s">
        <v>337</v>
      </c>
      <c r="F475" s="3" t="s">
        <v>337</v>
      </c>
      <c r="G475" s="70" t="s">
        <v>67</v>
      </c>
      <c r="H475" s="3" t="s">
        <v>419</v>
      </c>
      <c r="I475" s="3" t="s">
        <v>89</v>
      </c>
      <c r="J475" s="3">
        <v>6400</v>
      </c>
      <c r="K475" s="3">
        <v>23034</v>
      </c>
      <c r="L475" s="3">
        <v>30715.66</v>
      </c>
      <c r="M475" s="3">
        <v>3000</v>
      </c>
      <c r="N475" s="3">
        <v>-1281.6600000000001</v>
      </c>
      <c r="O475" s="70">
        <v>4281.66</v>
      </c>
      <c r="P475" s="3">
        <v>0</v>
      </c>
      <c r="Q475" s="3">
        <v>0</v>
      </c>
      <c r="R475" s="3">
        <v>1.0883E-2</v>
      </c>
      <c r="S475" s="3">
        <v>46.6</v>
      </c>
      <c r="T475" s="3">
        <v>32.65</v>
      </c>
      <c r="U475" s="3">
        <v>-13.95</v>
      </c>
      <c r="V475" s="70" t="s">
        <v>594</v>
      </c>
      <c r="W475" s="3" t="s">
        <v>343</v>
      </c>
      <c r="X475" s="3" t="s">
        <v>337</v>
      </c>
      <c r="Y475" s="3" t="s">
        <v>337</v>
      </c>
    </row>
    <row r="476" spans="1:25" hidden="1" x14ac:dyDescent="0.2">
      <c r="A476" s="83" t="str">
        <f t="shared" si="7"/>
        <v>清丰凤鸣七喜糖浆</v>
      </c>
      <c r="B476" s="3" t="s">
        <v>713</v>
      </c>
      <c r="C476" s="84">
        <v>44377</v>
      </c>
      <c r="D476" s="3" t="s">
        <v>418</v>
      </c>
      <c r="E476" s="3" t="s">
        <v>337</v>
      </c>
      <c r="F476" s="3" t="s">
        <v>337</v>
      </c>
      <c r="G476" s="70" t="s">
        <v>67</v>
      </c>
      <c r="H476" s="3" t="s">
        <v>419</v>
      </c>
      <c r="I476" s="3" t="s">
        <v>89</v>
      </c>
      <c r="J476" s="3">
        <v>4100</v>
      </c>
      <c r="K476" s="3">
        <v>11517</v>
      </c>
      <c r="L476" s="3">
        <v>8600.3799999999992</v>
      </c>
      <c r="M476" s="3">
        <v>7000</v>
      </c>
      <c r="N476" s="3">
        <v>7016.62</v>
      </c>
      <c r="O476" s="70">
        <v>-16.62</v>
      </c>
      <c r="P476" s="3">
        <v>0</v>
      </c>
      <c r="Q476" s="3">
        <v>0</v>
      </c>
      <c r="R476" s="3">
        <v>1.0877E-2</v>
      </c>
      <c r="S476" s="3">
        <v>-0.18</v>
      </c>
      <c r="T476" s="3">
        <v>76.14</v>
      </c>
      <c r="U476" s="3">
        <v>76.319999999999993</v>
      </c>
      <c r="V476" s="70" t="s">
        <v>334</v>
      </c>
      <c r="W476" s="3" t="s">
        <v>343</v>
      </c>
      <c r="X476" s="3" t="s">
        <v>337</v>
      </c>
      <c r="Y476" s="3" t="s">
        <v>337</v>
      </c>
    </row>
    <row r="477" spans="1:25" hidden="1" x14ac:dyDescent="0.2">
      <c r="A477" s="83" t="str">
        <f t="shared" si="7"/>
        <v>郑州盛华里七喜糖浆</v>
      </c>
      <c r="B477" s="3" t="s">
        <v>709</v>
      </c>
      <c r="C477" s="84">
        <v>44377</v>
      </c>
      <c r="D477" s="3" t="s">
        <v>418</v>
      </c>
      <c r="E477" s="3" t="s">
        <v>337</v>
      </c>
      <c r="F477" s="3" t="s">
        <v>337</v>
      </c>
      <c r="G477" s="70" t="s">
        <v>67</v>
      </c>
      <c r="H477" s="3" t="s">
        <v>419</v>
      </c>
      <c r="I477" s="3" t="s">
        <v>89</v>
      </c>
      <c r="J477" s="3">
        <v>14800</v>
      </c>
      <c r="K477" s="3">
        <v>23034</v>
      </c>
      <c r="L477" s="3">
        <v>9541.2800000000007</v>
      </c>
      <c r="M477" s="3">
        <v>28000</v>
      </c>
      <c r="N477" s="3">
        <v>28292.720000000001</v>
      </c>
      <c r="O477" s="70">
        <v>-292.72000000000003</v>
      </c>
      <c r="P477" s="3">
        <v>0</v>
      </c>
      <c r="Q477" s="3">
        <v>0</v>
      </c>
      <c r="R477" s="3">
        <v>1.0803999999999999E-2</v>
      </c>
      <c r="S477" s="3">
        <v>-3.16</v>
      </c>
      <c r="T477" s="3">
        <v>302.51</v>
      </c>
      <c r="U477" s="3">
        <v>305.67</v>
      </c>
      <c r="V477" s="70" t="s">
        <v>637</v>
      </c>
      <c r="W477" s="3" t="s">
        <v>343</v>
      </c>
      <c r="X477" s="3" t="s">
        <v>337</v>
      </c>
      <c r="Y477" s="3" t="s">
        <v>337</v>
      </c>
    </row>
    <row r="478" spans="1:25" hidden="1" x14ac:dyDescent="0.2">
      <c r="A478" s="83" t="str">
        <f t="shared" si="7"/>
        <v>滑县滑台七喜糖浆</v>
      </c>
      <c r="B478" s="3" t="s">
        <v>710</v>
      </c>
      <c r="C478" s="84">
        <v>44377</v>
      </c>
      <c r="D478" s="3" t="s">
        <v>418</v>
      </c>
      <c r="E478" s="3" t="s">
        <v>337</v>
      </c>
      <c r="F478" s="3" t="s">
        <v>337</v>
      </c>
      <c r="G478" s="70" t="s">
        <v>67</v>
      </c>
      <c r="H478" s="3" t="s">
        <v>419</v>
      </c>
      <c r="I478" s="3" t="s">
        <v>89</v>
      </c>
      <c r="J478" s="3">
        <v>700</v>
      </c>
      <c r="K478" s="3">
        <v>23034</v>
      </c>
      <c r="L478" s="3">
        <v>15307.04</v>
      </c>
      <c r="M478" s="3">
        <v>8000</v>
      </c>
      <c r="N478" s="3">
        <v>8426.9599999999991</v>
      </c>
      <c r="O478" s="70">
        <v>-426.96</v>
      </c>
      <c r="P478" s="3">
        <v>0</v>
      </c>
      <c r="Q478" s="3">
        <v>0</v>
      </c>
      <c r="R478" s="3">
        <v>1.0801E-2</v>
      </c>
      <c r="S478" s="3">
        <v>-4.6100000000000003</v>
      </c>
      <c r="T478" s="3">
        <v>86.41</v>
      </c>
      <c r="U478" s="3">
        <v>91.02</v>
      </c>
      <c r="V478" s="70" t="s">
        <v>639</v>
      </c>
      <c r="W478" s="3" t="s">
        <v>343</v>
      </c>
      <c r="X478" s="3" t="s">
        <v>337</v>
      </c>
      <c r="Y478" s="3" t="s">
        <v>337</v>
      </c>
    </row>
    <row r="479" spans="1:25" hidden="1" x14ac:dyDescent="0.2">
      <c r="A479" s="83" t="str">
        <f t="shared" si="7"/>
        <v>郑州瀚海海尚七喜糖浆</v>
      </c>
      <c r="B479" s="3" t="s">
        <v>706</v>
      </c>
      <c r="C479" s="84">
        <v>44377</v>
      </c>
      <c r="D479" s="3" t="s">
        <v>418</v>
      </c>
      <c r="E479" s="3" t="s">
        <v>337</v>
      </c>
      <c r="F479" s="3" t="s">
        <v>337</v>
      </c>
      <c r="G479" s="70" t="s">
        <v>67</v>
      </c>
      <c r="H479" s="3" t="s">
        <v>419</v>
      </c>
      <c r="I479" s="3" t="s">
        <v>89</v>
      </c>
      <c r="J479" s="3">
        <v>6570</v>
      </c>
      <c r="K479" s="3">
        <v>34551</v>
      </c>
      <c r="L479" s="3">
        <v>26603.74</v>
      </c>
      <c r="M479" s="3">
        <v>14715</v>
      </c>
      <c r="N479" s="3">
        <v>14517.26</v>
      </c>
      <c r="O479" s="70">
        <v>197.74</v>
      </c>
      <c r="P479" s="3">
        <v>0</v>
      </c>
      <c r="Q479" s="3">
        <v>0</v>
      </c>
      <c r="R479" s="3">
        <v>1.0803E-2</v>
      </c>
      <c r="S479" s="3">
        <v>2.14</v>
      </c>
      <c r="T479" s="3">
        <v>158.96</v>
      </c>
      <c r="U479" s="3">
        <v>156.83000000000001</v>
      </c>
      <c r="V479" s="70" t="s">
        <v>333</v>
      </c>
      <c r="W479" s="3" t="s">
        <v>343</v>
      </c>
      <c r="X479" s="3" t="s">
        <v>337</v>
      </c>
      <c r="Y479" s="3" t="s">
        <v>337</v>
      </c>
    </row>
    <row r="480" spans="1:25" hidden="1" x14ac:dyDescent="0.2">
      <c r="A480" s="83" t="str">
        <f t="shared" si="7"/>
        <v>华山龙源七喜糖浆</v>
      </c>
      <c r="B480" s="3" t="s">
        <v>705</v>
      </c>
      <c r="C480" s="84">
        <v>44377</v>
      </c>
      <c r="D480" s="3" t="s">
        <v>418</v>
      </c>
      <c r="E480" s="3" t="s">
        <v>337</v>
      </c>
      <c r="F480" s="3" t="s">
        <v>337</v>
      </c>
      <c r="G480" s="70" t="s">
        <v>67</v>
      </c>
      <c r="H480" s="3" t="s">
        <v>419</v>
      </c>
      <c r="I480" s="3" t="s">
        <v>89</v>
      </c>
      <c r="J480" s="3">
        <v>7000</v>
      </c>
      <c r="K480" s="3">
        <v>11517</v>
      </c>
      <c r="L480" s="3">
        <v>16064.32</v>
      </c>
      <c r="M480" s="3">
        <v>4300</v>
      </c>
      <c r="N480" s="3">
        <v>2452.6799999999998</v>
      </c>
      <c r="O480" s="70">
        <v>1847.32</v>
      </c>
      <c r="P480" s="3">
        <v>0</v>
      </c>
      <c r="Q480" s="3">
        <v>0</v>
      </c>
      <c r="R480" s="3">
        <v>1.0802000000000001E-2</v>
      </c>
      <c r="S480" s="3">
        <v>19.95</v>
      </c>
      <c r="T480" s="3">
        <v>46.45</v>
      </c>
      <c r="U480" s="3">
        <v>26.49</v>
      </c>
      <c r="V480" s="70" t="s">
        <v>643</v>
      </c>
      <c r="W480" s="3" t="s">
        <v>343</v>
      </c>
      <c r="X480" s="3" t="s">
        <v>337</v>
      </c>
      <c r="Y480" s="3" t="s">
        <v>337</v>
      </c>
    </row>
    <row r="481" spans="1:25" hidden="1" x14ac:dyDescent="0.2">
      <c r="A481" s="83" t="str">
        <f t="shared" si="7"/>
        <v>郑州西悦城七喜糖浆</v>
      </c>
      <c r="B481" s="3" t="s">
        <v>708</v>
      </c>
      <c r="C481" s="84">
        <v>44377</v>
      </c>
      <c r="D481" s="3" t="s">
        <v>418</v>
      </c>
      <c r="E481" s="3" t="s">
        <v>337</v>
      </c>
      <c r="F481" s="3" t="s">
        <v>337</v>
      </c>
      <c r="G481" s="70" t="s">
        <v>67</v>
      </c>
      <c r="H481" s="3" t="s">
        <v>419</v>
      </c>
      <c r="I481" s="3" t="s">
        <v>89</v>
      </c>
      <c r="J481" s="3">
        <v>23000</v>
      </c>
      <c r="K481" s="3">
        <v>23034</v>
      </c>
      <c r="L481" s="3">
        <v>32114</v>
      </c>
      <c r="M481" s="3">
        <v>13000</v>
      </c>
      <c r="N481" s="3">
        <v>13920</v>
      </c>
      <c r="O481" s="70">
        <v>-920</v>
      </c>
      <c r="P481" s="3">
        <v>0</v>
      </c>
      <c r="Q481" s="3">
        <v>0</v>
      </c>
      <c r="R481" s="3">
        <v>1.0801E-2</v>
      </c>
      <c r="S481" s="3">
        <v>-9.94</v>
      </c>
      <c r="T481" s="3">
        <v>140.41</v>
      </c>
      <c r="U481" s="3">
        <v>150.35</v>
      </c>
      <c r="V481" s="70" t="s">
        <v>332</v>
      </c>
      <c r="W481" s="3" t="s">
        <v>343</v>
      </c>
      <c r="X481" s="3" t="s">
        <v>337</v>
      </c>
      <c r="Y481" s="3" t="s">
        <v>337</v>
      </c>
    </row>
    <row r="482" spans="1:25" hidden="1" x14ac:dyDescent="0.2">
      <c r="A482" s="83" t="str">
        <f t="shared" si="7"/>
        <v>郑州铁英街七喜糖浆</v>
      </c>
      <c r="B482" s="3" t="s">
        <v>707</v>
      </c>
      <c r="C482" s="84">
        <v>44377</v>
      </c>
      <c r="D482" s="3" t="s">
        <v>418</v>
      </c>
      <c r="E482" s="3" t="s">
        <v>337</v>
      </c>
      <c r="F482" s="3" t="s">
        <v>337</v>
      </c>
      <c r="G482" s="70" t="s">
        <v>67</v>
      </c>
      <c r="H482" s="3" t="s">
        <v>419</v>
      </c>
      <c r="I482" s="3" t="s">
        <v>89</v>
      </c>
      <c r="J482" s="3">
        <v>8000</v>
      </c>
      <c r="K482" s="3">
        <v>23034</v>
      </c>
      <c r="L482" s="3">
        <v>23560.92</v>
      </c>
      <c r="M482" s="3">
        <v>7600</v>
      </c>
      <c r="N482" s="3">
        <v>7473.08</v>
      </c>
      <c r="O482" s="70">
        <v>126.92</v>
      </c>
      <c r="P482" s="3">
        <v>0</v>
      </c>
      <c r="Q482" s="3">
        <v>0</v>
      </c>
      <c r="R482" s="3">
        <v>1.0805E-2</v>
      </c>
      <c r="S482" s="3">
        <v>1.37</v>
      </c>
      <c r="T482" s="3">
        <v>82.12</v>
      </c>
      <c r="U482" s="3">
        <v>80.75</v>
      </c>
      <c r="V482" s="70" t="s">
        <v>592</v>
      </c>
      <c r="W482" s="3" t="s">
        <v>343</v>
      </c>
      <c r="X482" s="3" t="s">
        <v>337</v>
      </c>
      <c r="Y482" s="3" t="s">
        <v>337</v>
      </c>
    </row>
    <row r="483" spans="1:25" hidden="1" x14ac:dyDescent="0.2">
      <c r="A483" s="83" t="str">
        <f t="shared" si="7"/>
        <v>新蔡水韵天街七喜糖浆</v>
      </c>
      <c r="B483" s="3" t="s">
        <v>703</v>
      </c>
      <c r="C483" s="84">
        <v>44377</v>
      </c>
      <c r="D483" s="3" t="s">
        <v>418</v>
      </c>
      <c r="E483" s="3" t="s">
        <v>337</v>
      </c>
      <c r="F483" s="3" t="s">
        <v>337</v>
      </c>
      <c r="G483" s="70" t="s">
        <v>67</v>
      </c>
      <c r="H483" s="3" t="s">
        <v>419</v>
      </c>
      <c r="I483" s="3" t="s">
        <v>89</v>
      </c>
      <c r="J483" s="3">
        <v>8000</v>
      </c>
      <c r="K483" s="3">
        <v>11517</v>
      </c>
      <c r="L483" s="3">
        <v>14173.86</v>
      </c>
      <c r="M483" s="3">
        <v>5000</v>
      </c>
      <c r="N483" s="3">
        <v>5343.14</v>
      </c>
      <c r="O483" s="70">
        <v>-343.14</v>
      </c>
      <c r="P483" s="3">
        <v>0</v>
      </c>
      <c r="Q483" s="3">
        <v>0</v>
      </c>
      <c r="R483" s="3">
        <v>1.0880000000000001E-2</v>
      </c>
      <c r="S483" s="3">
        <v>-3.73</v>
      </c>
      <c r="T483" s="3">
        <v>54.4</v>
      </c>
      <c r="U483" s="3">
        <v>58.13</v>
      </c>
      <c r="V483" s="70" t="s">
        <v>335</v>
      </c>
      <c r="W483" s="3" t="s">
        <v>343</v>
      </c>
      <c r="X483" s="3" t="s">
        <v>337</v>
      </c>
      <c r="Y483" s="3" t="s">
        <v>337</v>
      </c>
    </row>
    <row r="484" spans="1:25" hidden="1" x14ac:dyDescent="0.2">
      <c r="A484" s="83" t="str">
        <f t="shared" si="7"/>
        <v>郑州康复中街七喜糖浆</v>
      </c>
      <c r="B484" s="3" t="s">
        <v>704</v>
      </c>
      <c r="C484" s="84">
        <v>44377</v>
      </c>
      <c r="D484" s="3" t="s">
        <v>418</v>
      </c>
      <c r="E484" s="3" t="s">
        <v>337</v>
      </c>
      <c r="F484" s="3" t="s">
        <v>337</v>
      </c>
      <c r="G484" s="70" t="s">
        <v>67</v>
      </c>
      <c r="H484" s="3" t="s">
        <v>419</v>
      </c>
      <c r="I484" s="3" t="s">
        <v>89</v>
      </c>
      <c r="J484" s="3">
        <v>29057</v>
      </c>
      <c r="K484" s="3">
        <v>92136</v>
      </c>
      <c r="L484" s="3">
        <v>23949.08</v>
      </c>
      <c r="M484" s="3">
        <v>97200</v>
      </c>
      <c r="N484" s="3">
        <v>97243.92</v>
      </c>
      <c r="O484" s="70">
        <v>-43.92</v>
      </c>
      <c r="P484" s="3">
        <v>0</v>
      </c>
      <c r="Q484" s="3">
        <v>0</v>
      </c>
      <c r="R484" s="3">
        <v>1.0803999999999999E-2</v>
      </c>
      <c r="S484" s="3">
        <v>-0.47</v>
      </c>
      <c r="T484" s="3">
        <v>1050.1400000000001</v>
      </c>
      <c r="U484" s="3">
        <v>1050.6199999999999</v>
      </c>
      <c r="V484" s="70" t="s">
        <v>593</v>
      </c>
      <c r="W484" s="3" t="s">
        <v>343</v>
      </c>
      <c r="X484" s="3" t="s">
        <v>337</v>
      </c>
      <c r="Y484" s="3" t="s">
        <v>337</v>
      </c>
    </row>
    <row r="485" spans="1:25" hidden="1" x14ac:dyDescent="0.2">
      <c r="A485" s="83" t="str">
        <f t="shared" si="7"/>
        <v>郑州政六街七喜糖浆</v>
      </c>
      <c r="B485" s="3" t="s">
        <v>714</v>
      </c>
      <c r="C485" s="84">
        <v>44377</v>
      </c>
      <c r="D485" s="3" t="s">
        <v>418</v>
      </c>
      <c r="E485" s="3" t="s">
        <v>337</v>
      </c>
      <c r="F485" s="3" t="s">
        <v>337</v>
      </c>
      <c r="G485" s="70" t="s">
        <v>67</v>
      </c>
      <c r="H485" s="3" t="s">
        <v>419</v>
      </c>
      <c r="I485" s="3" t="s">
        <v>89</v>
      </c>
      <c r="J485" s="3">
        <v>5758.5</v>
      </c>
      <c r="K485" s="3">
        <v>14106.84</v>
      </c>
      <c r="L485" s="3">
        <v>11460.68</v>
      </c>
      <c r="M485" s="3">
        <v>8300</v>
      </c>
      <c r="N485" s="3">
        <v>8404.66</v>
      </c>
      <c r="O485" s="70">
        <v>-104.66</v>
      </c>
      <c r="P485" s="3">
        <v>0</v>
      </c>
      <c r="Q485" s="3">
        <v>0</v>
      </c>
      <c r="R485" s="3">
        <v>1.2130999999999999E-2</v>
      </c>
      <c r="S485" s="3">
        <v>-1.27</v>
      </c>
      <c r="T485" s="3">
        <v>100.69</v>
      </c>
      <c r="U485" s="3">
        <v>101.96</v>
      </c>
      <c r="V485" s="70" t="s">
        <v>591</v>
      </c>
      <c r="W485" s="3" t="s">
        <v>343</v>
      </c>
      <c r="X485" s="3" t="s">
        <v>337</v>
      </c>
      <c r="Y485" s="3" t="s">
        <v>337</v>
      </c>
    </row>
    <row r="486" spans="1:25" hidden="1" x14ac:dyDescent="0.2">
      <c r="A486" s="83" t="str">
        <f t="shared" si="7"/>
        <v>郑州政六街门店滤油纸（国产）</v>
      </c>
      <c r="B486" s="3" t="s">
        <v>714</v>
      </c>
      <c r="C486" s="84">
        <v>44377</v>
      </c>
      <c r="D486" s="3" t="s">
        <v>603</v>
      </c>
      <c r="E486" s="3" t="s">
        <v>337</v>
      </c>
      <c r="F486" s="3" t="s">
        <v>337</v>
      </c>
      <c r="G486" s="70" t="s">
        <v>604</v>
      </c>
      <c r="H486" s="3" t="s">
        <v>343</v>
      </c>
      <c r="I486" s="3" t="s">
        <v>113</v>
      </c>
      <c r="J486" s="3">
        <v>70</v>
      </c>
      <c r="K486" s="3">
        <v>0</v>
      </c>
      <c r="L486" s="3">
        <v>0</v>
      </c>
      <c r="M486" s="3">
        <v>40</v>
      </c>
      <c r="N486" s="3">
        <v>70</v>
      </c>
      <c r="O486" s="70">
        <v>-30</v>
      </c>
      <c r="P486" s="3">
        <v>0</v>
      </c>
      <c r="Q486" s="3">
        <v>0</v>
      </c>
      <c r="R486" s="3">
        <v>2.5</v>
      </c>
      <c r="S486" s="3">
        <v>-75</v>
      </c>
      <c r="T486" s="3">
        <v>100</v>
      </c>
      <c r="U486" s="3">
        <v>175</v>
      </c>
      <c r="V486" s="70" t="s">
        <v>591</v>
      </c>
      <c r="W486" s="3" t="s">
        <v>343</v>
      </c>
      <c r="X486" s="3" t="s">
        <v>337</v>
      </c>
      <c r="Y486" s="3" t="s">
        <v>337</v>
      </c>
    </row>
    <row r="487" spans="1:25" hidden="1" x14ac:dyDescent="0.2">
      <c r="A487" s="83" t="str">
        <f t="shared" si="7"/>
        <v>郑州裕华门店滤油纸（国产）</v>
      </c>
      <c r="B487" s="3" t="s">
        <v>711</v>
      </c>
      <c r="C487" s="84">
        <v>44377</v>
      </c>
      <c r="D487" s="3" t="s">
        <v>603</v>
      </c>
      <c r="E487" s="3" t="s">
        <v>337</v>
      </c>
      <c r="F487" s="3" t="s">
        <v>337</v>
      </c>
      <c r="G487" s="70" t="s">
        <v>604</v>
      </c>
      <c r="H487" s="3" t="s">
        <v>343</v>
      </c>
      <c r="I487" s="3" t="s">
        <v>113</v>
      </c>
      <c r="J487" s="3">
        <v>100</v>
      </c>
      <c r="K487" s="3">
        <v>0</v>
      </c>
      <c r="L487" s="3">
        <v>0</v>
      </c>
      <c r="M487" s="3">
        <v>100</v>
      </c>
      <c r="N487" s="3">
        <v>100</v>
      </c>
      <c r="O487" s="70">
        <v>0</v>
      </c>
      <c r="P487" s="3">
        <v>0</v>
      </c>
      <c r="Q487" s="3">
        <v>0</v>
      </c>
      <c r="R487" s="3">
        <v>2.5</v>
      </c>
      <c r="S487" s="3">
        <v>0</v>
      </c>
      <c r="T487" s="3">
        <v>250</v>
      </c>
      <c r="U487" s="3">
        <v>250</v>
      </c>
      <c r="V487" s="70" t="s">
        <v>641</v>
      </c>
      <c r="W487" s="3" t="s">
        <v>343</v>
      </c>
      <c r="X487" s="3" t="s">
        <v>337</v>
      </c>
      <c r="Y487" s="3" t="s">
        <v>337</v>
      </c>
    </row>
    <row r="488" spans="1:25" hidden="1" x14ac:dyDescent="0.2">
      <c r="A488" s="83" t="str">
        <f t="shared" si="7"/>
        <v>郑州裕华汉堡盒</v>
      </c>
      <c r="B488" s="3" t="s">
        <v>711</v>
      </c>
      <c r="C488" s="84">
        <v>44377</v>
      </c>
      <c r="D488" s="3" t="s">
        <v>420</v>
      </c>
      <c r="E488" s="3" t="s">
        <v>337</v>
      </c>
      <c r="F488" s="3" t="s">
        <v>337</v>
      </c>
      <c r="G488" s="70" t="s">
        <v>421</v>
      </c>
      <c r="H488" s="3" t="s">
        <v>343</v>
      </c>
      <c r="I488" s="3" t="s">
        <v>339</v>
      </c>
      <c r="J488" s="3">
        <v>1000</v>
      </c>
      <c r="K488" s="3">
        <v>0</v>
      </c>
      <c r="L488" s="3">
        <v>866</v>
      </c>
      <c r="M488" s="3">
        <v>143</v>
      </c>
      <c r="N488" s="3">
        <v>134</v>
      </c>
      <c r="O488" s="70">
        <v>9</v>
      </c>
      <c r="P488" s="3">
        <v>0</v>
      </c>
      <c r="Q488" s="3">
        <v>0</v>
      </c>
      <c r="R488" s="3">
        <v>0.20461499999999999</v>
      </c>
      <c r="S488" s="3">
        <v>1.84</v>
      </c>
      <c r="T488" s="3">
        <v>29.26</v>
      </c>
      <c r="U488" s="3">
        <v>27.42</v>
      </c>
      <c r="V488" s="70" t="s">
        <v>641</v>
      </c>
      <c r="W488" s="3" t="s">
        <v>343</v>
      </c>
      <c r="X488" s="3" t="s">
        <v>337</v>
      </c>
      <c r="Y488" s="3" t="s">
        <v>337</v>
      </c>
    </row>
    <row r="489" spans="1:25" hidden="1" x14ac:dyDescent="0.2">
      <c r="A489" s="83" t="str">
        <f t="shared" si="7"/>
        <v>清丰凤鸣汉堡盒</v>
      </c>
      <c r="B489" s="3" t="s">
        <v>713</v>
      </c>
      <c r="C489" s="84">
        <v>44377</v>
      </c>
      <c r="D489" s="3" t="s">
        <v>420</v>
      </c>
      <c r="E489" s="3" t="s">
        <v>337</v>
      </c>
      <c r="F489" s="3" t="s">
        <v>337</v>
      </c>
      <c r="G489" s="70" t="s">
        <v>421</v>
      </c>
      <c r="H489" s="3" t="s">
        <v>343</v>
      </c>
      <c r="I489" s="3" t="s">
        <v>339</v>
      </c>
      <c r="J489" s="3">
        <v>850</v>
      </c>
      <c r="K489" s="3">
        <v>0</v>
      </c>
      <c r="L489" s="3">
        <v>487</v>
      </c>
      <c r="M489" s="3">
        <v>725</v>
      </c>
      <c r="N489" s="3">
        <v>363</v>
      </c>
      <c r="O489" s="70">
        <v>362</v>
      </c>
      <c r="P489" s="3">
        <v>0</v>
      </c>
      <c r="Q489" s="3">
        <v>0</v>
      </c>
      <c r="R489" s="3">
        <v>0.204566</v>
      </c>
      <c r="S489" s="3">
        <v>74.05</v>
      </c>
      <c r="T489" s="3">
        <v>148.31</v>
      </c>
      <c r="U489" s="3">
        <v>74.260000000000005</v>
      </c>
      <c r="V489" s="70" t="s">
        <v>334</v>
      </c>
      <c r="W489" s="3" t="s">
        <v>728</v>
      </c>
      <c r="X489" s="3" t="s">
        <v>337</v>
      </c>
      <c r="Y489" s="3" t="s">
        <v>337</v>
      </c>
    </row>
    <row r="490" spans="1:25" hidden="1" x14ac:dyDescent="0.2">
      <c r="A490" s="83" t="str">
        <f t="shared" si="7"/>
        <v>方城锦城国际汉堡盒</v>
      </c>
      <c r="B490" s="3" t="s">
        <v>712</v>
      </c>
      <c r="C490" s="84">
        <v>44377</v>
      </c>
      <c r="D490" s="3" t="s">
        <v>420</v>
      </c>
      <c r="E490" s="3" t="s">
        <v>337</v>
      </c>
      <c r="F490" s="3" t="s">
        <v>337</v>
      </c>
      <c r="G490" s="70" t="s">
        <v>421</v>
      </c>
      <c r="H490" s="3" t="s">
        <v>343</v>
      </c>
      <c r="I490" s="3" t="s">
        <v>339</v>
      </c>
      <c r="J490" s="3">
        <v>88</v>
      </c>
      <c r="K490" s="3">
        <v>500</v>
      </c>
      <c r="L490" s="3">
        <v>1101</v>
      </c>
      <c r="M490" s="3">
        <v>0</v>
      </c>
      <c r="N490" s="3">
        <v>-513</v>
      </c>
      <c r="O490" s="70">
        <v>513</v>
      </c>
      <c r="P490" s="3">
        <v>0</v>
      </c>
      <c r="Q490" s="3">
        <v>0</v>
      </c>
      <c r="R490" s="3">
        <v>0.20935400000000001</v>
      </c>
      <c r="S490" s="3">
        <v>107.4</v>
      </c>
      <c r="T490" s="3">
        <v>0</v>
      </c>
      <c r="U490" s="3">
        <v>-107.4</v>
      </c>
      <c r="V490" s="70" t="s">
        <v>594</v>
      </c>
      <c r="W490" s="3" t="s">
        <v>729</v>
      </c>
      <c r="X490" s="3" t="s">
        <v>337</v>
      </c>
      <c r="Y490" s="3" t="s">
        <v>337</v>
      </c>
    </row>
    <row r="491" spans="1:25" hidden="1" x14ac:dyDescent="0.2">
      <c r="A491" s="83" t="str">
        <f t="shared" si="7"/>
        <v>滑县滑台汉堡盒</v>
      </c>
      <c r="B491" s="3" t="s">
        <v>710</v>
      </c>
      <c r="C491" s="84">
        <v>44377</v>
      </c>
      <c r="D491" s="3" t="s">
        <v>420</v>
      </c>
      <c r="E491" s="3" t="s">
        <v>337</v>
      </c>
      <c r="F491" s="3" t="s">
        <v>337</v>
      </c>
      <c r="G491" s="70" t="s">
        <v>421</v>
      </c>
      <c r="H491" s="3" t="s">
        <v>343</v>
      </c>
      <c r="I491" s="3" t="s">
        <v>339</v>
      </c>
      <c r="J491" s="3">
        <v>0</v>
      </c>
      <c r="K491" s="3">
        <v>500</v>
      </c>
      <c r="L491" s="3">
        <v>2420</v>
      </c>
      <c r="M491" s="3">
        <v>0</v>
      </c>
      <c r="N491" s="3">
        <v>-1920</v>
      </c>
      <c r="O491" s="70">
        <v>1920</v>
      </c>
      <c r="P491" s="3">
        <v>0</v>
      </c>
      <c r="Q491" s="3">
        <v>0</v>
      </c>
      <c r="R491" s="3">
        <v>0.20760000000000001</v>
      </c>
      <c r="S491" s="3">
        <v>398.59</v>
      </c>
      <c r="T491" s="3">
        <v>0</v>
      </c>
      <c r="U491" s="3">
        <v>-398.59</v>
      </c>
      <c r="V491" s="70" t="s">
        <v>639</v>
      </c>
      <c r="W491" s="3" t="s">
        <v>343</v>
      </c>
      <c r="X491" s="3" t="s">
        <v>337</v>
      </c>
      <c r="Y491" s="3" t="s">
        <v>337</v>
      </c>
    </row>
    <row r="492" spans="1:25" hidden="1" x14ac:dyDescent="0.2">
      <c r="A492" s="83" t="str">
        <f t="shared" si="7"/>
        <v>郑州盛华里汉堡盒</v>
      </c>
      <c r="B492" s="3" t="s">
        <v>709</v>
      </c>
      <c r="C492" s="84">
        <v>44377</v>
      </c>
      <c r="D492" s="3" t="s">
        <v>420</v>
      </c>
      <c r="E492" s="3" t="s">
        <v>337</v>
      </c>
      <c r="F492" s="3" t="s">
        <v>337</v>
      </c>
      <c r="G492" s="70" t="s">
        <v>421</v>
      </c>
      <c r="H492" s="3" t="s">
        <v>343</v>
      </c>
      <c r="I492" s="3" t="s">
        <v>339</v>
      </c>
      <c r="J492" s="3">
        <v>0</v>
      </c>
      <c r="K492" s="3">
        <v>3000</v>
      </c>
      <c r="L492" s="3">
        <v>1151</v>
      </c>
      <c r="M492" s="3">
        <v>2000</v>
      </c>
      <c r="N492" s="3">
        <v>1849</v>
      </c>
      <c r="O492" s="70">
        <v>151</v>
      </c>
      <c r="P492" s="3">
        <v>0</v>
      </c>
      <c r="Q492" s="3">
        <v>0</v>
      </c>
      <c r="R492" s="3">
        <v>0.209395</v>
      </c>
      <c r="S492" s="3">
        <v>31.62</v>
      </c>
      <c r="T492" s="3">
        <v>418.79</v>
      </c>
      <c r="U492" s="3">
        <v>387.17</v>
      </c>
      <c r="V492" s="70" t="s">
        <v>637</v>
      </c>
      <c r="W492" s="3" t="s">
        <v>343</v>
      </c>
      <c r="X492" s="3" t="s">
        <v>337</v>
      </c>
      <c r="Y492" s="3" t="s">
        <v>337</v>
      </c>
    </row>
    <row r="493" spans="1:25" hidden="1" x14ac:dyDescent="0.2">
      <c r="A493" s="83" t="str">
        <f t="shared" si="7"/>
        <v>郑州康复中街汉堡盒</v>
      </c>
      <c r="B493" s="3" t="s">
        <v>704</v>
      </c>
      <c r="C493" s="84">
        <v>44377</v>
      </c>
      <c r="D493" s="3" t="s">
        <v>420</v>
      </c>
      <c r="E493" s="3" t="s">
        <v>337</v>
      </c>
      <c r="F493" s="3" t="s">
        <v>337</v>
      </c>
      <c r="G493" s="70" t="s">
        <v>421</v>
      </c>
      <c r="H493" s="3" t="s">
        <v>343</v>
      </c>
      <c r="I493" s="3" t="s">
        <v>339</v>
      </c>
      <c r="J493" s="3">
        <v>0</v>
      </c>
      <c r="K493" s="3">
        <v>4500</v>
      </c>
      <c r="L493" s="3">
        <v>3613</v>
      </c>
      <c r="M493" s="3">
        <v>900</v>
      </c>
      <c r="N493" s="3">
        <v>887</v>
      </c>
      <c r="O493" s="70">
        <v>13</v>
      </c>
      <c r="P493" s="3">
        <v>0</v>
      </c>
      <c r="Q493" s="3">
        <v>0</v>
      </c>
      <c r="R493" s="3">
        <v>0.20876700000000001</v>
      </c>
      <c r="S493" s="3">
        <v>2.71</v>
      </c>
      <c r="T493" s="3">
        <v>187.89</v>
      </c>
      <c r="U493" s="3">
        <v>185.18</v>
      </c>
      <c r="V493" s="70" t="s">
        <v>593</v>
      </c>
      <c r="W493" s="3" t="s">
        <v>343</v>
      </c>
      <c r="X493" s="3" t="s">
        <v>337</v>
      </c>
      <c r="Y493" s="3" t="s">
        <v>337</v>
      </c>
    </row>
    <row r="494" spans="1:25" hidden="1" x14ac:dyDescent="0.2">
      <c r="A494" s="83" t="str">
        <f t="shared" si="7"/>
        <v>新蔡水韵天街汉堡盒</v>
      </c>
      <c r="B494" s="3" t="s">
        <v>703</v>
      </c>
      <c r="C494" s="84">
        <v>44377</v>
      </c>
      <c r="D494" s="3" t="s">
        <v>420</v>
      </c>
      <c r="E494" s="3" t="s">
        <v>337</v>
      </c>
      <c r="F494" s="3" t="s">
        <v>337</v>
      </c>
      <c r="G494" s="70" t="s">
        <v>421</v>
      </c>
      <c r="H494" s="3" t="s">
        <v>343</v>
      </c>
      <c r="I494" s="3" t="s">
        <v>339</v>
      </c>
      <c r="J494" s="3">
        <v>1100</v>
      </c>
      <c r="K494" s="3">
        <v>0</v>
      </c>
      <c r="L494" s="3">
        <v>779</v>
      </c>
      <c r="M494" s="3">
        <v>360</v>
      </c>
      <c r="N494" s="3">
        <v>321</v>
      </c>
      <c r="O494" s="70">
        <v>39</v>
      </c>
      <c r="P494" s="3">
        <v>0</v>
      </c>
      <c r="Q494" s="3">
        <v>0</v>
      </c>
      <c r="R494" s="3">
        <v>0.20461099999999999</v>
      </c>
      <c r="S494" s="3">
        <v>7.98</v>
      </c>
      <c r="T494" s="3">
        <v>73.66</v>
      </c>
      <c r="U494" s="3">
        <v>65.680000000000007</v>
      </c>
      <c r="V494" s="70" t="s">
        <v>335</v>
      </c>
      <c r="W494" s="3" t="s">
        <v>343</v>
      </c>
      <c r="X494" s="3" t="s">
        <v>337</v>
      </c>
      <c r="Y494" s="3" t="s">
        <v>337</v>
      </c>
    </row>
    <row r="495" spans="1:25" hidden="1" x14ac:dyDescent="0.2">
      <c r="A495" s="83" t="str">
        <f t="shared" si="7"/>
        <v>郑州铁英街汉堡盒</v>
      </c>
      <c r="B495" s="3" t="s">
        <v>707</v>
      </c>
      <c r="C495" s="84">
        <v>44377</v>
      </c>
      <c r="D495" s="3" t="s">
        <v>420</v>
      </c>
      <c r="E495" s="3" t="s">
        <v>337</v>
      </c>
      <c r="F495" s="3" t="s">
        <v>337</v>
      </c>
      <c r="G495" s="70" t="s">
        <v>421</v>
      </c>
      <c r="H495" s="3" t="s">
        <v>343</v>
      </c>
      <c r="I495" s="3" t="s">
        <v>339</v>
      </c>
      <c r="J495" s="3">
        <v>988</v>
      </c>
      <c r="K495" s="3">
        <v>500</v>
      </c>
      <c r="L495" s="3">
        <v>1152</v>
      </c>
      <c r="M495" s="3">
        <v>315</v>
      </c>
      <c r="N495" s="3">
        <v>336</v>
      </c>
      <c r="O495" s="70">
        <v>-21</v>
      </c>
      <c r="P495" s="3">
        <v>0</v>
      </c>
      <c r="Q495" s="3">
        <v>0</v>
      </c>
      <c r="R495" s="3">
        <v>0.209651</v>
      </c>
      <c r="S495" s="3">
        <v>-4.4000000000000004</v>
      </c>
      <c r="T495" s="3">
        <v>66.040000000000006</v>
      </c>
      <c r="U495" s="3">
        <v>70.44</v>
      </c>
      <c r="V495" s="70" t="s">
        <v>592</v>
      </c>
      <c r="W495" s="3" t="s">
        <v>343</v>
      </c>
      <c r="X495" s="3" t="s">
        <v>337</v>
      </c>
      <c r="Y495" s="3" t="s">
        <v>337</v>
      </c>
    </row>
    <row r="496" spans="1:25" hidden="1" x14ac:dyDescent="0.2">
      <c r="A496" s="83" t="str">
        <f t="shared" si="7"/>
        <v>郑州西悦城汉堡盒</v>
      </c>
      <c r="B496" s="3" t="s">
        <v>708</v>
      </c>
      <c r="C496" s="84">
        <v>44377</v>
      </c>
      <c r="D496" s="3" t="s">
        <v>420</v>
      </c>
      <c r="E496" s="3" t="s">
        <v>337</v>
      </c>
      <c r="F496" s="3" t="s">
        <v>337</v>
      </c>
      <c r="G496" s="70" t="s">
        <v>421</v>
      </c>
      <c r="H496" s="3" t="s">
        <v>343</v>
      </c>
      <c r="I496" s="3" t="s">
        <v>339</v>
      </c>
      <c r="J496" s="3">
        <v>500</v>
      </c>
      <c r="K496" s="3">
        <v>2500</v>
      </c>
      <c r="L496" s="3">
        <v>3961</v>
      </c>
      <c r="M496" s="3">
        <v>950</v>
      </c>
      <c r="N496" s="3">
        <v>-961</v>
      </c>
      <c r="O496" s="70">
        <v>1911</v>
      </c>
      <c r="P496" s="3">
        <v>0</v>
      </c>
      <c r="Q496" s="3">
        <v>0</v>
      </c>
      <c r="R496" s="3">
        <v>0.21022099999999999</v>
      </c>
      <c r="S496" s="3">
        <v>401.73</v>
      </c>
      <c r="T496" s="3">
        <v>199.71</v>
      </c>
      <c r="U496" s="3">
        <v>-202.02</v>
      </c>
      <c r="V496" s="70" t="s">
        <v>332</v>
      </c>
      <c r="W496" s="3" t="s">
        <v>730</v>
      </c>
      <c r="X496" s="3" t="s">
        <v>337</v>
      </c>
      <c r="Y496" s="3" t="s">
        <v>337</v>
      </c>
    </row>
    <row r="497" spans="1:25" hidden="1" x14ac:dyDescent="0.2">
      <c r="A497" s="83" t="str">
        <f t="shared" si="7"/>
        <v>华山龙源汉堡盒</v>
      </c>
      <c r="B497" s="3" t="s">
        <v>705</v>
      </c>
      <c r="C497" s="84">
        <v>44377</v>
      </c>
      <c r="D497" s="3" t="s">
        <v>420</v>
      </c>
      <c r="E497" s="3" t="s">
        <v>337</v>
      </c>
      <c r="F497" s="3" t="s">
        <v>337</v>
      </c>
      <c r="G497" s="70" t="s">
        <v>421</v>
      </c>
      <c r="H497" s="3" t="s">
        <v>343</v>
      </c>
      <c r="I497" s="3" t="s">
        <v>339</v>
      </c>
      <c r="J497" s="3">
        <v>463</v>
      </c>
      <c r="K497" s="3">
        <v>500</v>
      </c>
      <c r="L497" s="3">
        <v>499</v>
      </c>
      <c r="M497" s="3">
        <v>453</v>
      </c>
      <c r="N497" s="3">
        <v>464</v>
      </c>
      <c r="O497" s="70">
        <v>-11</v>
      </c>
      <c r="P497" s="3">
        <v>0</v>
      </c>
      <c r="Q497" s="3">
        <v>0</v>
      </c>
      <c r="R497" s="3">
        <v>0.20735100000000001</v>
      </c>
      <c r="S497" s="3">
        <v>-2.2799999999999998</v>
      </c>
      <c r="T497" s="3">
        <v>93.93</v>
      </c>
      <c r="U497" s="3">
        <v>96.21</v>
      </c>
      <c r="V497" s="70" t="s">
        <v>643</v>
      </c>
      <c r="W497" s="3" t="s">
        <v>343</v>
      </c>
      <c r="X497" s="3" t="s">
        <v>337</v>
      </c>
      <c r="Y497" s="3" t="s">
        <v>337</v>
      </c>
    </row>
    <row r="498" spans="1:25" hidden="1" x14ac:dyDescent="0.2">
      <c r="A498" s="83" t="str">
        <f t="shared" si="7"/>
        <v>郑州瀚海海尚汉堡盒</v>
      </c>
      <c r="B498" s="3" t="s">
        <v>706</v>
      </c>
      <c r="C498" s="84">
        <v>44377</v>
      </c>
      <c r="D498" s="3" t="s">
        <v>420</v>
      </c>
      <c r="E498" s="3" t="s">
        <v>337</v>
      </c>
      <c r="F498" s="3" t="s">
        <v>337</v>
      </c>
      <c r="G498" s="70" t="s">
        <v>421</v>
      </c>
      <c r="H498" s="3" t="s">
        <v>343</v>
      </c>
      <c r="I498" s="3" t="s">
        <v>339</v>
      </c>
      <c r="J498" s="3">
        <v>1027</v>
      </c>
      <c r="K498" s="3">
        <v>1000</v>
      </c>
      <c r="L498" s="3">
        <v>1486</v>
      </c>
      <c r="M498" s="3">
        <v>1000</v>
      </c>
      <c r="N498" s="3">
        <v>541</v>
      </c>
      <c r="O498" s="70">
        <v>459</v>
      </c>
      <c r="P498" s="3">
        <v>0</v>
      </c>
      <c r="Q498" s="3">
        <v>0</v>
      </c>
      <c r="R498" s="3">
        <v>0.20751</v>
      </c>
      <c r="S498" s="3">
        <v>95.25</v>
      </c>
      <c r="T498" s="3">
        <v>207.51</v>
      </c>
      <c r="U498" s="3">
        <v>112.26</v>
      </c>
      <c r="V498" s="70" t="s">
        <v>333</v>
      </c>
      <c r="W498" s="3" t="s">
        <v>731</v>
      </c>
      <c r="X498" s="3" t="s">
        <v>337</v>
      </c>
      <c r="Y498" s="3" t="s">
        <v>337</v>
      </c>
    </row>
    <row r="499" spans="1:25" hidden="1" x14ac:dyDescent="0.2">
      <c r="A499" s="83" t="str">
        <f t="shared" si="7"/>
        <v>郑州政六街汉堡盒</v>
      </c>
      <c r="B499" s="3" t="s">
        <v>714</v>
      </c>
      <c r="C499" s="84">
        <v>44377</v>
      </c>
      <c r="D499" s="3" t="s">
        <v>420</v>
      </c>
      <c r="E499" s="3" t="s">
        <v>337</v>
      </c>
      <c r="F499" s="3" t="s">
        <v>337</v>
      </c>
      <c r="G499" s="70" t="s">
        <v>421</v>
      </c>
      <c r="H499" s="3" t="s">
        <v>343</v>
      </c>
      <c r="I499" s="3" t="s">
        <v>339</v>
      </c>
      <c r="J499" s="3">
        <v>0</v>
      </c>
      <c r="K499" s="3">
        <v>500</v>
      </c>
      <c r="L499" s="3">
        <v>4936</v>
      </c>
      <c r="M499" s="3">
        <v>500</v>
      </c>
      <c r="N499" s="3">
        <v>-4436</v>
      </c>
      <c r="O499" s="70">
        <v>4936</v>
      </c>
      <c r="P499" s="3">
        <v>0</v>
      </c>
      <c r="Q499" s="3">
        <v>0</v>
      </c>
      <c r="R499" s="3">
        <v>0.20454</v>
      </c>
      <c r="S499" s="3">
        <v>1009.61</v>
      </c>
      <c r="T499" s="3">
        <v>102.27</v>
      </c>
      <c r="U499" s="3">
        <v>-907.34</v>
      </c>
      <c r="V499" s="70" t="s">
        <v>591</v>
      </c>
      <c r="W499" s="3" t="s">
        <v>343</v>
      </c>
      <c r="X499" s="3" t="s">
        <v>337</v>
      </c>
      <c r="Y499" s="3" t="s">
        <v>337</v>
      </c>
    </row>
    <row r="500" spans="1:25" hidden="1" x14ac:dyDescent="0.2">
      <c r="A500" s="83" t="str">
        <f t="shared" si="7"/>
        <v>郑州政六街鸡米花盒</v>
      </c>
      <c r="B500" s="3" t="s">
        <v>714</v>
      </c>
      <c r="C500" s="84">
        <v>44377</v>
      </c>
      <c r="D500" s="3" t="s">
        <v>422</v>
      </c>
      <c r="E500" s="3" t="s">
        <v>337</v>
      </c>
      <c r="F500" s="3" t="s">
        <v>337</v>
      </c>
      <c r="G500" s="70" t="s">
        <v>423</v>
      </c>
      <c r="H500" s="3" t="s">
        <v>343</v>
      </c>
      <c r="I500" s="3" t="s">
        <v>339</v>
      </c>
      <c r="J500" s="3">
        <v>560</v>
      </c>
      <c r="K500" s="3">
        <v>2000</v>
      </c>
      <c r="L500" s="3">
        <v>778</v>
      </c>
      <c r="M500" s="3">
        <v>1685</v>
      </c>
      <c r="N500" s="3">
        <v>1782</v>
      </c>
      <c r="O500" s="70">
        <v>-97</v>
      </c>
      <c r="P500" s="3">
        <v>0</v>
      </c>
      <c r="Q500" s="3">
        <v>0</v>
      </c>
      <c r="R500" s="3">
        <v>0.13610700000000001</v>
      </c>
      <c r="S500" s="3">
        <v>-13.2</v>
      </c>
      <c r="T500" s="3">
        <v>229.34</v>
      </c>
      <c r="U500" s="3">
        <v>242.54</v>
      </c>
      <c r="V500" s="70" t="s">
        <v>591</v>
      </c>
      <c r="W500" s="3" t="s">
        <v>343</v>
      </c>
      <c r="X500" s="3" t="s">
        <v>337</v>
      </c>
      <c r="Y500" s="3" t="s">
        <v>337</v>
      </c>
    </row>
    <row r="501" spans="1:25" hidden="1" x14ac:dyDescent="0.2">
      <c r="A501" s="83" t="str">
        <f t="shared" si="7"/>
        <v>郑州瀚海海尚鸡米花盒</v>
      </c>
      <c r="B501" s="3" t="s">
        <v>706</v>
      </c>
      <c r="C501" s="84">
        <v>44377</v>
      </c>
      <c r="D501" s="3" t="s">
        <v>422</v>
      </c>
      <c r="E501" s="3" t="s">
        <v>337</v>
      </c>
      <c r="F501" s="3" t="s">
        <v>337</v>
      </c>
      <c r="G501" s="70" t="s">
        <v>423</v>
      </c>
      <c r="H501" s="3" t="s">
        <v>343</v>
      </c>
      <c r="I501" s="3" t="s">
        <v>339</v>
      </c>
      <c r="J501" s="3">
        <v>2500</v>
      </c>
      <c r="K501" s="3">
        <v>0</v>
      </c>
      <c r="L501" s="3">
        <v>261</v>
      </c>
      <c r="M501" s="3">
        <v>2220</v>
      </c>
      <c r="N501" s="3">
        <v>2239</v>
      </c>
      <c r="O501" s="70">
        <v>-19</v>
      </c>
      <c r="P501" s="3">
        <v>0</v>
      </c>
      <c r="Q501" s="3">
        <v>0</v>
      </c>
      <c r="R501" s="3">
        <v>0.13586000000000001</v>
      </c>
      <c r="S501" s="3">
        <v>-2.58</v>
      </c>
      <c r="T501" s="3">
        <v>301.61</v>
      </c>
      <c r="U501" s="3">
        <v>304.19</v>
      </c>
      <c r="V501" s="70" t="s">
        <v>333</v>
      </c>
      <c r="W501" s="3" t="s">
        <v>343</v>
      </c>
      <c r="X501" s="3" t="s">
        <v>337</v>
      </c>
      <c r="Y501" s="3" t="s">
        <v>337</v>
      </c>
    </row>
    <row r="502" spans="1:25" hidden="1" x14ac:dyDescent="0.2">
      <c r="A502" s="83" t="str">
        <f t="shared" si="7"/>
        <v>华山龙源鸡米花盒</v>
      </c>
      <c r="B502" s="3" t="s">
        <v>705</v>
      </c>
      <c r="C502" s="84">
        <v>44377</v>
      </c>
      <c r="D502" s="3" t="s">
        <v>422</v>
      </c>
      <c r="E502" s="3" t="s">
        <v>337</v>
      </c>
      <c r="F502" s="3" t="s">
        <v>337</v>
      </c>
      <c r="G502" s="70" t="s">
        <v>423</v>
      </c>
      <c r="H502" s="3" t="s">
        <v>343</v>
      </c>
      <c r="I502" s="3" t="s">
        <v>339</v>
      </c>
      <c r="J502" s="3">
        <v>994</v>
      </c>
      <c r="K502" s="3">
        <v>0</v>
      </c>
      <c r="L502" s="3">
        <v>88</v>
      </c>
      <c r="M502" s="3">
        <v>910</v>
      </c>
      <c r="N502" s="3">
        <v>906</v>
      </c>
      <c r="O502" s="70">
        <v>4</v>
      </c>
      <c r="P502" s="3">
        <v>0</v>
      </c>
      <c r="Q502" s="3">
        <v>0</v>
      </c>
      <c r="R502" s="3">
        <v>0.13628599999999999</v>
      </c>
      <c r="S502" s="3">
        <v>0.55000000000000004</v>
      </c>
      <c r="T502" s="3">
        <v>124.02</v>
      </c>
      <c r="U502" s="3">
        <v>123.48</v>
      </c>
      <c r="V502" s="70" t="s">
        <v>643</v>
      </c>
      <c r="W502" s="3" t="s">
        <v>343</v>
      </c>
      <c r="X502" s="3" t="s">
        <v>337</v>
      </c>
      <c r="Y502" s="3" t="s">
        <v>337</v>
      </c>
    </row>
    <row r="503" spans="1:25" hidden="1" x14ac:dyDescent="0.2">
      <c r="A503" s="83" t="str">
        <f t="shared" si="7"/>
        <v>郑州西悦城鸡米花盒</v>
      </c>
      <c r="B503" s="3" t="s">
        <v>708</v>
      </c>
      <c r="C503" s="84">
        <v>44377</v>
      </c>
      <c r="D503" s="3" t="s">
        <v>422</v>
      </c>
      <c r="E503" s="3" t="s">
        <v>337</v>
      </c>
      <c r="F503" s="3" t="s">
        <v>337</v>
      </c>
      <c r="G503" s="70" t="s">
        <v>423</v>
      </c>
      <c r="H503" s="3" t="s">
        <v>343</v>
      </c>
      <c r="I503" s="3" t="s">
        <v>339</v>
      </c>
      <c r="J503" s="3">
        <v>1100</v>
      </c>
      <c r="K503" s="3">
        <v>0</v>
      </c>
      <c r="L503" s="3">
        <v>615</v>
      </c>
      <c r="M503" s="3">
        <v>480</v>
      </c>
      <c r="N503" s="3">
        <v>485</v>
      </c>
      <c r="O503" s="70">
        <v>-5</v>
      </c>
      <c r="P503" s="3">
        <v>0</v>
      </c>
      <c r="Q503" s="3">
        <v>0</v>
      </c>
      <c r="R503" s="3">
        <v>0.135938</v>
      </c>
      <c r="S503" s="3">
        <v>-0.68</v>
      </c>
      <c r="T503" s="3">
        <v>65.25</v>
      </c>
      <c r="U503" s="3">
        <v>65.930000000000007</v>
      </c>
      <c r="V503" s="70" t="s">
        <v>332</v>
      </c>
      <c r="W503" s="3" t="s">
        <v>343</v>
      </c>
      <c r="X503" s="3" t="s">
        <v>337</v>
      </c>
      <c r="Y503" s="3" t="s">
        <v>337</v>
      </c>
    </row>
    <row r="504" spans="1:25" hidden="1" x14ac:dyDescent="0.2">
      <c r="A504" s="83" t="str">
        <f t="shared" si="7"/>
        <v>郑州铁英街鸡米花盒</v>
      </c>
      <c r="B504" s="3" t="s">
        <v>707</v>
      </c>
      <c r="C504" s="84">
        <v>44377</v>
      </c>
      <c r="D504" s="3" t="s">
        <v>422</v>
      </c>
      <c r="E504" s="3" t="s">
        <v>337</v>
      </c>
      <c r="F504" s="3" t="s">
        <v>337</v>
      </c>
      <c r="G504" s="70" t="s">
        <v>423</v>
      </c>
      <c r="H504" s="3" t="s">
        <v>343</v>
      </c>
      <c r="I504" s="3" t="s">
        <v>339</v>
      </c>
      <c r="J504" s="3">
        <v>766</v>
      </c>
      <c r="K504" s="3">
        <v>0</v>
      </c>
      <c r="L504" s="3">
        <v>268</v>
      </c>
      <c r="M504" s="3">
        <v>506</v>
      </c>
      <c r="N504" s="3">
        <v>498</v>
      </c>
      <c r="O504" s="70">
        <v>8</v>
      </c>
      <c r="P504" s="3">
        <v>0</v>
      </c>
      <c r="Q504" s="3">
        <v>0</v>
      </c>
      <c r="R504" s="3">
        <v>0.13511899999999999</v>
      </c>
      <c r="S504" s="3">
        <v>1.08</v>
      </c>
      <c r="T504" s="3">
        <v>68.37</v>
      </c>
      <c r="U504" s="3">
        <v>67.290000000000006</v>
      </c>
      <c r="V504" s="70" t="s">
        <v>592</v>
      </c>
      <c r="W504" s="3" t="s">
        <v>343</v>
      </c>
      <c r="X504" s="3" t="s">
        <v>337</v>
      </c>
      <c r="Y504" s="3" t="s">
        <v>337</v>
      </c>
    </row>
    <row r="505" spans="1:25" hidden="1" x14ac:dyDescent="0.2">
      <c r="A505" s="83" t="str">
        <f t="shared" si="7"/>
        <v>新蔡水韵天街鸡米花盒</v>
      </c>
      <c r="B505" s="3" t="s">
        <v>703</v>
      </c>
      <c r="C505" s="84">
        <v>44377</v>
      </c>
      <c r="D505" s="3" t="s">
        <v>422</v>
      </c>
      <c r="E505" s="3" t="s">
        <v>337</v>
      </c>
      <c r="F505" s="3" t="s">
        <v>337</v>
      </c>
      <c r="G505" s="70" t="s">
        <v>423</v>
      </c>
      <c r="H505" s="3" t="s">
        <v>343</v>
      </c>
      <c r="I505" s="3" t="s">
        <v>339</v>
      </c>
      <c r="J505" s="3">
        <v>440</v>
      </c>
      <c r="K505" s="3">
        <v>0</v>
      </c>
      <c r="L505" s="3">
        <v>183</v>
      </c>
      <c r="M505" s="3">
        <v>250</v>
      </c>
      <c r="N505" s="3">
        <v>257</v>
      </c>
      <c r="O505" s="70">
        <v>-7</v>
      </c>
      <c r="P505" s="3">
        <v>0</v>
      </c>
      <c r="Q505" s="3">
        <v>0</v>
      </c>
      <c r="R505" s="3">
        <v>0.13632</v>
      </c>
      <c r="S505" s="3">
        <v>-0.95</v>
      </c>
      <c r="T505" s="3">
        <v>34.08</v>
      </c>
      <c r="U505" s="3">
        <v>35.03</v>
      </c>
      <c r="V505" s="70" t="s">
        <v>335</v>
      </c>
      <c r="W505" s="3" t="s">
        <v>343</v>
      </c>
      <c r="X505" s="3" t="s">
        <v>337</v>
      </c>
      <c r="Y505" s="3" t="s">
        <v>337</v>
      </c>
    </row>
    <row r="506" spans="1:25" hidden="1" x14ac:dyDescent="0.2">
      <c r="A506" s="83" t="str">
        <f t="shared" si="7"/>
        <v>郑州康复中街鸡米花盒</v>
      </c>
      <c r="B506" s="3" t="s">
        <v>704</v>
      </c>
      <c r="C506" s="84">
        <v>44377</v>
      </c>
      <c r="D506" s="3" t="s">
        <v>422</v>
      </c>
      <c r="E506" s="3" t="s">
        <v>337</v>
      </c>
      <c r="F506" s="3" t="s">
        <v>337</v>
      </c>
      <c r="G506" s="70" t="s">
        <v>423</v>
      </c>
      <c r="H506" s="3" t="s">
        <v>343</v>
      </c>
      <c r="I506" s="3" t="s">
        <v>339</v>
      </c>
      <c r="J506" s="3">
        <v>543</v>
      </c>
      <c r="K506" s="3">
        <v>1000</v>
      </c>
      <c r="L506" s="3">
        <v>684</v>
      </c>
      <c r="M506" s="3">
        <v>860</v>
      </c>
      <c r="N506" s="3">
        <v>859</v>
      </c>
      <c r="O506" s="70">
        <v>1</v>
      </c>
      <c r="P506" s="3">
        <v>0</v>
      </c>
      <c r="Q506" s="3">
        <v>0</v>
      </c>
      <c r="R506" s="3">
        <v>0.136349</v>
      </c>
      <c r="S506" s="3">
        <v>0.14000000000000001</v>
      </c>
      <c r="T506" s="3">
        <v>117.26</v>
      </c>
      <c r="U506" s="3">
        <v>117.12</v>
      </c>
      <c r="V506" s="70" t="s">
        <v>593</v>
      </c>
      <c r="W506" s="3" t="s">
        <v>343</v>
      </c>
      <c r="X506" s="3" t="s">
        <v>337</v>
      </c>
      <c r="Y506" s="3" t="s">
        <v>337</v>
      </c>
    </row>
    <row r="507" spans="1:25" hidden="1" x14ac:dyDescent="0.2">
      <c r="A507" s="83" t="str">
        <f t="shared" si="7"/>
        <v>郑州盛华里鸡米花盒</v>
      </c>
      <c r="B507" s="3" t="s">
        <v>709</v>
      </c>
      <c r="C507" s="84">
        <v>44377</v>
      </c>
      <c r="D507" s="3" t="s">
        <v>422</v>
      </c>
      <c r="E507" s="3" t="s">
        <v>337</v>
      </c>
      <c r="F507" s="3" t="s">
        <v>337</v>
      </c>
      <c r="G507" s="70" t="s">
        <v>423</v>
      </c>
      <c r="H507" s="3" t="s">
        <v>343</v>
      </c>
      <c r="I507" s="3" t="s">
        <v>339</v>
      </c>
      <c r="J507" s="3">
        <v>950</v>
      </c>
      <c r="K507" s="3">
        <v>0</v>
      </c>
      <c r="L507" s="3">
        <v>178</v>
      </c>
      <c r="M507" s="3">
        <v>800</v>
      </c>
      <c r="N507" s="3">
        <v>772</v>
      </c>
      <c r="O507" s="70">
        <v>28</v>
      </c>
      <c r="P507" s="3">
        <v>0</v>
      </c>
      <c r="Q507" s="3">
        <v>0</v>
      </c>
      <c r="R507" s="3">
        <v>0.13622500000000001</v>
      </c>
      <c r="S507" s="3">
        <v>3.81</v>
      </c>
      <c r="T507" s="3">
        <v>108.98</v>
      </c>
      <c r="U507" s="3">
        <v>105.17</v>
      </c>
      <c r="V507" s="70" t="s">
        <v>637</v>
      </c>
      <c r="W507" s="3" t="s">
        <v>343</v>
      </c>
      <c r="X507" s="3" t="s">
        <v>337</v>
      </c>
      <c r="Y507" s="3" t="s">
        <v>337</v>
      </c>
    </row>
    <row r="508" spans="1:25" hidden="1" x14ac:dyDescent="0.2">
      <c r="A508" s="83" t="str">
        <f t="shared" si="7"/>
        <v>滑县滑台鸡米花盒</v>
      </c>
      <c r="B508" s="3" t="s">
        <v>710</v>
      </c>
      <c r="C508" s="84">
        <v>44377</v>
      </c>
      <c r="D508" s="3" t="s">
        <v>422</v>
      </c>
      <c r="E508" s="3" t="s">
        <v>337</v>
      </c>
      <c r="F508" s="3" t="s">
        <v>337</v>
      </c>
      <c r="G508" s="70" t="s">
        <v>423</v>
      </c>
      <c r="H508" s="3" t="s">
        <v>343</v>
      </c>
      <c r="I508" s="3" t="s">
        <v>339</v>
      </c>
      <c r="J508" s="3">
        <v>942</v>
      </c>
      <c r="K508" s="3">
        <v>0</v>
      </c>
      <c r="L508" s="3">
        <v>389</v>
      </c>
      <c r="M508" s="3">
        <v>544</v>
      </c>
      <c r="N508" s="3">
        <v>553</v>
      </c>
      <c r="O508" s="70">
        <v>-9</v>
      </c>
      <c r="P508" s="3">
        <v>0</v>
      </c>
      <c r="Q508" s="3">
        <v>0</v>
      </c>
      <c r="R508" s="3">
        <v>0.136324</v>
      </c>
      <c r="S508" s="3">
        <v>-1.23</v>
      </c>
      <c r="T508" s="3">
        <v>74.16</v>
      </c>
      <c r="U508" s="3">
        <v>75.39</v>
      </c>
      <c r="V508" s="70" t="s">
        <v>639</v>
      </c>
      <c r="W508" s="3" t="s">
        <v>343</v>
      </c>
      <c r="X508" s="3" t="s">
        <v>337</v>
      </c>
      <c r="Y508" s="3" t="s">
        <v>337</v>
      </c>
    </row>
    <row r="509" spans="1:25" hidden="1" x14ac:dyDescent="0.2">
      <c r="A509" s="83" t="str">
        <f t="shared" si="7"/>
        <v>方城锦城国际鸡米花盒</v>
      </c>
      <c r="B509" s="3" t="s">
        <v>712</v>
      </c>
      <c r="C509" s="84">
        <v>44377</v>
      </c>
      <c r="D509" s="3" t="s">
        <v>422</v>
      </c>
      <c r="E509" s="3" t="s">
        <v>337</v>
      </c>
      <c r="F509" s="3" t="s">
        <v>337</v>
      </c>
      <c r="G509" s="70" t="s">
        <v>423</v>
      </c>
      <c r="H509" s="3" t="s">
        <v>343</v>
      </c>
      <c r="I509" s="3" t="s">
        <v>339</v>
      </c>
      <c r="J509" s="3">
        <v>934</v>
      </c>
      <c r="K509" s="3">
        <v>0</v>
      </c>
      <c r="L509" s="3">
        <v>192</v>
      </c>
      <c r="M509" s="3">
        <v>740</v>
      </c>
      <c r="N509" s="3">
        <v>742</v>
      </c>
      <c r="O509" s="70">
        <v>-2</v>
      </c>
      <c r="P509" s="3">
        <v>0</v>
      </c>
      <c r="Q509" s="3">
        <v>0</v>
      </c>
      <c r="R509" s="3">
        <v>0.13636499999999999</v>
      </c>
      <c r="S509" s="3">
        <v>-0.27</v>
      </c>
      <c r="T509" s="3">
        <v>100.91</v>
      </c>
      <c r="U509" s="3">
        <v>101.18</v>
      </c>
      <c r="V509" s="70" t="s">
        <v>594</v>
      </c>
      <c r="W509" s="3" t="s">
        <v>343</v>
      </c>
      <c r="X509" s="3" t="s">
        <v>337</v>
      </c>
      <c r="Y509" s="3" t="s">
        <v>337</v>
      </c>
    </row>
    <row r="510" spans="1:25" hidden="1" x14ac:dyDescent="0.2">
      <c r="A510" s="83" t="str">
        <f t="shared" si="7"/>
        <v>清丰凤鸣鸡米花盒</v>
      </c>
      <c r="B510" s="3" t="s">
        <v>713</v>
      </c>
      <c r="C510" s="84">
        <v>44377</v>
      </c>
      <c r="D510" s="3" t="s">
        <v>422</v>
      </c>
      <c r="E510" s="3" t="s">
        <v>337</v>
      </c>
      <c r="F510" s="3" t="s">
        <v>337</v>
      </c>
      <c r="G510" s="70" t="s">
        <v>423</v>
      </c>
      <c r="H510" s="3" t="s">
        <v>343</v>
      </c>
      <c r="I510" s="3" t="s">
        <v>339</v>
      </c>
      <c r="J510" s="3">
        <v>610</v>
      </c>
      <c r="K510" s="3">
        <v>0</v>
      </c>
      <c r="L510" s="3">
        <v>114</v>
      </c>
      <c r="M510" s="3">
        <v>500</v>
      </c>
      <c r="N510" s="3">
        <v>496</v>
      </c>
      <c r="O510" s="70">
        <v>4</v>
      </c>
      <c r="P510" s="3">
        <v>0</v>
      </c>
      <c r="Q510" s="3">
        <v>0</v>
      </c>
      <c r="R510" s="3">
        <v>0.13508000000000001</v>
      </c>
      <c r="S510" s="3">
        <v>0.54</v>
      </c>
      <c r="T510" s="3">
        <v>67.540000000000006</v>
      </c>
      <c r="U510" s="3">
        <v>67</v>
      </c>
      <c r="V510" s="70" t="s">
        <v>334</v>
      </c>
      <c r="W510" s="3" t="s">
        <v>343</v>
      </c>
      <c r="X510" s="3" t="s">
        <v>337</v>
      </c>
      <c r="Y510" s="3" t="s">
        <v>337</v>
      </c>
    </row>
    <row r="511" spans="1:25" hidden="1" x14ac:dyDescent="0.2">
      <c r="A511" s="83" t="str">
        <f t="shared" si="7"/>
        <v>郑州裕华鸡米花盒</v>
      </c>
      <c r="B511" s="3" t="s">
        <v>711</v>
      </c>
      <c r="C511" s="84">
        <v>44377</v>
      </c>
      <c r="D511" s="3" t="s">
        <v>422</v>
      </c>
      <c r="E511" s="3" t="s">
        <v>337</v>
      </c>
      <c r="F511" s="3" t="s">
        <v>337</v>
      </c>
      <c r="G511" s="70" t="s">
        <v>423</v>
      </c>
      <c r="H511" s="3" t="s">
        <v>343</v>
      </c>
      <c r="I511" s="3" t="s">
        <v>339</v>
      </c>
      <c r="J511" s="3">
        <v>1000</v>
      </c>
      <c r="K511" s="3">
        <v>0</v>
      </c>
      <c r="L511" s="3">
        <v>124</v>
      </c>
      <c r="M511" s="3">
        <v>800</v>
      </c>
      <c r="N511" s="3">
        <v>876</v>
      </c>
      <c r="O511" s="70">
        <v>-76</v>
      </c>
      <c r="P511" s="3">
        <v>0</v>
      </c>
      <c r="Q511" s="3">
        <v>0</v>
      </c>
      <c r="R511" s="3">
        <v>0.13631299999999999</v>
      </c>
      <c r="S511" s="3">
        <v>-10.36</v>
      </c>
      <c r="T511" s="3">
        <v>109.05</v>
      </c>
      <c r="U511" s="3">
        <v>119.41</v>
      </c>
      <c r="V511" s="70" t="s">
        <v>641</v>
      </c>
      <c r="W511" s="3" t="s">
        <v>343</v>
      </c>
      <c r="X511" s="3" t="s">
        <v>337</v>
      </c>
      <c r="Y511" s="3" t="s">
        <v>337</v>
      </c>
    </row>
    <row r="512" spans="1:25" hidden="1" x14ac:dyDescent="0.2">
      <c r="A512" s="83" t="str">
        <f t="shared" si="7"/>
        <v>郑州裕华德柏小餐盒</v>
      </c>
      <c r="B512" s="3" t="s">
        <v>711</v>
      </c>
      <c r="C512" s="84">
        <v>44377</v>
      </c>
      <c r="D512" s="3" t="s">
        <v>424</v>
      </c>
      <c r="E512" s="3" t="s">
        <v>337</v>
      </c>
      <c r="F512" s="3" t="s">
        <v>337</v>
      </c>
      <c r="G512" s="70" t="s">
        <v>425</v>
      </c>
      <c r="H512" s="3" t="s">
        <v>343</v>
      </c>
      <c r="I512" s="3" t="s">
        <v>339</v>
      </c>
      <c r="J512" s="3">
        <v>460</v>
      </c>
      <c r="K512" s="3">
        <v>500</v>
      </c>
      <c r="L512" s="3">
        <v>45</v>
      </c>
      <c r="M512" s="3">
        <v>400</v>
      </c>
      <c r="N512" s="3">
        <v>915</v>
      </c>
      <c r="O512" s="70">
        <v>-515</v>
      </c>
      <c r="P512" s="3">
        <v>0</v>
      </c>
      <c r="Q512" s="3">
        <v>0</v>
      </c>
      <c r="R512" s="3">
        <v>0.38119999999999998</v>
      </c>
      <c r="S512" s="3">
        <v>-196.32</v>
      </c>
      <c r="T512" s="3">
        <v>152.47999999999999</v>
      </c>
      <c r="U512" s="3">
        <v>348.8</v>
      </c>
      <c r="V512" s="70" t="s">
        <v>641</v>
      </c>
      <c r="W512" s="3" t="s">
        <v>343</v>
      </c>
      <c r="X512" s="3" t="s">
        <v>337</v>
      </c>
      <c r="Y512" s="3" t="s">
        <v>337</v>
      </c>
    </row>
    <row r="513" spans="1:25" hidden="1" x14ac:dyDescent="0.2">
      <c r="A513" s="83" t="str">
        <f t="shared" si="7"/>
        <v>清丰凤鸣德柏小餐盒</v>
      </c>
      <c r="B513" s="3" t="s">
        <v>713</v>
      </c>
      <c r="C513" s="84">
        <v>44377</v>
      </c>
      <c r="D513" s="3" t="s">
        <v>424</v>
      </c>
      <c r="E513" s="3" t="s">
        <v>337</v>
      </c>
      <c r="F513" s="3" t="s">
        <v>337</v>
      </c>
      <c r="G513" s="70" t="s">
        <v>425</v>
      </c>
      <c r="H513" s="3" t="s">
        <v>343</v>
      </c>
      <c r="I513" s="3" t="s">
        <v>339</v>
      </c>
      <c r="J513" s="3">
        <v>565</v>
      </c>
      <c r="K513" s="3">
        <v>0</v>
      </c>
      <c r="L513" s="3">
        <v>1</v>
      </c>
      <c r="M513" s="3">
        <v>380</v>
      </c>
      <c r="N513" s="3">
        <v>564</v>
      </c>
      <c r="O513" s="70">
        <v>-184</v>
      </c>
      <c r="P513" s="3">
        <v>0</v>
      </c>
      <c r="Q513" s="3">
        <v>0</v>
      </c>
      <c r="R513" s="3">
        <v>0.377579</v>
      </c>
      <c r="S513" s="3">
        <v>-69.47</v>
      </c>
      <c r="T513" s="3">
        <v>143.47999999999999</v>
      </c>
      <c r="U513" s="3">
        <v>212.95</v>
      </c>
      <c r="V513" s="70" t="s">
        <v>334</v>
      </c>
      <c r="W513" s="3" t="s">
        <v>732</v>
      </c>
      <c r="X513" s="3" t="s">
        <v>337</v>
      </c>
      <c r="Y513" s="3" t="s">
        <v>337</v>
      </c>
    </row>
    <row r="514" spans="1:25" hidden="1" x14ac:dyDescent="0.2">
      <c r="A514" s="83" t="str">
        <f t="shared" si="7"/>
        <v>方城锦城国际德柏小餐盒</v>
      </c>
      <c r="B514" s="3" t="s">
        <v>712</v>
      </c>
      <c r="C514" s="84">
        <v>44377</v>
      </c>
      <c r="D514" s="3" t="s">
        <v>424</v>
      </c>
      <c r="E514" s="3" t="s">
        <v>337</v>
      </c>
      <c r="F514" s="3" t="s">
        <v>337</v>
      </c>
      <c r="G514" s="70" t="s">
        <v>425</v>
      </c>
      <c r="H514" s="3" t="s">
        <v>343</v>
      </c>
      <c r="I514" s="3" t="s">
        <v>339</v>
      </c>
      <c r="J514" s="3">
        <v>380</v>
      </c>
      <c r="K514" s="3">
        <v>500</v>
      </c>
      <c r="L514" s="3">
        <v>27</v>
      </c>
      <c r="M514" s="3">
        <v>500</v>
      </c>
      <c r="N514" s="3">
        <v>853</v>
      </c>
      <c r="O514" s="70">
        <v>-353</v>
      </c>
      <c r="P514" s="3">
        <v>0</v>
      </c>
      <c r="Q514" s="3">
        <v>0</v>
      </c>
      <c r="R514" s="3">
        <v>0.37919999999999998</v>
      </c>
      <c r="S514" s="3">
        <v>-133.86000000000001</v>
      </c>
      <c r="T514" s="3">
        <v>189.6</v>
      </c>
      <c r="U514" s="3">
        <v>323.45999999999998</v>
      </c>
      <c r="V514" s="70" t="s">
        <v>594</v>
      </c>
      <c r="W514" s="3" t="s">
        <v>733</v>
      </c>
      <c r="X514" s="3" t="s">
        <v>337</v>
      </c>
      <c r="Y514" s="3" t="s">
        <v>337</v>
      </c>
    </row>
    <row r="515" spans="1:25" hidden="1" x14ac:dyDescent="0.2">
      <c r="A515" s="83" t="str">
        <f t="shared" ref="A515:A578" si="8">V515&amp;G515</f>
        <v>滑县滑台德柏小餐盒</v>
      </c>
      <c r="B515" s="3" t="s">
        <v>710</v>
      </c>
      <c r="C515" s="84">
        <v>44377</v>
      </c>
      <c r="D515" s="3" t="s">
        <v>424</v>
      </c>
      <c r="E515" s="3" t="s">
        <v>337</v>
      </c>
      <c r="F515" s="3" t="s">
        <v>337</v>
      </c>
      <c r="G515" s="70" t="s">
        <v>425</v>
      </c>
      <c r="H515" s="3" t="s">
        <v>343</v>
      </c>
      <c r="I515" s="3" t="s">
        <v>339</v>
      </c>
      <c r="J515" s="3">
        <v>0</v>
      </c>
      <c r="K515" s="3">
        <v>0</v>
      </c>
      <c r="L515" s="3">
        <v>51</v>
      </c>
      <c r="M515" s="3">
        <v>0</v>
      </c>
      <c r="N515" s="3">
        <v>-51</v>
      </c>
      <c r="O515" s="70">
        <v>51</v>
      </c>
      <c r="P515" s="3">
        <v>0</v>
      </c>
      <c r="Q515" s="3">
        <v>0</v>
      </c>
      <c r="R515" s="3">
        <v>0.38828000000000001</v>
      </c>
      <c r="S515" s="3">
        <v>19.8</v>
      </c>
      <c r="T515" s="3">
        <v>0</v>
      </c>
      <c r="U515" s="3">
        <v>-19.8</v>
      </c>
      <c r="V515" s="70" t="s">
        <v>639</v>
      </c>
      <c r="W515" s="3" t="s">
        <v>343</v>
      </c>
      <c r="X515" s="3" t="s">
        <v>337</v>
      </c>
      <c r="Y515" s="3" t="s">
        <v>337</v>
      </c>
    </row>
    <row r="516" spans="1:25" hidden="1" x14ac:dyDescent="0.2">
      <c r="A516" s="83" t="str">
        <f t="shared" si="8"/>
        <v>郑州盛华里德柏小餐盒</v>
      </c>
      <c r="B516" s="3" t="s">
        <v>709</v>
      </c>
      <c r="C516" s="84">
        <v>44377</v>
      </c>
      <c r="D516" s="3" t="s">
        <v>424</v>
      </c>
      <c r="E516" s="3" t="s">
        <v>337</v>
      </c>
      <c r="F516" s="3" t="s">
        <v>337</v>
      </c>
      <c r="G516" s="70" t="s">
        <v>425</v>
      </c>
      <c r="H516" s="3" t="s">
        <v>343</v>
      </c>
      <c r="I516" s="3" t="s">
        <v>339</v>
      </c>
      <c r="J516" s="3">
        <v>438</v>
      </c>
      <c r="K516" s="3">
        <v>0</v>
      </c>
      <c r="L516" s="3">
        <v>105</v>
      </c>
      <c r="M516" s="3">
        <v>380</v>
      </c>
      <c r="N516" s="3">
        <v>333</v>
      </c>
      <c r="O516" s="70">
        <v>47</v>
      </c>
      <c r="P516" s="3">
        <v>0</v>
      </c>
      <c r="Q516" s="3">
        <v>0</v>
      </c>
      <c r="R516" s="3">
        <v>0.37755300000000003</v>
      </c>
      <c r="S516" s="3">
        <v>17.739999999999998</v>
      </c>
      <c r="T516" s="3">
        <v>143.47</v>
      </c>
      <c r="U516" s="3">
        <v>125.73</v>
      </c>
      <c r="V516" s="70" t="s">
        <v>637</v>
      </c>
      <c r="W516" s="3" t="s">
        <v>343</v>
      </c>
      <c r="X516" s="3" t="s">
        <v>337</v>
      </c>
      <c r="Y516" s="3" t="s">
        <v>337</v>
      </c>
    </row>
    <row r="517" spans="1:25" hidden="1" x14ac:dyDescent="0.2">
      <c r="A517" s="83" t="str">
        <f t="shared" si="8"/>
        <v>郑州康复中街德柏小餐盒</v>
      </c>
      <c r="B517" s="3" t="s">
        <v>704</v>
      </c>
      <c r="C517" s="84">
        <v>44377</v>
      </c>
      <c r="D517" s="3" t="s">
        <v>424</v>
      </c>
      <c r="E517" s="3" t="s">
        <v>337</v>
      </c>
      <c r="F517" s="3" t="s">
        <v>337</v>
      </c>
      <c r="G517" s="70" t="s">
        <v>425</v>
      </c>
      <c r="H517" s="3" t="s">
        <v>343</v>
      </c>
      <c r="I517" s="3" t="s">
        <v>339</v>
      </c>
      <c r="J517" s="3">
        <v>402</v>
      </c>
      <c r="K517" s="3">
        <v>0</v>
      </c>
      <c r="L517" s="3">
        <v>135</v>
      </c>
      <c r="M517" s="3">
        <v>267</v>
      </c>
      <c r="N517" s="3">
        <v>267</v>
      </c>
      <c r="O517" s="70">
        <v>0</v>
      </c>
      <c r="P517" s="3">
        <v>0</v>
      </c>
      <c r="Q517" s="3">
        <v>0</v>
      </c>
      <c r="R517" s="3">
        <v>0.37756600000000001</v>
      </c>
      <c r="S517" s="3">
        <v>0</v>
      </c>
      <c r="T517" s="3">
        <v>100.81</v>
      </c>
      <c r="U517" s="3">
        <v>100.81</v>
      </c>
      <c r="V517" s="70" t="s">
        <v>593</v>
      </c>
      <c r="W517" s="3" t="s">
        <v>343</v>
      </c>
      <c r="X517" s="3" t="s">
        <v>337</v>
      </c>
      <c r="Y517" s="3" t="s">
        <v>337</v>
      </c>
    </row>
    <row r="518" spans="1:25" hidden="1" x14ac:dyDescent="0.2">
      <c r="A518" s="83" t="str">
        <f t="shared" si="8"/>
        <v>新蔡水韵天街德柏小餐盒</v>
      </c>
      <c r="B518" s="3" t="s">
        <v>703</v>
      </c>
      <c r="C518" s="84">
        <v>44377</v>
      </c>
      <c r="D518" s="3" t="s">
        <v>424</v>
      </c>
      <c r="E518" s="3" t="s">
        <v>337</v>
      </c>
      <c r="F518" s="3" t="s">
        <v>337</v>
      </c>
      <c r="G518" s="70" t="s">
        <v>425</v>
      </c>
      <c r="H518" s="3" t="s">
        <v>343</v>
      </c>
      <c r="I518" s="3" t="s">
        <v>339</v>
      </c>
      <c r="J518" s="3">
        <v>290</v>
      </c>
      <c r="K518" s="3">
        <v>0</v>
      </c>
      <c r="L518" s="3">
        <v>88</v>
      </c>
      <c r="M518" s="3">
        <v>200</v>
      </c>
      <c r="N518" s="3">
        <v>202</v>
      </c>
      <c r="O518" s="70">
        <v>-2</v>
      </c>
      <c r="P518" s="3">
        <v>0</v>
      </c>
      <c r="Q518" s="3">
        <v>0</v>
      </c>
      <c r="R518" s="3">
        <v>0.37759999999999999</v>
      </c>
      <c r="S518" s="3">
        <v>-0.76</v>
      </c>
      <c r="T518" s="3">
        <v>75.52</v>
      </c>
      <c r="U518" s="3">
        <v>76.28</v>
      </c>
      <c r="V518" s="70" t="s">
        <v>335</v>
      </c>
      <c r="W518" s="3" t="s">
        <v>343</v>
      </c>
      <c r="X518" s="3" t="s">
        <v>337</v>
      </c>
      <c r="Y518" s="3" t="s">
        <v>337</v>
      </c>
    </row>
    <row r="519" spans="1:25" hidden="1" x14ac:dyDescent="0.2">
      <c r="A519" s="83" t="str">
        <f t="shared" si="8"/>
        <v>郑州铁英街德柏小餐盒</v>
      </c>
      <c r="B519" s="3" t="s">
        <v>707</v>
      </c>
      <c r="C519" s="84">
        <v>44377</v>
      </c>
      <c r="D519" s="3" t="s">
        <v>424</v>
      </c>
      <c r="E519" s="3" t="s">
        <v>337</v>
      </c>
      <c r="F519" s="3" t="s">
        <v>337</v>
      </c>
      <c r="G519" s="70" t="s">
        <v>425</v>
      </c>
      <c r="H519" s="3" t="s">
        <v>343</v>
      </c>
      <c r="I519" s="3" t="s">
        <v>339</v>
      </c>
      <c r="J519" s="3">
        <v>473</v>
      </c>
      <c r="K519" s="3">
        <v>0</v>
      </c>
      <c r="L519" s="3">
        <v>55</v>
      </c>
      <c r="M519" s="3">
        <v>448</v>
      </c>
      <c r="N519" s="3">
        <v>418</v>
      </c>
      <c r="O519" s="70">
        <v>30</v>
      </c>
      <c r="P519" s="3">
        <v>0</v>
      </c>
      <c r="Q519" s="3">
        <v>0</v>
      </c>
      <c r="R519" s="3">
        <v>0.37754500000000002</v>
      </c>
      <c r="S519" s="3">
        <v>11.33</v>
      </c>
      <c r="T519" s="3">
        <v>169.14</v>
      </c>
      <c r="U519" s="3">
        <v>157.81</v>
      </c>
      <c r="V519" s="70" t="s">
        <v>592</v>
      </c>
      <c r="W519" s="3" t="s">
        <v>343</v>
      </c>
      <c r="X519" s="3" t="s">
        <v>337</v>
      </c>
      <c r="Y519" s="3" t="s">
        <v>337</v>
      </c>
    </row>
    <row r="520" spans="1:25" hidden="1" x14ac:dyDescent="0.2">
      <c r="A520" s="83" t="str">
        <f t="shared" si="8"/>
        <v>郑州西悦城德柏小餐盒</v>
      </c>
      <c r="B520" s="3" t="s">
        <v>708</v>
      </c>
      <c r="C520" s="84">
        <v>44377</v>
      </c>
      <c r="D520" s="3" t="s">
        <v>424</v>
      </c>
      <c r="E520" s="3" t="s">
        <v>337</v>
      </c>
      <c r="F520" s="3" t="s">
        <v>337</v>
      </c>
      <c r="G520" s="70" t="s">
        <v>425</v>
      </c>
      <c r="H520" s="3" t="s">
        <v>343</v>
      </c>
      <c r="I520" s="3" t="s">
        <v>339</v>
      </c>
      <c r="J520" s="3">
        <v>400</v>
      </c>
      <c r="K520" s="3">
        <v>1000</v>
      </c>
      <c r="L520" s="3">
        <v>91</v>
      </c>
      <c r="M520" s="3">
        <v>200</v>
      </c>
      <c r="N520" s="3">
        <v>1309</v>
      </c>
      <c r="O520" s="70">
        <v>-1109</v>
      </c>
      <c r="P520" s="3">
        <v>0</v>
      </c>
      <c r="Q520" s="3">
        <v>0</v>
      </c>
      <c r="R520" s="3">
        <v>0.38080000000000003</v>
      </c>
      <c r="S520" s="3">
        <v>-422.31</v>
      </c>
      <c r="T520" s="3">
        <v>76.16</v>
      </c>
      <c r="U520" s="3">
        <v>498.47</v>
      </c>
      <c r="V520" s="70" t="s">
        <v>332</v>
      </c>
      <c r="W520" s="3" t="s">
        <v>734</v>
      </c>
      <c r="X520" s="3" t="s">
        <v>337</v>
      </c>
      <c r="Y520" s="3" t="s">
        <v>337</v>
      </c>
    </row>
    <row r="521" spans="1:25" hidden="1" x14ac:dyDescent="0.2">
      <c r="A521" s="83" t="str">
        <f t="shared" si="8"/>
        <v>华山龙源德柏小餐盒</v>
      </c>
      <c r="B521" s="3" t="s">
        <v>705</v>
      </c>
      <c r="C521" s="84">
        <v>44377</v>
      </c>
      <c r="D521" s="3" t="s">
        <v>424</v>
      </c>
      <c r="E521" s="3" t="s">
        <v>337</v>
      </c>
      <c r="F521" s="3" t="s">
        <v>337</v>
      </c>
      <c r="G521" s="70" t="s">
        <v>425</v>
      </c>
      <c r="H521" s="3" t="s">
        <v>343</v>
      </c>
      <c r="I521" s="3" t="s">
        <v>339</v>
      </c>
      <c r="J521" s="3">
        <v>497</v>
      </c>
      <c r="K521" s="3">
        <v>0</v>
      </c>
      <c r="L521" s="3">
        <v>20</v>
      </c>
      <c r="M521" s="3">
        <v>434</v>
      </c>
      <c r="N521" s="3">
        <v>477</v>
      </c>
      <c r="O521" s="70">
        <v>-43</v>
      </c>
      <c r="P521" s="3">
        <v>0</v>
      </c>
      <c r="Q521" s="3">
        <v>0</v>
      </c>
      <c r="R521" s="3">
        <v>0.37751200000000001</v>
      </c>
      <c r="S521" s="3">
        <v>-16.23</v>
      </c>
      <c r="T521" s="3">
        <v>163.84</v>
      </c>
      <c r="U521" s="3">
        <v>180.07</v>
      </c>
      <c r="V521" s="70" t="s">
        <v>643</v>
      </c>
      <c r="W521" s="3" t="s">
        <v>343</v>
      </c>
      <c r="X521" s="3" t="s">
        <v>337</v>
      </c>
      <c r="Y521" s="3" t="s">
        <v>337</v>
      </c>
    </row>
    <row r="522" spans="1:25" hidden="1" x14ac:dyDescent="0.2">
      <c r="A522" s="83" t="str">
        <f t="shared" si="8"/>
        <v>郑州瀚海海尚德柏小餐盒</v>
      </c>
      <c r="B522" s="3" t="s">
        <v>706</v>
      </c>
      <c r="C522" s="84">
        <v>44377</v>
      </c>
      <c r="D522" s="3" t="s">
        <v>424</v>
      </c>
      <c r="E522" s="3" t="s">
        <v>337</v>
      </c>
      <c r="F522" s="3" t="s">
        <v>337</v>
      </c>
      <c r="G522" s="70" t="s">
        <v>425</v>
      </c>
      <c r="H522" s="3" t="s">
        <v>343</v>
      </c>
      <c r="I522" s="3" t="s">
        <v>339</v>
      </c>
      <c r="J522" s="3">
        <v>312</v>
      </c>
      <c r="K522" s="3">
        <v>500</v>
      </c>
      <c r="L522" s="3">
        <v>99</v>
      </c>
      <c r="M522" s="3">
        <v>535</v>
      </c>
      <c r="N522" s="3">
        <v>713</v>
      </c>
      <c r="O522" s="70">
        <v>-178</v>
      </c>
      <c r="P522" s="3">
        <v>0</v>
      </c>
      <c r="Q522" s="3">
        <v>0</v>
      </c>
      <c r="R522" s="3">
        <v>0.37753300000000001</v>
      </c>
      <c r="S522" s="3">
        <v>-67.2</v>
      </c>
      <c r="T522" s="3">
        <v>201.98</v>
      </c>
      <c r="U522" s="3">
        <v>269.18</v>
      </c>
      <c r="V522" s="70" t="s">
        <v>333</v>
      </c>
      <c r="W522" s="3" t="s">
        <v>735</v>
      </c>
      <c r="X522" s="3" t="s">
        <v>337</v>
      </c>
      <c r="Y522" s="3" t="s">
        <v>337</v>
      </c>
    </row>
    <row r="523" spans="1:25" hidden="1" x14ac:dyDescent="0.2">
      <c r="A523" s="83" t="str">
        <f t="shared" si="8"/>
        <v>郑州政六街德柏小餐盒</v>
      </c>
      <c r="B523" s="3" t="s">
        <v>714</v>
      </c>
      <c r="C523" s="84">
        <v>44377</v>
      </c>
      <c r="D523" s="3" t="s">
        <v>424</v>
      </c>
      <c r="E523" s="3" t="s">
        <v>337</v>
      </c>
      <c r="F523" s="3" t="s">
        <v>337</v>
      </c>
      <c r="G523" s="70" t="s">
        <v>425</v>
      </c>
      <c r="H523" s="3" t="s">
        <v>343</v>
      </c>
      <c r="I523" s="3" t="s">
        <v>339</v>
      </c>
      <c r="J523" s="3">
        <v>0</v>
      </c>
      <c r="K523" s="3">
        <v>0</v>
      </c>
      <c r="L523" s="3">
        <v>80</v>
      </c>
      <c r="M523" s="3">
        <v>0</v>
      </c>
      <c r="N523" s="3">
        <v>-80</v>
      </c>
      <c r="O523" s="70">
        <v>80</v>
      </c>
      <c r="P523" s="3">
        <v>0</v>
      </c>
      <c r="Q523" s="3">
        <v>0</v>
      </c>
      <c r="R523" s="3">
        <v>0.38828000000000001</v>
      </c>
      <c r="S523" s="3">
        <v>31.06</v>
      </c>
      <c r="T523" s="3">
        <v>0</v>
      </c>
      <c r="U523" s="3">
        <v>-31.06</v>
      </c>
      <c r="V523" s="70" t="s">
        <v>591</v>
      </c>
      <c r="W523" s="3" t="s">
        <v>343</v>
      </c>
      <c r="X523" s="3" t="s">
        <v>337</v>
      </c>
      <c r="Y523" s="3" t="s">
        <v>337</v>
      </c>
    </row>
    <row r="524" spans="1:25" hidden="1" x14ac:dyDescent="0.2">
      <c r="A524" s="83" t="str">
        <f t="shared" si="8"/>
        <v>郑州政六街铝箔烤翅袋</v>
      </c>
      <c r="B524" s="3" t="s">
        <v>714</v>
      </c>
      <c r="C524" s="84">
        <v>44377</v>
      </c>
      <c r="D524" s="3" t="s">
        <v>426</v>
      </c>
      <c r="E524" s="3" t="s">
        <v>337</v>
      </c>
      <c r="F524" s="3" t="s">
        <v>337</v>
      </c>
      <c r="G524" s="70" t="s">
        <v>427</v>
      </c>
      <c r="H524" s="3" t="s">
        <v>343</v>
      </c>
      <c r="I524" s="3" t="s">
        <v>339</v>
      </c>
      <c r="J524" s="3">
        <v>1896</v>
      </c>
      <c r="K524" s="3">
        <v>0</v>
      </c>
      <c r="L524" s="3">
        <v>296</v>
      </c>
      <c r="M524" s="3">
        <v>1587</v>
      </c>
      <c r="N524" s="3">
        <v>1600</v>
      </c>
      <c r="O524" s="70">
        <v>-13</v>
      </c>
      <c r="P524" s="3">
        <v>0</v>
      </c>
      <c r="Q524" s="3">
        <v>0</v>
      </c>
      <c r="R524" s="3">
        <v>8.2098000000000004E-2</v>
      </c>
      <c r="S524" s="3">
        <v>-1.07</v>
      </c>
      <c r="T524" s="3">
        <v>130.29</v>
      </c>
      <c r="U524" s="3">
        <v>131.36000000000001</v>
      </c>
      <c r="V524" s="70" t="s">
        <v>591</v>
      </c>
      <c r="W524" s="3" t="s">
        <v>343</v>
      </c>
      <c r="X524" s="3" t="s">
        <v>337</v>
      </c>
      <c r="Y524" s="3" t="s">
        <v>337</v>
      </c>
    </row>
    <row r="525" spans="1:25" hidden="1" x14ac:dyDescent="0.2">
      <c r="A525" s="83" t="str">
        <f t="shared" si="8"/>
        <v>华山龙源铝箔烤翅袋</v>
      </c>
      <c r="B525" s="3" t="s">
        <v>705</v>
      </c>
      <c r="C525" s="84">
        <v>44377</v>
      </c>
      <c r="D525" s="3" t="s">
        <v>426</v>
      </c>
      <c r="E525" s="3" t="s">
        <v>337</v>
      </c>
      <c r="F525" s="3" t="s">
        <v>337</v>
      </c>
      <c r="G525" s="70" t="s">
        <v>427</v>
      </c>
      <c r="H525" s="3" t="s">
        <v>343</v>
      </c>
      <c r="I525" s="3" t="s">
        <v>339</v>
      </c>
      <c r="J525" s="3">
        <v>0</v>
      </c>
      <c r="K525" s="3">
        <v>250</v>
      </c>
      <c r="L525" s="3">
        <v>57</v>
      </c>
      <c r="M525" s="3">
        <v>128</v>
      </c>
      <c r="N525" s="3">
        <v>193</v>
      </c>
      <c r="O525" s="70">
        <v>-65</v>
      </c>
      <c r="P525" s="3">
        <v>0</v>
      </c>
      <c r="Q525" s="3">
        <v>0</v>
      </c>
      <c r="R525" s="3">
        <v>8.3984000000000003E-2</v>
      </c>
      <c r="S525" s="3">
        <v>-5.46</v>
      </c>
      <c r="T525" s="3">
        <v>10.75</v>
      </c>
      <c r="U525" s="3">
        <v>16.21</v>
      </c>
      <c r="V525" s="70" t="s">
        <v>643</v>
      </c>
      <c r="W525" s="3" t="s">
        <v>343</v>
      </c>
      <c r="X525" s="3" t="s">
        <v>337</v>
      </c>
      <c r="Y525" s="3" t="s">
        <v>337</v>
      </c>
    </row>
    <row r="526" spans="1:25" hidden="1" x14ac:dyDescent="0.2">
      <c r="A526" s="83" t="str">
        <f t="shared" si="8"/>
        <v>郑州瀚海海尚铝箔烤翅袋</v>
      </c>
      <c r="B526" s="3" t="s">
        <v>706</v>
      </c>
      <c r="C526" s="84">
        <v>44377</v>
      </c>
      <c r="D526" s="3" t="s">
        <v>426</v>
      </c>
      <c r="E526" s="3" t="s">
        <v>337</v>
      </c>
      <c r="F526" s="3" t="s">
        <v>337</v>
      </c>
      <c r="G526" s="70" t="s">
        <v>427</v>
      </c>
      <c r="H526" s="3" t="s">
        <v>343</v>
      </c>
      <c r="I526" s="3" t="s">
        <v>339</v>
      </c>
      <c r="J526" s="3">
        <v>507</v>
      </c>
      <c r="K526" s="3">
        <v>0</v>
      </c>
      <c r="L526" s="3">
        <v>172</v>
      </c>
      <c r="M526" s="3">
        <v>257</v>
      </c>
      <c r="N526" s="3">
        <v>335</v>
      </c>
      <c r="O526" s="70">
        <v>-78</v>
      </c>
      <c r="P526" s="3">
        <v>0</v>
      </c>
      <c r="Q526" s="3">
        <v>0</v>
      </c>
      <c r="R526" s="3">
        <v>8.2179000000000002E-2</v>
      </c>
      <c r="S526" s="3">
        <v>-6.41</v>
      </c>
      <c r="T526" s="3">
        <v>21.12</v>
      </c>
      <c r="U526" s="3">
        <v>27.53</v>
      </c>
      <c r="V526" s="70" t="s">
        <v>333</v>
      </c>
      <c r="W526" s="3" t="s">
        <v>343</v>
      </c>
      <c r="X526" s="3" t="s">
        <v>337</v>
      </c>
      <c r="Y526" s="3" t="s">
        <v>337</v>
      </c>
    </row>
    <row r="527" spans="1:25" hidden="1" x14ac:dyDescent="0.2">
      <c r="A527" s="83" t="str">
        <f t="shared" si="8"/>
        <v>郑州铁英街铝箔烤翅袋</v>
      </c>
      <c r="B527" s="3" t="s">
        <v>707</v>
      </c>
      <c r="C527" s="84">
        <v>44377</v>
      </c>
      <c r="D527" s="3" t="s">
        <v>426</v>
      </c>
      <c r="E527" s="3" t="s">
        <v>337</v>
      </c>
      <c r="F527" s="3" t="s">
        <v>337</v>
      </c>
      <c r="G527" s="70" t="s">
        <v>427</v>
      </c>
      <c r="H527" s="3" t="s">
        <v>343</v>
      </c>
      <c r="I527" s="3" t="s">
        <v>339</v>
      </c>
      <c r="J527" s="3">
        <v>1880</v>
      </c>
      <c r="K527" s="3">
        <v>0</v>
      </c>
      <c r="L527" s="3">
        <v>99</v>
      </c>
      <c r="M527" s="3">
        <v>1842</v>
      </c>
      <c r="N527" s="3">
        <v>1781</v>
      </c>
      <c r="O527" s="70">
        <v>61</v>
      </c>
      <c r="P527" s="3">
        <v>0</v>
      </c>
      <c r="Q527" s="3">
        <v>0</v>
      </c>
      <c r="R527" s="3">
        <v>8.2096000000000002E-2</v>
      </c>
      <c r="S527" s="3">
        <v>5.01</v>
      </c>
      <c r="T527" s="3">
        <v>151.22</v>
      </c>
      <c r="U527" s="3">
        <v>146.21</v>
      </c>
      <c r="V527" s="70" t="s">
        <v>592</v>
      </c>
      <c r="W527" s="3" t="s">
        <v>343</v>
      </c>
      <c r="X527" s="3" t="s">
        <v>337</v>
      </c>
      <c r="Y527" s="3" t="s">
        <v>337</v>
      </c>
    </row>
    <row r="528" spans="1:25" hidden="1" x14ac:dyDescent="0.2">
      <c r="A528" s="83" t="str">
        <f t="shared" si="8"/>
        <v>郑州西悦城铝箔烤翅袋</v>
      </c>
      <c r="B528" s="3" t="s">
        <v>708</v>
      </c>
      <c r="C528" s="84">
        <v>44377</v>
      </c>
      <c r="D528" s="3" t="s">
        <v>426</v>
      </c>
      <c r="E528" s="3" t="s">
        <v>337</v>
      </c>
      <c r="F528" s="3" t="s">
        <v>337</v>
      </c>
      <c r="G528" s="70" t="s">
        <v>427</v>
      </c>
      <c r="H528" s="3" t="s">
        <v>343</v>
      </c>
      <c r="I528" s="3" t="s">
        <v>339</v>
      </c>
      <c r="J528" s="3">
        <v>1170</v>
      </c>
      <c r="K528" s="3">
        <v>0</v>
      </c>
      <c r="L528" s="3">
        <v>471</v>
      </c>
      <c r="M528" s="3">
        <v>700</v>
      </c>
      <c r="N528" s="3">
        <v>699</v>
      </c>
      <c r="O528" s="70">
        <v>1</v>
      </c>
      <c r="P528" s="3">
        <v>0</v>
      </c>
      <c r="Q528" s="3">
        <v>0</v>
      </c>
      <c r="R528" s="3">
        <v>8.2100000000000006E-2</v>
      </c>
      <c r="S528" s="3">
        <v>0.08</v>
      </c>
      <c r="T528" s="3">
        <v>57.47</v>
      </c>
      <c r="U528" s="3">
        <v>57.39</v>
      </c>
      <c r="V528" s="70" t="s">
        <v>332</v>
      </c>
      <c r="W528" s="3" t="s">
        <v>343</v>
      </c>
      <c r="X528" s="3" t="s">
        <v>337</v>
      </c>
      <c r="Y528" s="3" t="s">
        <v>337</v>
      </c>
    </row>
    <row r="529" spans="1:25" hidden="1" x14ac:dyDescent="0.2">
      <c r="A529" s="83" t="str">
        <f t="shared" si="8"/>
        <v>新蔡水韵天街铝箔烤翅袋</v>
      </c>
      <c r="B529" s="3" t="s">
        <v>703</v>
      </c>
      <c r="C529" s="84">
        <v>44377</v>
      </c>
      <c r="D529" s="3" t="s">
        <v>426</v>
      </c>
      <c r="E529" s="3" t="s">
        <v>337</v>
      </c>
      <c r="F529" s="3" t="s">
        <v>337</v>
      </c>
      <c r="G529" s="70" t="s">
        <v>427</v>
      </c>
      <c r="H529" s="3" t="s">
        <v>343</v>
      </c>
      <c r="I529" s="3" t="s">
        <v>339</v>
      </c>
      <c r="J529" s="3">
        <v>1900</v>
      </c>
      <c r="K529" s="3">
        <v>0</v>
      </c>
      <c r="L529" s="3">
        <v>33</v>
      </c>
      <c r="M529" s="3">
        <v>1860</v>
      </c>
      <c r="N529" s="3">
        <v>1867</v>
      </c>
      <c r="O529" s="70">
        <v>-7</v>
      </c>
      <c r="P529" s="3">
        <v>0</v>
      </c>
      <c r="Q529" s="3">
        <v>0</v>
      </c>
      <c r="R529" s="3">
        <v>8.2101999999999994E-2</v>
      </c>
      <c r="S529" s="3">
        <v>-0.56999999999999995</v>
      </c>
      <c r="T529" s="3">
        <v>152.71</v>
      </c>
      <c r="U529" s="3">
        <v>153.28</v>
      </c>
      <c r="V529" s="70" t="s">
        <v>335</v>
      </c>
      <c r="W529" s="3" t="s">
        <v>343</v>
      </c>
      <c r="X529" s="3" t="s">
        <v>337</v>
      </c>
      <c r="Y529" s="3" t="s">
        <v>337</v>
      </c>
    </row>
    <row r="530" spans="1:25" hidden="1" x14ac:dyDescent="0.2">
      <c r="A530" s="83" t="str">
        <f t="shared" si="8"/>
        <v>郑州康复中街铝箔烤翅袋</v>
      </c>
      <c r="B530" s="3" t="s">
        <v>704</v>
      </c>
      <c r="C530" s="84">
        <v>44377</v>
      </c>
      <c r="D530" s="3" t="s">
        <v>426</v>
      </c>
      <c r="E530" s="3" t="s">
        <v>337</v>
      </c>
      <c r="F530" s="3" t="s">
        <v>337</v>
      </c>
      <c r="G530" s="70" t="s">
        <v>427</v>
      </c>
      <c r="H530" s="3" t="s">
        <v>343</v>
      </c>
      <c r="I530" s="3" t="s">
        <v>339</v>
      </c>
      <c r="J530" s="3">
        <v>1750</v>
      </c>
      <c r="K530" s="3">
        <v>0</v>
      </c>
      <c r="L530" s="3">
        <v>257</v>
      </c>
      <c r="M530" s="3">
        <v>1490</v>
      </c>
      <c r="N530" s="3">
        <v>1493</v>
      </c>
      <c r="O530" s="70">
        <v>-3</v>
      </c>
      <c r="P530" s="3">
        <v>0</v>
      </c>
      <c r="Q530" s="3">
        <v>0</v>
      </c>
      <c r="R530" s="3">
        <v>8.2081000000000001E-2</v>
      </c>
      <c r="S530" s="3">
        <v>-0.25</v>
      </c>
      <c r="T530" s="3">
        <v>122.3</v>
      </c>
      <c r="U530" s="3">
        <v>122.55</v>
      </c>
      <c r="V530" s="70" t="s">
        <v>593</v>
      </c>
      <c r="W530" s="3" t="s">
        <v>343</v>
      </c>
      <c r="X530" s="3" t="s">
        <v>337</v>
      </c>
      <c r="Y530" s="3" t="s">
        <v>337</v>
      </c>
    </row>
    <row r="531" spans="1:25" hidden="1" x14ac:dyDescent="0.2">
      <c r="A531" s="83" t="str">
        <f t="shared" si="8"/>
        <v>郑州盛华里铝箔烤翅袋</v>
      </c>
      <c r="B531" s="3" t="s">
        <v>709</v>
      </c>
      <c r="C531" s="84">
        <v>44377</v>
      </c>
      <c r="D531" s="3" t="s">
        <v>426</v>
      </c>
      <c r="E531" s="3" t="s">
        <v>337</v>
      </c>
      <c r="F531" s="3" t="s">
        <v>337</v>
      </c>
      <c r="G531" s="70" t="s">
        <v>427</v>
      </c>
      <c r="H531" s="3" t="s">
        <v>343</v>
      </c>
      <c r="I531" s="3" t="s">
        <v>339</v>
      </c>
      <c r="J531" s="3">
        <v>1177</v>
      </c>
      <c r="K531" s="3">
        <v>0</v>
      </c>
      <c r="L531" s="3">
        <v>155</v>
      </c>
      <c r="M531" s="3">
        <v>1000</v>
      </c>
      <c r="N531" s="3">
        <v>1022</v>
      </c>
      <c r="O531" s="70">
        <v>-22</v>
      </c>
      <c r="P531" s="3">
        <v>0</v>
      </c>
      <c r="Q531" s="3">
        <v>0</v>
      </c>
      <c r="R531" s="3">
        <v>8.2089999999999996E-2</v>
      </c>
      <c r="S531" s="3">
        <v>-1.81</v>
      </c>
      <c r="T531" s="3">
        <v>82.09</v>
      </c>
      <c r="U531" s="3">
        <v>83.9</v>
      </c>
      <c r="V531" s="70" t="s">
        <v>637</v>
      </c>
      <c r="W531" s="3" t="s">
        <v>343</v>
      </c>
      <c r="X531" s="3" t="s">
        <v>337</v>
      </c>
      <c r="Y531" s="3" t="s">
        <v>337</v>
      </c>
    </row>
    <row r="532" spans="1:25" hidden="1" x14ac:dyDescent="0.2">
      <c r="A532" s="83" t="str">
        <f t="shared" si="8"/>
        <v>滑县滑台铝箔烤翅袋</v>
      </c>
      <c r="B532" s="3" t="s">
        <v>710</v>
      </c>
      <c r="C532" s="84">
        <v>44377</v>
      </c>
      <c r="D532" s="3" t="s">
        <v>426</v>
      </c>
      <c r="E532" s="3" t="s">
        <v>337</v>
      </c>
      <c r="F532" s="3" t="s">
        <v>337</v>
      </c>
      <c r="G532" s="70" t="s">
        <v>427</v>
      </c>
      <c r="H532" s="3" t="s">
        <v>343</v>
      </c>
      <c r="I532" s="3" t="s">
        <v>339</v>
      </c>
      <c r="J532" s="3">
        <v>0</v>
      </c>
      <c r="K532" s="3">
        <v>0</v>
      </c>
      <c r="L532" s="3">
        <v>139</v>
      </c>
      <c r="M532" s="3">
        <v>0</v>
      </c>
      <c r="N532" s="3">
        <v>-139</v>
      </c>
      <c r="O532" s="70">
        <v>139</v>
      </c>
      <c r="P532" s="3">
        <v>0</v>
      </c>
      <c r="Q532" s="3">
        <v>0</v>
      </c>
      <c r="R532" s="3">
        <v>8.2090999999999997E-2</v>
      </c>
      <c r="S532" s="3">
        <v>11.41</v>
      </c>
      <c r="T532" s="3">
        <v>0</v>
      </c>
      <c r="U532" s="3">
        <v>-11.41</v>
      </c>
      <c r="V532" s="70" t="s">
        <v>639</v>
      </c>
      <c r="W532" s="3" t="s">
        <v>343</v>
      </c>
      <c r="X532" s="3" t="s">
        <v>337</v>
      </c>
      <c r="Y532" s="3" t="s">
        <v>337</v>
      </c>
    </row>
    <row r="533" spans="1:25" hidden="1" x14ac:dyDescent="0.2">
      <c r="A533" s="83" t="str">
        <f t="shared" si="8"/>
        <v>方城锦城国际铝箔烤翅袋</v>
      </c>
      <c r="B533" s="3" t="s">
        <v>712</v>
      </c>
      <c r="C533" s="84">
        <v>44377</v>
      </c>
      <c r="D533" s="3" t="s">
        <v>426</v>
      </c>
      <c r="E533" s="3" t="s">
        <v>337</v>
      </c>
      <c r="F533" s="3" t="s">
        <v>337</v>
      </c>
      <c r="G533" s="70" t="s">
        <v>427</v>
      </c>
      <c r="H533" s="3" t="s">
        <v>343</v>
      </c>
      <c r="I533" s="3" t="s">
        <v>339</v>
      </c>
      <c r="J533" s="3">
        <v>3851</v>
      </c>
      <c r="K533" s="3">
        <v>0</v>
      </c>
      <c r="L533" s="3">
        <v>113</v>
      </c>
      <c r="M533" s="3">
        <v>3763</v>
      </c>
      <c r="N533" s="3">
        <v>3738</v>
      </c>
      <c r="O533" s="70">
        <v>25</v>
      </c>
      <c r="P533" s="3">
        <v>0</v>
      </c>
      <c r="Q533" s="3">
        <v>0</v>
      </c>
      <c r="R533" s="3">
        <v>8.2090999999999997E-2</v>
      </c>
      <c r="S533" s="3">
        <v>2.0499999999999998</v>
      </c>
      <c r="T533" s="3">
        <v>308.91000000000003</v>
      </c>
      <c r="U533" s="3">
        <v>306.86</v>
      </c>
      <c r="V533" s="70" t="s">
        <v>594</v>
      </c>
      <c r="W533" s="3" t="s">
        <v>343</v>
      </c>
      <c r="X533" s="3" t="s">
        <v>337</v>
      </c>
      <c r="Y533" s="3" t="s">
        <v>337</v>
      </c>
    </row>
    <row r="534" spans="1:25" hidden="1" x14ac:dyDescent="0.2">
      <c r="A534" s="83" t="str">
        <f t="shared" si="8"/>
        <v>清丰凤鸣铝箔烤翅袋</v>
      </c>
      <c r="B534" s="3" t="s">
        <v>713</v>
      </c>
      <c r="C534" s="84">
        <v>44377</v>
      </c>
      <c r="D534" s="3" t="s">
        <v>426</v>
      </c>
      <c r="E534" s="3" t="s">
        <v>337</v>
      </c>
      <c r="F534" s="3" t="s">
        <v>337</v>
      </c>
      <c r="G534" s="70" t="s">
        <v>427</v>
      </c>
      <c r="H534" s="3" t="s">
        <v>343</v>
      </c>
      <c r="I534" s="3" t="s">
        <v>339</v>
      </c>
      <c r="J534" s="3">
        <v>1680</v>
      </c>
      <c r="K534" s="3">
        <v>0</v>
      </c>
      <c r="L534" s="3">
        <v>76</v>
      </c>
      <c r="M534" s="3">
        <v>1620</v>
      </c>
      <c r="N534" s="3">
        <v>1604</v>
      </c>
      <c r="O534" s="70">
        <v>16</v>
      </c>
      <c r="P534" s="3">
        <v>0</v>
      </c>
      <c r="Q534" s="3">
        <v>0</v>
      </c>
      <c r="R534" s="3">
        <v>8.2111000000000003E-2</v>
      </c>
      <c r="S534" s="3">
        <v>1.31</v>
      </c>
      <c r="T534" s="3">
        <v>133.02000000000001</v>
      </c>
      <c r="U534" s="3">
        <v>131.71</v>
      </c>
      <c r="V534" s="70" t="s">
        <v>334</v>
      </c>
      <c r="W534" s="3" t="s">
        <v>343</v>
      </c>
      <c r="X534" s="3" t="s">
        <v>337</v>
      </c>
      <c r="Y534" s="3" t="s">
        <v>337</v>
      </c>
    </row>
    <row r="535" spans="1:25" hidden="1" x14ac:dyDescent="0.2">
      <c r="A535" s="83" t="str">
        <f t="shared" si="8"/>
        <v>郑州裕华铝箔烤翅袋</v>
      </c>
      <c r="B535" s="3" t="s">
        <v>711</v>
      </c>
      <c r="C535" s="84">
        <v>44377</v>
      </c>
      <c r="D535" s="3" t="s">
        <v>426</v>
      </c>
      <c r="E535" s="3" t="s">
        <v>337</v>
      </c>
      <c r="F535" s="3" t="s">
        <v>337</v>
      </c>
      <c r="G535" s="70" t="s">
        <v>427</v>
      </c>
      <c r="H535" s="3" t="s">
        <v>343</v>
      </c>
      <c r="I535" s="3" t="s">
        <v>339</v>
      </c>
      <c r="J535" s="3">
        <v>1950</v>
      </c>
      <c r="K535" s="3">
        <v>0</v>
      </c>
      <c r="L535" s="3">
        <v>142</v>
      </c>
      <c r="M535" s="3">
        <v>1800</v>
      </c>
      <c r="N535" s="3">
        <v>1808</v>
      </c>
      <c r="O535" s="70">
        <v>-8</v>
      </c>
      <c r="P535" s="3">
        <v>0</v>
      </c>
      <c r="Q535" s="3">
        <v>0</v>
      </c>
      <c r="R535" s="3">
        <v>8.2088999999999995E-2</v>
      </c>
      <c r="S535" s="3">
        <v>-0.66</v>
      </c>
      <c r="T535" s="3">
        <v>147.76</v>
      </c>
      <c r="U535" s="3">
        <v>148.41999999999999</v>
      </c>
      <c r="V535" s="70" t="s">
        <v>641</v>
      </c>
      <c r="W535" s="3" t="s">
        <v>343</v>
      </c>
      <c r="X535" s="3" t="s">
        <v>337</v>
      </c>
      <c r="Y535" s="3" t="s">
        <v>337</v>
      </c>
    </row>
    <row r="536" spans="1:25" hidden="1" x14ac:dyDescent="0.2">
      <c r="A536" s="83" t="str">
        <f t="shared" si="8"/>
        <v>郑州裕华铝箔全鸡袋</v>
      </c>
      <c r="B536" s="3" t="s">
        <v>711</v>
      </c>
      <c r="C536" s="84">
        <v>44377</v>
      </c>
      <c r="D536" s="3" t="s">
        <v>428</v>
      </c>
      <c r="E536" s="3" t="s">
        <v>337</v>
      </c>
      <c r="F536" s="3" t="s">
        <v>337</v>
      </c>
      <c r="G536" s="70" t="s">
        <v>429</v>
      </c>
      <c r="H536" s="3" t="s">
        <v>363</v>
      </c>
      <c r="I536" s="3" t="s">
        <v>339</v>
      </c>
      <c r="J536" s="3">
        <v>0</v>
      </c>
      <c r="K536" s="3">
        <v>1000</v>
      </c>
      <c r="L536" s="3">
        <v>99</v>
      </c>
      <c r="M536" s="3">
        <v>900</v>
      </c>
      <c r="N536" s="3">
        <v>901</v>
      </c>
      <c r="O536" s="70">
        <v>-1</v>
      </c>
      <c r="P536" s="3">
        <v>0</v>
      </c>
      <c r="Q536" s="3">
        <v>0</v>
      </c>
      <c r="R536" s="3">
        <v>0.29937799999999998</v>
      </c>
      <c r="S536" s="3">
        <v>-0.3</v>
      </c>
      <c r="T536" s="3">
        <v>269.44</v>
      </c>
      <c r="U536" s="3">
        <v>269.74</v>
      </c>
      <c r="V536" s="70" t="s">
        <v>641</v>
      </c>
      <c r="W536" s="3" t="s">
        <v>343</v>
      </c>
      <c r="X536" s="3" t="s">
        <v>337</v>
      </c>
      <c r="Y536" s="3" t="s">
        <v>337</v>
      </c>
    </row>
    <row r="537" spans="1:25" hidden="1" x14ac:dyDescent="0.2">
      <c r="A537" s="83" t="str">
        <f t="shared" si="8"/>
        <v>清丰凤鸣铝箔全鸡袋</v>
      </c>
      <c r="B537" s="3" t="s">
        <v>713</v>
      </c>
      <c r="C537" s="84">
        <v>44377</v>
      </c>
      <c r="D537" s="3" t="s">
        <v>428</v>
      </c>
      <c r="E537" s="3" t="s">
        <v>337</v>
      </c>
      <c r="F537" s="3" t="s">
        <v>337</v>
      </c>
      <c r="G537" s="70" t="s">
        <v>429</v>
      </c>
      <c r="H537" s="3" t="s">
        <v>363</v>
      </c>
      <c r="I537" s="3" t="s">
        <v>339</v>
      </c>
      <c r="J537" s="3">
        <v>780</v>
      </c>
      <c r="K537" s="3">
        <v>0</v>
      </c>
      <c r="L537" s="3">
        <v>74</v>
      </c>
      <c r="M537" s="3">
        <v>680</v>
      </c>
      <c r="N537" s="3">
        <v>706</v>
      </c>
      <c r="O537" s="70">
        <v>-26</v>
      </c>
      <c r="P537" s="3">
        <v>0</v>
      </c>
      <c r="Q537" s="3">
        <v>0</v>
      </c>
      <c r="R537" s="3">
        <v>0.29936800000000002</v>
      </c>
      <c r="S537" s="3">
        <v>-7.78</v>
      </c>
      <c r="T537" s="3">
        <v>203.57</v>
      </c>
      <c r="U537" s="3">
        <v>211.35</v>
      </c>
      <c r="V537" s="70" t="s">
        <v>334</v>
      </c>
      <c r="W537" s="3" t="s">
        <v>343</v>
      </c>
      <c r="X537" s="3" t="s">
        <v>337</v>
      </c>
      <c r="Y537" s="3" t="s">
        <v>337</v>
      </c>
    </row>
    <row r="538" spans="1:25" hidden="1" x14ac:dyDescent="0.2">
      <c r="A538" s="83" t="str">
        <f t="shared" si="8"/>
        <v>方城锦城国际铝箔全鸡袋</v>
      </c>
      <c r="B538" s="3" t="s">
        <v>712</v>
      </c>
      <c r="C538" s="84">
        <v>44377</v>
      </c>
      <c r="D538" s="3" t="s">
        <v>428</v>
      </c>
      <c r="E538" s="3" t="s">
        <v>337</v>
      </c>
      <c r="F538" s="3" t="s">
        <v>337</v>
      </c>
      <c r="G538" s="70" t="s">
        <v>429</v>
      </c>
      <c r="H538" s="3" t="s">
        <v>363</v>
      </c>
      <c r="I538" s="3" t="s">
        <v>339</v>
      </c>
      <c r="J538" s="3">
        <v>740</v>
      </c>
      <c r="K538" s="3">
        <v>0</v>
      </c>
      <c r="L538" s="3">
        <v>42</v>
      </c>
      <c r="M538" s="3">
        <v>650</v>
      </c>
      <c r="N538" s="3">
        <v>698</v>
      </c>
      <c r="O538" s="70">
        <v>-48</v>
      </c>
      <c r="P538" s="3">
        <v>0</v>
      </c>
      <c r="Q538" s="3">
        <v>0</v>
      </c>
      <c r="R538" s="3">
        <v>0.2994</v>
      </c>
      <c r="S538" s="3">
        <v>-14.37</v>
      </c>
      <c r="T538" s="3">
        <v>194.61</v>
      </c>
      <c r="U538" s="3">
        <v>208.98</v>
      </c>
      <c r="V538" s="70" t="s">
        <v>594</v>
      </c>
      <c r="W538" s="3" t="s">
        <v>343</v>
      </c>
      <c r="X538" s="3" t="s">
        <v>337</v>
      </c>
      <c r="Y538" s="3" t="s">
        <v>337</v>
      </c>
    </row>
    <row r="539" spans="1:25" hidden="1" x14ac:dyDescent="0.2">
      <c r="A539" s="83" t="str">
        <f t="shared" si="8"/>
        <v>滑县滑台铝箔全鸡袋</v>
      </c>
      <c r="B539" s="3" t="s">
        <v>710</v>
      </c>
      <c r="C539" s="84">
        <v>44377</v>
      </c>
      <c r="D539" s="3" t="s">
        <v>428</v>
      </c>
      <c r="E539" s="3" t="s">
        <v>337</v>
      </c>
      <c r="F539" s="3" t="s">
        <v>337</v>
      </c>
      <c r="G539" s="70" t="s">
        <v>429</v>
      </c>
      <c r="H539" s="3" t="s">
        <v>363</v>
      </c>
      <c r="I539" s="3" t="s">
        <v>339</v>
      </c>
      <c r="J539" s="3">
        <v>139</v>
      </c>
      <c r="K539" s="3">
        <v>250</v>
      </c>
      <c r="L539" s="3">
        <v>180</v>
      </c>
      <c r="M539" s="3">
        <v>140</v>
      </c>
      <c r="N539" s="3">
        <v>209</v>
      </c>
      <c r="O539" s="70">
        <v>-69</v>
      </c>
      <c r="P539" s="3">
        <v>0</v>
      </c>
      <c r="Q539" s="3">
        <v>0</v>
      </c>
      <c r="R539" s="3">
        <v>0.31207099999999999</v>
      </c>
      <c r="S539" s="3">
        <v>-21.53</v>
      </c>
      <c r="T539" s="3">
        <v>43.69</v>
      </c>
      <c r="U539" s="3">
        <v>65.22</v>
      </c>
      <c r="V539" s="70" t="s">
        <v>639</v>
      </c>
      <c r="W539" s="3" t="s">
        <v>343</v>
      </c>
      <c r="X539" s="3" t="s">
        <v>337</v>
      </c>
      <c r="Y539" s="3" t="s">
        <v>337</v>
      </c>
    </row>
    <row r="540" spans="1:25" hidden="1" x14ac:dyDescent="0.2">
      <c r="A540" s="83" t="str">
        <f t="shared" si="8"/>
        <v>郑州盛华里铝箔全鸡袋</v>
      </c>
      <c r="B540" s="3" t="s">
        <v>709</v>
      </c>
      <c r="C540" s="84">
        <v>44377</v>
      </c>
      <c r="D540" s="3" t="s">
        <v>428</v>
      </c>
      <c r="E540" s="3" t="s">
        <v>337</v>
      </c>
      <c r="F540" s="3" t="s">
        <v>337</v>
      </c>
      <c r="G540" s="70" t="s">
        <v>429</v>
      </c>
      <c r="H540" s="3" t="s">
        <v>363</v>
      </c>
      <c r="I540" s="3" t="s">
        <v>339</v>
      </c>
      <c r="J540" s="3">
        <v>1180</v>
      </c>
      <c r="K540" s="3">
        <v>0</v>
      </c>
      <c r="L540" s="3">
        <v>71</v>
      </c>
      <c r="M540" s="3">
        <v>1100</v>
      </c>
      <c r="N540" s="3">
        <v>1109</v>
      </c>
      <c r="O540" s="70">
        <v>-9</v>
      </c>
      <c r="P540" s="3">
        <v>0</v>
      </c>
      <c r="Q540" s="3">
        <v>0</v>
      </c>
      <c r="R540" s="3">
        <v>0.29949999999999999</v>
      </c>
      <c r="S540" s="3">
        <v>-2.7</v>
      </c>
      <c r="T540" s="3">
        <v>329.45</v>
      </c>
      <c r="U540" s="3">
        <v>332.15</v>
      </c>
      <c r="V540" s="70" t="s">
        <v>637</v>
      </c>
      <c r="W540" s="3" t="s">
        <v>343</v>
      </c>
      <c r="X540" s="3" t="s">
        <v>337</v>
      </c>
      <c r="Y540" s="3" t="s">
        <v>337</v>
      </c>
    </row>
    <row r="541" spans="1:25" hidden="1" x14ac:dyDescent="0.2">
      <c r="A541" s="83" t="str">
        <f t="shared" si="8"/>
        <v>郑州康复中街铝箔全鸡袋</v>
      </c>
      <c r="B541" s="3" t="s">
        <v>704</v>
      </c>
      <c r="C541" s="84">
        <v>44377</v>
      </c>
      <c r="D541" s="3" t="s">
        <v>428</v>
      </c>
      <c r="E541" s="3" t="s">
        <v>337</v>
      </c>
      <c r="F541" s="3" t="s">
        <v>337</v>
      </c>
      <c r="G541" s="70" t="s">
        <v>429</v>
      </c>
      <c r="H541" s="3" t="s">
        <v>363</v>
      </c>
      <c r="I541" s="3" t="s">
        <v>339</v>
      </c>
      <c r="J541" s="3">
        <v>1770</v>
      </c>
      <c r="K541" s="3">
        <v>0</v>
      </c>
      <c r="L541" s="3">
        <v>214</v>
      </c>
      <c r="M541" s="3">
        <v>1550</v>
      </c>
      <c r="N541" s="3">
        <v>1556</v>
      </c>
      <c r="O541" s="70">
        <v>-6</v>
      </c>
      <c r="P541" s="3">
        <v>0</v>
      </c>
      <c r="Q541" s="3">
        <v>0</v>
      </c>
      <c r="R541" s="3">
        <v>0.29939399999999999</v>
      </c>
      <c r="S541" s="3">
        <v>-1.8</v>
      </c>
      <c r="T541" s="3">
        <v>464.06</v>
      </c>
      <c r="U541" s="3">
        <v>465.86</v>
      </c>
      <c r="V541" s="70" t="s">
        <v>593</v>
      </c>
      <c r="W541" s="3" t="s">
        <v>343</v>
      </c>
      <c r="X541" s="3" t="s">
        <v>337</v>
      </c>
      <c r="Y541" s="3" t="s">
        <v>337</v>
      </c>
    </row>
    <row r="542" spans="1:25" hidden="1" x14ac:dyDescent="0.2">
      <c r="A542" s="83" t="str">
        <f t="shared" si="8"/>
        <v>新蔡水韵天街铝箔全鸡袋</v>
      </c>
      <c r="B542" s="3" t="s">
        <v>703</v>
      </c>
      <c r="C542" s="84">
        <v>44377</v>
      </c>
      <c r="D542" s="3" t="s">
        <v>428</v>
      </c>
      <c r="E542" s="3" t="s">
        <v>337</v>
      </c>
      <c r="F542" s="3" t="s">
        <v>337</v>
      </c>
      <c r="G542" s="70" t="s">
        <v>429</v>
      </c>
      <c r="H542" s="3" t="s">
        <v>363</v>
      </c>
      <c r="I542" s="3" t="s">
        <v>339</v>
      </c>
      <c r="J542" s="3">
        <v>750</v>
      </c>
      <c r="K542" s="3">
        <v>0</v>
      </c>
      <c r="L542" s="3">
        <v>95</v>
      </c>
      <c r="M542" s="3">
        <v>650</v>
      </c>
      <c r="N542" s="3">
        <v>655</v>
      </c>
      <c r="O542" s="70">
        <v>-5</v>
      </c>
      <c r="P542" s="3">
        <v>0</v>
      </c>
      <c r="Q542" s="3">
        <v>0</v>
      </c>
      <c r="R542" s="3">
        <v>0.29938500000000001</v>
      </c>
      <c r="S542" s="3">
        <v>-1.5</v>
      </c>
      <c r="T542" s="3">
        <v>194.6</v>
      </c>
      <c r="U542" s="3">
        <v>196.1</v>
      </c>
      <c r="V542" s="70" t="s">
        <v>335</v>
      </c>
      <c r="W542" s="3" t="s">
        <v>343</v>
      </c>
      <c r="X542" s="3" t="s">
        <v>337</v>
      </c>
      <c r="Y542" s="3" t="s">
        <v>337</v>
      </c>
    </row>
    <row r="543" spans="1:25" hidden="1" x14ac:dyDescent="0.2">
      <c r="A543" s="83" t="str">
        <f t="shared" si="8"/>
        <v>郑州西悦城铝箔全鸡袋</v>
      </c>
      <c r="B543" s="3" t="s">
        <v>708</v>
      </c>
      <c r="C543" s="84">
        <v>44377</v>
      </c>
      <c r="D543" s="3" t="s">
        <v>428</v>
      </c>
      <c r="E543" s="3" t="s">
        <v>337</v>
      </c>
      <c r="F543" s="3" t="s">
        <v>337</v>
      </c>
      <c r="G543" s="70" t="s">
        <v>429</v>
      </c>
      <c r="H543" s="3" t="s">
        <v>363</v>
      </c>
      <c r="I543" s="3" t="s">
        <v>339</v>
      </c>
      <c r="J543" s="3">
        <v>1345</v>
      </c>
      <c r="K543" s="3">
        <v>0</v>
      </c>
      <c r="L543" s="3">
        <v>386</v>
      </c>
      <c r="M543" s="3">
        <v>960</v>
      </c>
      <c r="N543" s="3">
        <v>959</v>
      </c>
      <c r="O543" s="70">
        <v>1</v>
      </c>
      <c r="P543" s="3">
        <v>0</v>
      </c>
      <c r="Q543" s="3">
        <v>0</v>
      </c>
      <c r="R543" s="3">
        <v>0.299396</v>
      </c>
      <c r="S543" s="3">
        <v>0.3</v>
      </c>
      <c r="T543" s="3">
        <v>287.42</v>
      </c>
      <c r="U543" s="3">
        <v>287.12</v>
      </c>
      <c r="V543" s="70" t="s">
        <v>332</v>
      </c>
      <c r="W543" s="3" t="s">
        <v>343</v>
      </c>
      <c r="X543" s="3" t="s">
        <v>337</v>
      </c>
      <c r="Y543" s="3" t="s">
        <v>337</v>
      </c>
    </row>
    <row r="544" spans="1:25" hidden="1" x14ac:dyDescent="0.2">
      <c r="A544" s="83" t="str">
        <f t="shared" si="8"/>
        <v>郑州铁英街铝箔全鸡袋</v>
      </c>
      <c r="B544" s="3" t="s">
        <v>707</v>
      </c>
      <c r="C544" s="84">
        <v>44377</v>
      </c>
      <c r="D544" s="3" t="s">
        <v>428</v>
      </c>
      <c r="E544" s="3" t="s">
        <v>337</v>
      </c>
      <c r="F544" s="3" t="s">
        <v>337</v>
      </c>
      <c r="G544" s="70" t="s">
        <v>429</v>
      </c>
      <c r="H544" s="3" t="s">
        <v>363</v>
      </c>
      <c r="I544" s="3" t="s">
        <v>339</v>
      </c>
      <c r="J544" s="3">
        <v>780</v>
      </c>
      <c r="K544" s="3">
        <v>0</v>
      </c>
      <c r="L544" s="3">
        <v>104</v>
      </c>
      <c r="M544" s="3">
        <v>684</v>
      </c>
      <c r="N544" s="3">
        <v>676</v>
      </c>
      <c r="O544" s="70">
        <v>8</v>
      </c>
      <c r="P544" s="3">
        <v>0</v>
      </c>
      <c r="Q544" s="3">
        <v>0</v>
      </c>
      <c r="R544" s="3">
        <v>0.29938599999999999</v>
      </c>
      <c r="S544" s="3">
        <v>2.4</v>
      </c>
      <c r="T544" s="3">
        <v>204.78</v>
      </c>
      <c r="U544" s="3">
        <v>202.38</v>
      </c>
      <c r="V544" s="70" t="s">
        <v>592</v>
      </c>
      <c r="W544" s="3" t="s">
        <v>343</v>
      </c>
      <c r="X544" s="3" t="s">
        <v>337</v>
      </c>
      <c r="Y544" s="3" t="s">
        <v>337</v>
      </c>
    </row>
    <row r="545" spans="1:25" hidden="1" x14ac:dyDescent="0.2">
      <c r="A545" s="83" t="str">
        <f t="shared" si="8"/>
        <v>郑州瀚海海尚铝箔全鸡袋</v>
      </c>
      <c r="B545" s="3" t="s">
        <v>706</v>
      </c>
      <c r="C545" s="84">
        <v>44377</v>
      </c>
      <c r="D545" s="3" t="s">
        <v>428</v>
      </c>
      <c r="E545" s="3" t="s">
        <v>337</v>
      </c>
      <c r="F545" s="3" t="s">
        <v>337</v>
      </c>
      <c r="G545" s="70" t="s">
        <v>429</v>
      </c>
      <c r="H545" s="3" t="s">
        <v>363</v>
      </c>
      <c r="I545" s="3" t="s">
        <v>339</v>
      </c>
      <c r="J545" s="3">
        <v>665</v>
      </c>
      <c r="K545" s="3">
        <v>0</v>
      </c>
      <c r="L545" s="3">
        <v>119</v>
      </c>
      <c r="M545" s="3">
        <v>575</v>
      </c>
      <c r="N545" s="3">
        <v>546</v>
      </c>
      <c r="O545" s="70">
        <v>29</v>
      </c>
      <c r="P545" s="3">
        <v>0</v>
      </c>
      <c r="Q545" s="3">
        <v>0</v>
      </c>
      <c r="R545" s="3">
        <v>0.30592999999999998</v>
      </c>
      <c r="S545" s="3">
        <v>8.8699999999999992</v>
      </c>
      <c r="T545" s="3">
        <v>175.91</v>
      </c>
      <c r="U545" s="3">
        <v>167.04</v>
      </c>
      <c r="V545" s="70" t="s">
        <v>333</v>
      </c>
      <c r="W545" s="3" t="s">
        <v>343</v>
      </c>
      <c r="X545" s="3" t="s">
        <v>337</v>
      </c>
      <c r="Y545" s="3" t="s">
        <v>337</v>
      </c>
    </row>
    <row r="546" spans="1:25" hidden="1" x14ac:dyDescent="0.2">
      <c r="A546" s="83" t="str">
        <f t="shared" si="8"/>
        <v>华山龙源铝箔全鸡袋</v>
      </c>
      <c r="B546" s="3" t="s">
        <v>705</v>
      </c>
      <c r="C546" s="84">
        <v>44377</v>
      </c>
      <c r="D546" s="3" t="s">
        <v>428</v>
      </c>
      <c r="E546" s="3" t="s">
        <v>337</v>
      </c>
      <c r="F546" s="3" t="s">
        <v>337</v>
      </c>
      <c r="G546" s="70" t="s">
        <v>429</v>
      </c>
      <c r="H546" s="3" t="s">
        <v>363</v>
      </c>
      <c r="I546" s="3" t="s">
        <v>339</v>
      </c>
      <c r="J546" s="3">
        <v>219</v>
      </c>
      <c r="K546" s="3">
        <v>0</v>
      </c>
      <c r="L546" s="3">
        <v>49</v>
      </c>
      <c r="M546" s="3">
        <v>144</v>
      </c>
      <c r="N546" s="3">
        <v>170</v>
      </c>
      <c r="O546" s="70">
        <v>-26</v>
      </c>
      <c r="P546" s="3">
        <v>0</v>
      </c>
      <c r="Q546" s="3">
        <v>0</v>
      </c>
      <c r="R546" s="3">
        <v>0.32402799999999998</v>
      </c>
      <c r="S546" s="3">
        <v>-8.42</v>
      </c>
      <c r="T546" s="3">
        <v>46.66</v>
      </c>
      <c r="U546" s="3">
        <v>55.08</v>
      </c>
      <c r="V546" s="70" t="s">
        <v>643</v>
      </c>
      <c r="W546" s="3" t="s">
        <v>343</v>
      </c>
      <c r="X546" s="3" t="s">
        <v>337</v>
      </c>
      <c r="Y546" s="3" t="s">
        <v>337</v>
      </c>
    </row>
    <row r="547" spans="1:25" hidden="1" x14ac:dyDescent="0.2">
      <c r="A547" s="83" t="str">
        <f t="shared" si="8"/>
        <v>郑州政六街铝箔全鸡袋</v>
      </c>
      <c r="B547" s="3" t="s">
        <v>714</v>
      </c>
      <c r="C547" s="84">
        <v>44377</v>
      </c>
      <c r="D547" s="3" t="s">
        <v>428</v>
      </c>
      <c r="E547" s="3" t="s">
        <v>337</v>
      </c>
      <c r="F547" s="3" t="s">
        <v>337</v>
      </c>
      <c r="G547" s="70" t="s">
        <v>429</v>
      </c>
      <c r="H547" s="3" t="s">
        <v>363</v>
      </c>
      <c r="I547" s="3" t="s">
        <v>339</v>
      </c>
      <c r="J547" s="3">
        <v>1653</v>
      </c>
      <c r="K547" s="3">
        <v>0</v>
      </c>
      <c r="L547" s="3">
        <v>304</v>
      </c>
      <c r="M547" s="3">
        <v>1325</v>
      </c>
      <c r="N547" s="3">
        <v>1349</v>
      </c>
      <c r="O547" s="70">
        <v>-24</v>
      </c>
      <c r="P547" s="3">
        <v>0</v>
      </c>
      <c r="Q547" s="3">
        <v>0</v>
      </c>
      <c r="R547" s="3">
        <v>0.299396</v>
      </c>
      <c r="S547" s="3">
        <v>-7.19</v>
      </c>
      <c r="T547" s="3">
        <v>396.7</v>
      </c>
      <c r="U547" s="3">
        <v>403.89</v>
      </c>
      <c r="V547" s="70" t="s">
        <v>591</v>
      </c>
      <c r="W547" s="3" t="s">
        <v>343</v>
      </c>
      <c r="X547" s="3" t="s">
        <v>337</v>
      </c>
      <c r="Y547" s="3" t="s">
        <v>337</v>
      </c>
    </row>
    <row r="548" spans="1:25" hidden="1" x14ac:dyDescent="0.2">
      <c r="A548" s="83" t="str">
        <f t="shared" si="8"/>
        <v>郑州政六街伊利全脂甜奶粉</v>
      </c>
      <c r="B548" s="3" t="s">
        <v>714</v>
      </c>
      <c r="C548" s="84">
        <v>44377</v>
      </c>
      <c r="D548" s="3" t="s">
        <v>430</v>
      </c>
      <c r="E548" s="3" t="s">
        <v>337</v>
      </c>
      <c r="F548" s="3" t="s">
        <v>337</v>
      </c>
      <c r="G548" s="70" t="s">
        <v>431</v>
      </c>
      <c r="H548" s="3" t="s">
        <v>432</v>
      </c>
      <c r="I548" s="3" t="s">
        <v>354</v>
      </c>
      <c r="J548" s="3">
        <v>58</v>
      </c>
      <c r="K548" s="3">
        <v>0</v>
      </c>
      <c r="L548" s="3">
        <v>37</v>
      </c>
      <c r="M548" s="3">
        <v>20</v>
      </c>
      <c r="N548" s="3">
        <v>21</v>
      </c>
      <c r="O548" s="70">
        <v>-1</v>
      </c>
      <c r="P548" s="3">
        <v>0</v>
      </c>
      <c r="Q548" s="3">
        <v>0</v>
      </c>
      <c r="R548" s="3">
        <v>1.2135</v>
      </c>
      <c r="S548" s="3">
        <v>-1.21</v>
      </c>
      <c r="T548" s="3">
        <v>24.27</v>
      </c>
      <c r="U548" s="3">
        <v>25.48</v>
      </c>
      <c r="V548" s="70" t="s">
        <v>591</v>
      </c>
      <c r="W548" s="3" t="s">
        <v>343</v>
      </c>
      <c r="X548" s="3" t="s">
        <v>337</v>
      </c>
      <c r="Y548" s="3" t="s">
        <v>337</v>
      </c>
    </row>
    <row r="549" spans="1:25" hidden="1" x14ac:dyDescent="0.2">
      <c r="A549" s="83" t="str">
        <f t="shared" si="8"/>
        <v>华山龙源伊利全脂甜奶粉</v>
      </c>
      <c r="B549" s="3" t="s">
        <v>705</v>
      </c>
      <c r="C549" s="84">
        <v>44377</v>
      </c>
      <c r="D549" s="3" t="s">
        <v>430</v>
      </c>
      <c r="E549" s="3" t="s">
        <v>337</v>
      </c>
      <c r="F549" s="3" t="s">
        <v>337</v>
      </c>
      <c r="G549" s="70" t="s">
        <v>431</v>
      </c>
      <c r="H549" s="3" t="s">
        <v>432</v>
      </c>
      <c r="I549" s="3" t="s">
        <v>354</v>
      </c>
      <c r="J549" s="3">
        <v>54</v>
      </c>
      <c r="K549" s="3">
        <v>40</v>
      </c>
      <c r="L549" s="3">
        <v>63</v>
      </c>
      <c r="M549" s="3">
        <v>31</v>
      </c>
      <c r="N549" s="3">
        <v>31</v>
      </c>
      <c r="O549" s="70">
        <v>0</v>
      </c>
      <c r="P549" s="3">
        <v>0</v>
      </c>
      <c r="Q549" s="3">
        <v>0</v>
      </c>
      <c r="R549" s="3">
        <v>1.2132259999999999</v>
      </c>
      <c r="S549" s="3">
        <v>0</v>
      </c>
      <c r="T549" s="3">
        <v>37.61</v>
      </c>
      <c r="U549" s="3">
        <v>37.61</v>
      </c>
      <c r="V549" s="70" t="s">
        <v>643</v>
      </c>
      <c r="W549" s="3" t="s">
        <v>343</v>
      </c>
      <c r="X549" s="3" t="s">
        <v>337</v>
      </c>
      <c r="Y549" s="3" t="s">
        <v>337</v>
      </c>
    </row>
    <row r="550" spans="1:25" hidden="1" x14ac:dyDescent="0.2">
      <c r="A550" s="83" t="str">
        <f t="shared" si="8"/>
        <v>郑州瀚海海尚伊利全脂甜奶粉</v>
      </c>
      <c r="B550" s="3" t="s">
        <v>706</v>
      </c>
      <c r="C550" s="84">
        <v>44377</v>
      </c>
      <c r="D550" s="3" t="s">
        <v>430</v>
      </c>
      <c r="E550" s="3" t="s">
        <v>337</v>
      </c>
      <c r="F550" s="3" t="s">
        <v>337</v>
      </c>
      <c r="G550" s="70" t="s">
        <v>431</v>
      </c>
      <c r="H550" s="3" t="s">
        <v>432</v>
      </c>
      <c r="I550" s="3" t="s">
        <v>354</v>
      </c>
      <c r="J550" s="3">
        <v>31</v>
      </c>
      <c r="K550" s="3">
        <v>100</v>
      </c>
      <c r="L550" s="3">
        <v>103</v>
      </c>
      <c r="M550" s="3">
        <v>27</v>
      </c>
      <c r="N550" s="3">
        <v>28</v>
      </c>
      <c r="O550" s="70">
        <v>-1</v>
      </c>
      <c r="P550" s="3">
        <v>0</v>
      </c>
      <c r="Q550" s="3">
        <v>0</v>
      </c>
      <c r="R550" s="3">
        <v>1.213333</v>
      </c>
      <c r="S550" s="3">
        <v>-1.21</v>
      </c>
      <c r="T550" s="3">
        <v>32.76</v>
      </c>
      <c r="U550" s="3">
        <v>33.97</v>
      </c>
      <c r="V550" s="70" t="s">
        <v>333</v>
      </c>
      <c r="W550" s="3" t="s">
        <v>343</v>
      </c>
      <c r="X550" s="3" t="s">
        <v>337</v>
      </c>
      <c r="Y550" s="3" t="s">
        <v>337</v>
      </c>
    </row>
    <row r="551" spans="1:25" hidden="1" x14ac:dyDescent="0.2">
      <c r="A551" s="83" t="str">
        <f t="shared" si="8"/>
        <v>郑州铁英街伊利全脂甜奶粉</v>
      </c>
      <c r="B551" s="3" t="s">
        <v>707</v>
      </c>
      <c r="C551" s="84">
        <v>44377</v>
      </c>
      <c r="D551" s="3" t="s">
        <v>430</v>
      </c>
      <c r="E551" s="3" t="s">
        <v>337</v>
      </c>
      <c r="F551" s="3" t="s">
        <v>337</v>
      </c>
      <c r="G551" s="70" t="s">
        <v>431</v>
      </c>
      <c r="H551" s="3" t="s">
        <v>432</v>
      </c>
      <c r="I551" s="3" t="s">
        <v>354</v>
      </c>
      <c r="J551" s="3">
        <v>27</v>
      </c>
      <c r="K551" s="3">
        <v>20</v>
      </c>
      <c r="L551" s="3">
        <v>30</v>
      </c>
      <c r="M551" s="3">
        <v>17</v>
      </c>
      <c r="N551" s="3">
        <v>17</v>
      </c>
      <c r="O551" s="70">
        <v>0</v>
      </c>
      <c r="P551" s="3">
        <v>0</v>
      </c>
      <c r="Q551" s="3">
        <v>0</v>
      </c>
      <c r="R551" s="3">
        <v>1.214118</v>
      </c>
      <c r="S551" s="3">
        <v>0</v>
      </c>
      <c r="T551" s="3">
        <v>20.64</v>
      </c>
      <c r="U551" s="3">
        <v>20.64</v>
      </c>
      <c r="V551" s="70" t="s">
        <v>592</v>
      </c>
      <c r="W551" s="3" t="s">
        <v>343</v>
      </c>
      <c r="X551" s="3" t="s">
        <v>337</v>
      </c>
      <c r="Y551" s="3" t="s">
        <v>337</v>
      </c>
    </row>
    <row r="552" spans="1:25" hidden="1" x14ac:dyDescent="0.2">
      <c r="A552" s="83" t="str">
        <f t="shared" si="8"/>
        <v>郑州西悦城伊利全脂甜奶粉</v>
      </c>
      <c r="B552" s="3" t="s">
        <v>708</v>
      </c>
      <c r="C552" s="84">
        <v>44377</v>
      </c>
      <c r="D552" s="3" t="s">
        <v>430</v>
      </c>
      <c r="E552" s="3" t="s">
        <v>337</v>
      </c>
      <c r="F552" s="3" t="s">
        <v>337</v>
      </c>
      <c r="G552" s="70" t="s">
        <v>431</v>
      </c>
      <c r="H552" s="3" t="s">
        <v>432</v>
      </c>
      <c r="I552" s="3" t="s">
        <v>354</v>
      </c>
      <c r="J552" s="3">
        <v>160</v>
      </c>
      <c r="K552" s="3">
        <v>0</v>
      </c>
      <c r="L552" s="3">
        <v>76</v>
      </c>
      <c r="M552" s="3">
        <v>84</v>
      </c>
      <c r="N552" s="3">
        <v>84</v>
      </c>
      <c r="O552" s="70">
        <v>0</v>
      </c>
      <c r="P552" s="3">
        <v>0</v>
      </c>
      <c r="Q552" s="3">
        <v>0</v>
      </c>
      <c r="R552" s="3">
        <v>1.213333</v>
      </c>
      <c r="S552" s="3">
        <v>0</v>
      </c>
      <c r="T552" s="3">
        <v>101.92</v>
      </c>
      <c r="U552" s="3">
        <v>101.92</v>
      </c>
      <c r="V552" s="70" t="s">
        <v>332</v>
      </c>
      <c r="W552" s="3" t="s">
        <v>343</v>
      </c>
      <c r="X552" s="3" t="s">
        <v>337</v>
      </c>
      <c r="Y552" s="3" t="s">
        <v>337</v>
      </c>
    </row>
    <row r="553" spans="1:25" hidden="1" x14ac:dyDescent="0.2">
      <c r="A553" s="83" t="str">
        <f t="shared" si="8"/>
        <v>新蔡水韵天街伊利全脂甜奶粉</v>
      </c>
      <c r="B553" s="3" t="s">
        <v>703</v>
      </c>
      <c r="C553" s="84">
        <v>44377</v>
      </c>
      <c r="D553" s="3" t="s">
        <v>430</v>
      </c>
      <c r="E553" s="3" t="s">
        <v>337</v>
      </c>
      <c r="F553" s="3" t="s">
        <v>337</v>
      </c>
      <c r="G553" s="70" t="s">
        <v>431</v>
      </c>
      <c r="H553" s="3" t="s">
        <v>432</v>
      </c>
      <c r="I553" s="3" t="s">
        <v>354</v>
      </c>
      <c r="J553" s="3">
        <v>185</v>
      </c>
      <c r="K553" s="3">
        <v>0</v>
      </c>
      <c r="L553" s="3">
        <v>90</v>
      </c>
      <c r="M553" s="3">
        <v>90</v>
      </c>
      <c r="N553" s="3">
        <v>95</v>
      </c>
      <c r="O553" s="70">
        <v>-5</v>
      </c>
      <c r="P553" s="3">
        <v>0</v>
      </c>
      <c r="Q553" s="3">
        <v>0</v>
      </c>
      <c r="R553" s="3">
        <v>1.213333</v>
      </c>
      <c r="S553" s="3">
        <v>-6.07</v>
      </c>
      <c r="T553" s="3">
        <v>109.2</v>
      </c>
      <c r="U553" s="3">
        <v>115.27</v>
      </c>
      <c r="V553" s="70" t="s">
        <v>335</v>
      </c>
      <c r="W553" s="3" t="s">
        <v>343</v>
      </c>
      <c r="X553" s="3" t="s">
        <v>337</v>
      </c>
      <c r="Y553" s="3" t="s">
        <v>337</v>
      </c>
    </row>
    <row r="554" spans="1:25" hidden="1" x14ac:dyDescent="0.2">
      <c r="A554" s="83" t="str">
        <f t="shared" si="8"/>
        <v>郑州康复中街伊利全脂甜奶粉</v>
      </c>
      <c r="B554" s="3" t="s">
        <v>704</v>
      </c>
      <c r="C554" s="84">
        <v>44377</v>
      </c>
      <c r="D554" s="3" t="s">
        <v>430</v>
      </c>
      <c r="E554" s="3" t="s">
        <v>337</v>
      </c>
      <c r="F554" s="3" t="s">
        <v>337</v>
      </c>
      <c r="G554" s="70" t="s">
        <v>431</v>
      </c>
      <c r="H554" s="3" t="s">
        <v>432</v>
      </c>
      <c r="I554" s="3" t="s">
        <v>354</v>
      </c>
      <c r="J554" s="3">
        <v>50</v>
      </c>
      <c r="K554" s="3">
        <v>40</v>
      </c>
      <c r="L554" s="3">
        <v>53</v>
      </c>
      <c r="M554" s="3">
        <v>37</v>
      </c>
      <c r="N554" s="3">
        <v>37</v>
      </c>
      <c r="O554" s="70">
        <v>0</v>
      </c>
      <c r="P554" s="3">
        <v>0</v>
      </c>
      <c r="Q554" s="3">
        <v>0</v>
      </c>
      <c r="R554" s="3">
        <v>1.2129730000000001</v>
      </c>
      <c r="S554" s="3">
        <v>0</v>
      </c>
      <c r="T554" s="3">
        <v>44.88</v>
      </c>
      <c r="U554" s="3">
        <v>44.88</v>
      </c>
      <c r="V554" s="70" t="s">
        <v>593</v>
      </c>
      <c r="W554" s="3" t="s">
        <v>343</v>
      </c>
      <c r="X554" s="3" t="s">
        <v>337</v>
      </c>
      <c r="Y554" s="3" t="s">
        <v>337</v>
      </c>
    </row>
    <row r="555" spans="1:25" hidden="1" x14ac:dyDescent="0.2">
      <c r="A555" s="83" t="str">
        <f t="shared" si="8"/>
        <v>郑州盛华里伊利全脂甜奶粉</v>
      </c>
      <c r="B555" s="3" t="s">
        <v>709</v>
      </c>
      <c r="C555" s="84">
        <v>44377</v>
      </c>
      <c r="D555" s="3" t="s">
        <v>430</v>
      </c>
      <c r="E555" s="3" t="s">
        <v>337</v>
      </c>
      <c r="F555" s="3" t="s">
        <v>337</v>
      </c>
      <c r="G555" s="70" t="s">
        <v>431</v>
      </c>
      <c r="H555" s="3" t="s">
        <v>432</v>
      </c>
      <c r="I555" s="3" t="s">
        <v>354</v>
      </c>
      <c r="J555" s="3">
        <v>61</v>
      </c>
      <c r="K555" s="3">
        <v>40</v>
      </c>
      <c r="L555" s="3">
        <v>15</v>
      </c>
      <c r="M555" s="3">
        <v>86</v>
      </c>
      <c r="N555" s="3">
        <v>86</v>
      </c>
      <c r="O555" s="70">
        <v>0</v>
      </c>
      <c r="P555" s="3">
        <v>0</v>
      </c>
      <c r="Q555" s="3">
        <v>0</v>
      </c>
      <c r="R555" s="3">
        <v>1.2133719999999999</v>
      </c>
      <c r="S555" s="3">
        <v>0</v>
      </c>
      <c r="T555" s="3">
        <v>104.35</v>
      </c>
      <c r="U555" s="3">
        <v>104.35</v>
      </c>
      <c r="V555" s="70" t="s">
        <v>637</v>
      </c>
      <c r="W555" s="3" t="s">
        <v>343</v>
      </c>
      <c r="X555" s="3" t="s">
        <v>337</v>
      </c>
      <c r="Y555" s="3" t="s">
        <v>337</v>
      </c>
    </row>
    <row r="556" spans="1:25" hidden="1" x14ac:dyDescent="0.2">
      <c r="A556" s="83" t="str">
        <f t="shared" si="8"/>
        <v>滑县滑台伊利全脂甜奶粉</v>
      </c>
      <c r="B556" s="3" t="s">
        <v>710</v>
      </c>
      <c r="C556" s="84">
        <v>44377</v>
      </c>
      <c r="D556" s="3" t="s">
        <v>430</v>
      </c>
      <c r="E556" s="3" t="s">
        <v>337</v>
      </c>
      <c r="F556" s="3" t="s">
        <v>337</v>
      </c>
      <c r="G556" s="70" t="s">
        <v>431</v>
      </c>
      <c r="H556" s="3" t="s">
        <v>432</v>
      </c>
      <c r="I556" s="3" t="s">
        <v>354</v>
      </c>
      <c r="J556" s="3">
        <v>107</v>
      </c>
      <c r="K556" s="3">
        <v>100</v>
      </c>
      <c r="L556" s="3">
        <v>73</v>
      </c>
      <c r="M556" s="3">
        <v>134</v>
      </c>
      <c r="N556" s="3">
        <v>134</v>
      </c>
      <c r="O556" s="70">
        <v>0</v>
      </c>
      <c r="P556" s="3">
        <v>0</v>
      </c>
      <c r="Q556" s="3">
        <v>0</v>
      </c>
      <c r="R556" s="3">
        <v>1.2133579999999999</v>
      </c>
      <c r="S556" s="3">
        <v>0</v>
      </c>
      <c r="T556" s="3">
        <v>162.59</v>
      </c>
      <c r="U556" s="3">
        <v>162.59</v>
      </c>
      <c r="V556" s="70" t="s">
        <v>639</v>
      </c>
      <c r="W556" s="3" t="s">
        <v>343</v>
      </c>
      <c r="X556" s="3" t="s">
        <v>337</v>
      </c>
      <c r="Y556" s="3" t="s">
        <v>337</v>
      </c>
    </row>
    <row r="557" spans="1:25" hidden="1" x14ac:dyDescent="0.2">
      <c r="A557" s="83" t="str">
        <f t="shared" si="8"/>
        <v>方城锦城国际伊利全脂甜奶粉</v>
      </c>
      <c r="B557" s="3" t="s">
        <v>712</v>
      </c>
      <c r="C557" s="84">
        <v>44377</v>
      </c>
      <c r="D557" s="3" t="s">
        <v>430</v>
      </c>
      <c r="E557" s="3" t="s">
        <v>337</v>
      </c>
      <c r="F557" s="3" t="s">
        <v>337</v>
      </c>
      <c r="G557" s="70" t="s">
        <v>431</v>
      </c>
      <c r="H557" s="3" t="s">
        <v>432</v>
      </c>
      <c r="I557" s="3" t="s">
        <v>354</v>
      </c>
      <c r="J557" s="3">
        <v>107</v>
      </c>
      <c r="K557" s="3">
        <v>100</v>
      </c>
      <c r="L557" s="3">
        <v>148</v>
      </c>
      <c r="M557" s="3">
        <v>59</v>
      </c>
      <c r="N557" s="3">
        <v>59</v>
      </c>
      <c r="O557" s="70">
        <v>0</v>
      </c>
      <c r="P557" s="3">
        <v>0</v>
      </c>
      <c r="Q557" s="3">
        <v>0</v>
      </c>
      <c r="R557" s="3">
        <v>1.21339</v>
      </c>
      <c r="S557" s="3">
        <v>0</v>
      </c>
      <c r="T557" s="3">
        <v>71.59</v>
      </c>
      <c r="U557" s="3">
        <v>71.59</v>
      </c>
      <c r="V557" s="70" t="s">
        <v>594</v>
      </c>
      <c r="W557" s="3" t="s">
        <v>343</v>
      </c>
      <c r="X557" s="3" t="s">
        <v>337</v>
      </c>
      <c r="Y557" s="3" t="s">
        <v>337</v>
      </c>
    </row>
    <row r="558" spans="1:25" hidden="1" x14ac:dyDescent="0.2">
      <c r="A558" s="83" t="str">
        <f t="shared" si="8"/>
        <v>清丰凤鸣伊利全脂甜奶粉</v>
      </c>
      <c r="B558" s="3" t="s">
        <v>713</v>
      </c>
      <c r="C558" s="84">
        <v>44377</v>
      </c>
      <c r="D558" s="3" t="s">
        <v>430</v>
      </c>
      <c r="E558" s="3" t="s">
        <v>337</v>
      </c>
      <c r="F558" s="3" t="s">
        <v>337</v>
      </c>
      <c r="G558" s="70" t="s">
        <v>431</v>
      </c>
      <c r="H558" s="3" t="s">
        <v>432</v>
      </c>
      <c r="I558" s="3" t="s">
        <v>354</v>
      </c>
      <c r="J558" s="3">
        <v>30</v>
      </c>
      <c r="K558" s="3">
        <v>60</v>
      </c>
      <c r="L558" s="3">
        <v>43</v>
      </c>
      <c r="M558" s="3">
        <v>47</v>
      </c>
      <c r="N558" s="3">
        <v>47</v>
      </c>
      <c r="O558" s="70">
        <v>0</v>
      </c>
      <c r="P558" s="3">
        <v>0</v>
      </c>
      <c r="Q558" s="3">
        <v>0</v>
      </c>
      <c r="R558" s="3">
        <v>1.2134039999999999</v>
      </c>
      <c r="S558" s="3">
        <v>0</v>
      </c>
      <c r="T558" s="3">
        <v>57.03</v>
      </c>
      <c r="U558" s="3">
        <v>57.03</v>
      </c>
      <c r="V558" s="70" t="s">
        <v>334</v>
      </c>
      <c r="W558" s="3" t="s">
        <v>343</v>
      </c>
      <c r="X558" s="3" t="s">
        <v>337</v>
      </c>
      <c r="Y558" s="3" t="s">
        <v>337</v>
      </c>
    </row>
    <row r="559" spans="1:25" hidden="1" x14ac:dyDescent="0.2">
      <c r="A559" s="83" t="str">
        <f t="shared" si="8"/>
        <v>郑州裕华伊利全脂甜奶粉</v>
      </c>
      <c r="B559" s="3" t="s">
        <v>711</v>
      </c>
      <c r="C559" s="84">
        <v>44377</v>
      </c>
      <c r="D559" s="3" t="s">
        <v>430</v>
      </c>
      <c r="E559" s="3" t="s">
        <v>337</v>
      </c>
      <c r="F559" s="3" t="s">
        <v>337</v>
      </c>
      <c r="G559" s="70" t="s">
        <v>431</v>
      </c>
      <c r="H559" s="3" t="s">
        <v>432</v>
      </c>
      <c r="I559" s="3" t="s">
        <v>354</v>
      </c>
      <c r="J559" s="3">
        <v>44</v>
      </c>
      <c r="K559" s="3">
        <v>40</v>
      </c>
      <c r="L559" s="3">
        <v>66</v>
      </c>
      <c r="M559" s="3">
        <v>10</v>
      </c>
      <c r="N559" s="3">
        <v>18</v>
      </c>
      <c r="O559" s="70">
        <v>-8</v>
      </c>
      <c r="P559" s="3">
        <v>0</v>
      </c>
      <c r="Q559" s="3">
        <v>0</v>
      </c>
      <c r="R559" s="3">
        <v>1.2130000000000001</v>
      </c>
      <c r="S559" s="3">
        <v>-9.6999999999999993</v>
      </c>
      <c r="T559" s="3">
        <v>12.13</v>
      </c>
      <c r="U559" s="3">
        <v>21.83</v>
      </c>
      <c r="V559" s="70" t="s">
        <v>641</v>
      </c>
      <c r="W559" s="3" t="s">
        <v>343</v>
      </c>
      <c r="X559" s="3" t="s">
        <v>337</v>
      </c>
      <c r="Y559" s="3" t="s">
        <v>337</v>
      </c>
    </row>
    <row r="560" spans="1:25" hidden="1" x14ac:dyDescent="0.2">
      <c r="A560" s="83" t="str">
        <f t="shared" si="8"/>
        <v>郑州裕华阿华田咖啡（新）</v>
      </c>
      <c r="B560" s="3" t="s">
        <v>711</v>
      </c>
      <c r="C560" s="84">
        <v>44377</v>
      </c>
      <c r="D560" s="3" t="s">
        <v>433</v>
      </c>
      <c r="E560" s="3" t="s">
        <v>337</v>
      </c>
      <c r="F560" s="3" t="s">
        <v>337</v>
      </c>
      <c r="G560" s="70" t="s">
        <v>434</v>
      </c>
      <c r="H560" s="3" t="s">
        <v>435</v>
      </c>
      <c r="I560" s="3" t="s">
        <v>354</v>
      </c>
      <c r="J560" s="3">
        <v>29</v>
      </c>
      <c r="K560" s="3">
        <v>0</v>
      </c>
      <c r="L560" s="3">
        <v>12</v>
      </c>
      <c r="M560" s="3">
        <v>17</v>
      </c>
      <c r="N560" s="3">
        <v>17</v>
      </c>
      <c r="O560" s="70">
        <v>0</v>
      </c>
      <c r="P560" s="3">
        <v>0</v>
      </c>
      <c r="Q560" s="3">
        <v>0</v>
      </c>
      <c r="R560" s="3">
        <v>1.1588240000000001</v>
      </c>
      <c r="S560" s="3">
        <v>0</v>
      </c>
      <c r="T560" s="3">
        <v>19.7</v>
      </c>
      <c r="U560" s="3">
        <v>19.7</v>
      </c>
      <c r="V560" s="70" t="s">
        <v>641</v>
      </c>
      <c r="W560" s="3" t="s">
        <v>343</v>
      </c>
      <c r="X560" s="3" t="s">
        <v>337</v>
      </c>
      <c r="Y560" s="3" t="s">
        <v>337</v>
      </c>
    </row>
    <row r="561" spans="1:25" hidden="1" x14ac:dyDescent="0.2">
      <c r="A561" s="83" t="str">
        <f t="shared" si="8"/>
        <v>方城锦城国际阿华田咖啡（新）</v>
      </c>
      <c r="B561" s="3" t="s">
        <v>712</v>
      </c>
      <c r="C561" s="84">
        <v>44377</v>
      </c>
      <c r="D561" s="3" t="s">
        <v>433</v>
      </c>
      <c r="E561" s="3" t="s">
        <v>337</v>
      </c>
      <c r="F561" s="3" t="s">
        <v>337</v>
      </c>
      <c r="G561" s="70" t="s">
        <v>434</v>
      </c>
      <c r="H561" s="3" t="s">
        <v>435</v>
      </c>
      <c r="I561" s="3" t="s">
        <v>354</v>
      </c>
      <c r="J561" s="3">
        <v>18</v>
      </c>
      <c r="K561" s="3">
        <v>0</v>
      </c>
      <c r="L561" s="3">
        <v>10</v>
      </c>
      <c r="M561" s="3">
        <v>8</v>
      </c>
      <c r="N561" s="3">
        <v>8</v>
      </c>
      <c r="O561" s="70">
        <v>0</v>
      </c>
      <c r="P561" s="3">
        <v>0</v>
      </c>
      <c r="Q561" s="3">
        <v>0</v>
      </c>
      <c r="R561" s="3">
        <v>1.1587499999999999</v>
      </c>
      <c r="S561" s="3">
        <v>0</v>
      </c>
      <c r="T561" s="3">
        <v>9.27</v>
      </c>
      <c r="U561" s="3">
        <v>9.27</v>
      </c>
      <c r="V561" s="70" t="s">
        <v>594</v>
      </c>
      <c r="W561" s="3" t="s">
        <v>343</v>
      </c>
      <c r="X561" s="3" t="s">
        <v>337</v>
      </c>
      <c r="Y561" s="3" t="s">
        <v>337</v>
      </c>
    </row>
    <row r="562" spans="1:25" hidden="1" x14ac:dyDescent="0.2">
      <c r="A562" s="83" t="str">
        <f t="shared" si="8"/>
        <v>清丰凤鸣阿华田咖啡（新）</v>
      </c>
      <c r="B562" s="3" t="s">
        <v>713</v>
      </c>
      <c r="C562" s="84">
        <v>44377</v>
      </c>
      <c r="D562" s="3" t="s">
        <v>433</v>
      </c>
      <c r="E562" s="3" t="s">
        <v>337</v>
      </c>
      <c r="F562" s="3" t="s">
        <v>337</v>
      </c>
      <c r="G562" s="70" t="s">
        <v>434</v>
      </c>
      <c r="H562" s="3" t="s">
        <v>435</v>
      </c>
      <c r="I562" s="3" t="s">
        <v>354</v>
      </c>
      <c r="J562" s="3">
        <v>37</v>
      </c>
      <c r="K562" s="3">
        <v>0</v>
      </c>
      <c r="L562" s="3">
        <v>5</v>
      </c>
      <c r="M562" s="3">
        <v>32</v>
      </c>
      <c r="N562" s="3">
        <v>32</v>
      </c>
      <c r="O562" s="70">
        <v>0</v>
      </c>
      <c r="P562" s="3">
        <v>0</v>
      </c>
      <c r="Q562" s="3">
        <v>0</v>
      </c>
      <c r="R562" s="3">
        <v>1.1584380000000001</v>
      </c>
      <c r="S562" s="3">
        <v>0</v>
      </c>
      <c r="T562" s="3">
        <v>37.07</v>
      </c>
      <c r="U562" s="3">
        <v>37.07</v>
      </c>
      <c r="V562" s="70" t="s">
        <v>334</v>
      </c>
      <c r="W562" s="3" t="s">
        <v>343</v>
      </c>
      <c r="X562" s="3" t="s">
        <v>337</v>
      </c>
      <c r="Y562" s="3" t="s">
        <v>337</v>
      </c>
    </row>
    <row r="563" spans="1:25" hidden="1" x14ac:dyDescent="0.2">
      <c r="A563" s="83" t="str">
        <f t="shared" si="8"/>
        <v>滑县滑台阿华田咖啡（新）</v>
      </c>
      <c r="B563" s="3" t="s">
        <v>710</v>
      </c>
      <c r="C563" s="84">
        <v>44377</v>
      </c>
      <c r="D563" s="3" t="s">
        <v>433</v>
      </c>
      <c r="E563" s="3" t="s">
        <v>337</v>
      </c>
      <c r="F563" s="3" t="s">
        <v>337</v>
      </c>
      <c r="G563" s="70" t="s">
        <v>434</v>
      </c>
      <c r="H563" s="3" t="s">
        <v>435</v>
      </c>
      <c r="I563" s="3" t="s">
        <v>354</v>
      </c>
      <c r="J563" s="3">
        <v>27</v>
      </c>
      <c r="K563" s="3">
        <v>0</v>
      </c>
      <c r="L563" s="3">
        <v>4</v>
      </c>
      <c r="M563" s="3">
        <v>23</v>
      </c>
      <c r="N563" s="3">
        <v>23</v>
      </c>
      <c r="O563" s="70">
        <v>0</v>
      </c>
      <c r="P563" s="3">
        <v>0</v>
      </c>
      <c r="Q563" s="3">
        <v>0</v>
      </c>
      <c r="R563" s="3">
        <v>1.1586959999999999</v>
      </c>
      <c r="S563" s="3">
        <v>0</v>
      </c>
      <c r="T563" s="3">
        <v>26.65</v>
      </c>
      <c r="U563" s="3">
        <v>26.65</v>
      </c>
      <c r="V563" s="70" t="s">
        <v>639</v>
      </c>
      <c r="W563" s="3" t="s">
        <v>343</v>
      </c>
      <c r="X563" s="3" t="s">
        <v>337</v>
      </c>
      <c r="Y563" s="3" t="s">
        <v>337</v>
      </c>
    </row>
    <row r="564" spans="1:25" hidden="1" x14ac:dyDescent="0.2">
      <c r="A564" s="83" t="str">
        <f t="shared" si="8"/>
        <v>郑州盛华里阿华田咖啡（新）</v>
      </c>
      <c r="B564" s="3" t="s">
        <v>709</v>
      </c>
      <c r="C564" s="84">
        <v>44377</v>
      </c>
      <c r="D564" s="3" t="s">
        <v>433</v>
      </c>
      <c r="E564" s="3" t="s">
        <v>337</v>
      </c>
      <c r="F564" s="3" t="s">
        <v>337</v>
      </c>
      <c r="G564" s="70" t="s">
        <v>434</v>
      </c>
      <c r="H564" s="3" t="s">
        <v>435</v>
      </c>
      <c r="I564" s="3" t="s">
        <v>354</v>
      </c>
      <c r="J564" s="3">
        <v>55</v>
      </c>
      <c r="K564" s="3">
        <v>0</v>
      </c>
      <c r="L564" s="3">
        <v>9</v>
      </c>
      <c r="M564" s="3">
        <v>46</v>
      </c>
      <c r="N564" s="3">
        <v>46</v>
      </c>
      <c r="O564" s="70">
        <v>0</v>
      </c>
      <c r="P564" s="3">
        <v>0</v>
      </c>
      <c r="Q564" s="3">
        <v>0</v>
      </c>
      <c r="R564" s="3">
        <v>1.1589130000000001</v>
      </c>
      <c r="S564" s="3">
        <v>0</v>
      </c>
      <c r="T564" s="3">
        <v>53.31</v>
      </c>
      <c r="U564" s="3">
        <v>53.31</v>
      </c>
      <c r="V564" s="70" t="s">
        <v>637</v>
      </c>
      <c r="W564" s="3" t="s">
        <v>343</v>
      </c>
      <c r="X564" s="3" t="s">
        <v>337</v>
      </c>
      <c r="Y564" s="3" t="s">
        <v>337</v>
      </c>
    </row>
    <row r="565" spans="1:25" hidden="1" x14ac:dyDescent="0.2">
      <c r="A565" s="83" t="str">
        <f t="shared" si="8"/>
        <v>郑州康复中街阿华田咖啡（新）</v>
      </c>
      <c r="B565" s="3" t="s">
        <v>704</v>
      </c>
      <c r="C565" s="84">
        <v>44377</v>
      </c>
      <c r="D565" s="3" t="s">
        <v>433</v>
      </c>
      <c r="E565" s="3" t="s">
        <v>337</v>
      </c>
      <c r="F565" s="3" t="s">
        <v>337</v>
      </c>
      <c r="G565" s="70" t="s">
        <v>434</v>
      </c>
      <c r="H565" s="3" t="s">
        <v>435</v>
      </c>
      <c r="I565" s="3" t="s">
        <v>354</v>
      </c>
      <c r="J565" s="3">
        <v>29</v>
      </c>
      <c r="K565" s="3">
        <v>0</v>
      </c>
      <c r="L565" s="3">
        <v>31</v>
      </c>
      <c r="M565" s="3">
        <v>0</v>
      </c>
      <c r="N565" s="3">
        <v>-2</v>
      </c>
      <c r="O565" s="70">
        <v>2</v>
      </c>
      <c r="P565" s="3">
        <v>0</v>
      </c>
      <c r="Q565" s="3">
        <v>0</v>
      </c>
      <c r="R565" s="3">
        <v>1.1586209999999999</v>
      </c>
      <c r="S565" s="3">
        <v>2.3199999999999998</v>
      </c>
      <c r="T565" s="3">
        <v>0</v>
      </c>
      <c r="U565" s="3">
        <v>-2.3199999999999998</v>
      </c>
      <c r="V565" s="70" t="s">
        <v>593</v>
      </c>
      <c r="W565" s="3" t="s">
        <v>343</v>
      </c>
      <c r="X565" s="3" t="s">
        <v>337</v>
      </c>
      <c r="Y565" s="3" t="s">
        <v>337</v>
      </c>
    </row>
    <row r="566" spans="1:25" hidden="1" x14ac:dyDescent="0.2">
      <c r="A566" s="83" t="str">
        <f t="shared" si="8"/>
        <v>新蔡水韵天街阿华田咖啡（新）</v>
      </c>
      <c r="B566" s="3" t="s">
        <v>703</v>
      </c>
      <c r="C566" s="84">
        <v>44377</v>
      </c>
      <c r="D566" s="3" t="s">
        <v>433</v>
      </c>
      <c r="E566" s="3" t="s">
        <v>337</v>
      </c>
      <c r="F566" s="3" t="s">
        <v>337</v>
      </c>
      <c r="G566" s="70" t="s">
        <v>434</v>
      </c>
      <c r="H566" s="3" t="s">
        <v>435</v>
      </c>
      <c r="I566" s="3" t="s">
        <v>354</v>
      </c>
      <c r="J566" s="3">
        <v>44</v>
      </c>
      <c r="K566" s="3">
        <v>0</v>
      </c>
      <c r="L566" s="3">
        <v>9</v>
      </c>
      <c r="M566" s="3">
        <v>35</v>
      </c>
      <c r="N566" s="3">
        <v>35</v>
      </c>
      <c r="O566" s="70">
        <v>0</v>
      </c>
      <c r="P566" s="3">
        <v>0</v>
      </c>
      <c r="Q566" s="3">
        <v>0</v>
      </c>
      <c r="R566" s="3">
        <v>1.158571</v>
      </c>
      <c r="S566" s="3">
        <v>0</v>
      </c>
      <c r="T566" s="3">
        <v>40.549999999999997</v>
      </c>
      <c r="U566" s="3">
        <v>40.549999999999997</v>
      </c>
      <c r="V566" s="70" t="s">
        <v>335</v>
      </c>
      <c r="W566" s="3" t="s">
        <v>343</v>
      </c>
      <c r="X566" s="3" t="s">
        <v>337</v>
      </c>
      <c r="Y566" s="3" t="s">
        <v>337</v>
      </c>
    </row>
    <row r="567" spans="1:25" hidden="1" x14ac:dyDescent="0.2">
      <c r="A567" s="83" t="str">
        <f t="shared" si="8"/>
        <v>郑州西悦城阿华田咖啡（新）</v>
      </c>
      <c r="B567" s="3" t="s">
        <v>708</v>
      </c>
      <c r="C567" s="84">
        <v>44377</v>
      </c>
      <c r="D567" s="3" t="s">
        <v>433</v>
      </c>
      <c r="E567" s="3" t="s">
        <v>337</v>
      </c>
      <c r="F567" s="3" t="s">
        <v>337</v>
      </c>
      <c r="G567" s="70" t="s">
        <v>434</v>
      </c>
      <c r="H567" s="3" t="s">
        <v>435</v>
      </c>
      <c r="I567" s="3" t="s">
        <v>354</v>
      </c>
      <c r="J567" s="3">
        <v>40</v>
      </c>
      <c r="K567" s="3">
        <v>0</v>
      </c>
      <c r="L567" s="3">
        <v>10</v>
      </c>
      <c r="M567" s="3">
        <v>30</v>
      </c>
      <c r="N567" s="3">
        <v>30</v>
      </c>
      <c r="O567" s="70">
        <v>0</v>
      </c>
      <c r="P567" s="3">
        <v>0</v>
      </c>
      <c r="Q567" s="3">
        <v>0</v>
      </c>
      <c r="R567" s="3">
        <v>1.1583330000000001</v>
      </c>
      <c r="S567" s="3">
        <v>0</v>
      </c>
      <c r="T567" s="3">
        <v>34.75</v>
      </c>
      <c r="U567" s="3">
        <v>34.75</v>
      </c>
      <c r="V567" s="70" t="s">
        <v>332</v>
      </c>
      <c r="W567" s="3" t="s">
        <v>343</v>
      </c>
      <c r="X567" s="3" t="s">
        <v>337</v>
      </c>
      <c r="Y567" s="3" t="s">
        <v>337</v>
      </c>
    </row>
    <row r="568" spans="1:25" hidden="1" x14ac:dyDescent="0.2">
      <c r="A568" s="83" t="str">
        <f t="shared" si="8"/>
        <v>郑州铁英街阿华田咖啡（新）</v>
      </c>
      <c r="B568" s="3" t="s">
        <v>707</v>
      </c>
      <c r="C568" s="84">
        <v>44377</v>
      </c>
      <c r="D568" s="3" t="s">
        <v>433</v>
      </c>
      <c r="E568" s="3" t="s">
        <v>337</v>
      </c>
      <c r="F568" s="3" t="s">
        <v>337</v>
      </c>
      <c r="G568" s="70" t="s">
        <v>434</v>
      </c>
      <c r="H568" s="3" t="s">
        <v>435</v>
      </c>
      <c r="I568" s="3" t="s">
        <v>354</v>
      </c>
      <c r="J568" s="3">
        <v>27</v>
      </c>
      <c r="K568" s="3">
        <v>0</v>
      </c>
      <c r="L568" s="3">
        <v>6</v>
      </c>
      <c r="M568" s="3">
        <v>21</v>
      </c>
      <c r="N568" s="3">
        <v>21</v>
      </c>
      <c r="O568" s="70">
        <v>0</v>
      </c>
      <c r="P568" s="3">
        <v>0</v>
      </c>
      <c r="Q568" s="3">
        <v>0</v>
      </c>
      <c r="R568" s="3">
        <v>1.1580950000000001</v>
      </c>
      <c r="S568" s="3">
        <v>0</v>
      </c>
      <c r="T568" s="3">
        <v>24.32</v>
      </c>
      <c r="U568" s="3">
        <v>24.32</v>
      </c>
      <c r="V568" s="70" t="s">
        <v>592</v>
      </c>
      <c r="W568" s="3" t="s">
        <v>343</v>
      </c>
      <c r="X568" s="3" t="s">
        <v>337</v>
      </c>
      <c r="Y568" s="3" t="s">
        <v>337</v>
      </c>
    </row>
    <row r="569" spans="1:25" hidden="1" x14ac:dyDescent="0.2">
      <c r="A569" s="83" t="str">
        <f t="shared" si="8"/>
        <v>郑州瀚海海尚阿华田咖啡（新）</v>
      </c>
      <c r="B569" s="3" t="s">
        <v>706</v>
      </c>
      <c r="C569" s="84">
        <v>44377</v>
      </c>
      <c r="D569" s="3" t="s">
        <v>433</v>
      </c>
      <c r="E569" s="3" t="s">
        <v>337</v>
      </c>
      <c r="F569" s="3" t="s">
        <v>337</v>
      </c>
      <c r="G569" s="70" t="s">
        <v>434</v>
      </c>
      <c r="H569" s="3" t="s">
        <v>435</v>
      </c>
      <c r="I569" s="3" t="s">
        <v>354</v>
      </c>
      <c r="J569" s="3">
        <v>35</v>
      </c>
      <c r="K569" s="3">
        <v>0</v>
      </c>
      <c r="L569" s="3">
        <v>11</v>
      </c>
      <c r="M569" s="3">
        <v>25</v>
      </c>
      <c r="N569" s="3">
        <v>24</v>
      </c>
      <c r="O569" s="70">
        <v>1</v>
      </c>
      <c r="P569" s="3">
        <v>0</v>
      </c>
      <c r="Q569" s="3">
        <v>0</v>
      </c>
      <c r="R569" s="3">
        <v>1.1584000000000001</v>
      </c>
      <c r="S569" s="3">
        <v>1.1599999999999999</v>
      </c>
      <c r="T569" s="3">
        <v>28.96</v>
      </c>
      <c r="U569" s="3">
        <v>27.8</v>
      </c>
      <c r="V569" s="70" t="s">
        <v>333</v>
      </c>
      <c r="W569" s="3" t="s">
        <v>343</v>
      </c>
      <c r="X569" s="3" t="s">
        <v>337</v>
      </c>
      <c r="Y569" s="3" t="s">
        <v>337</v>
      </c>
    </row>
    <row r="570" spans="1:25" hidden="1" x14ac:dyDescent="0.2">
      <c r="A570" s="83" t="str">
        <f t="shared" si="8"/>
        <v>华山龙源阿华田咖啡（新）</v>
      </c>
      <c r="B570" s="3" t="s">
        <v>705</v>
      </c>
      <c r="C570" s="84">
        <v>44377</v>
      </c>
      <c r="D570" s="3" t="s">
        <v>433</v>
      </c>
      <c r="E570" s="3" t="s">
        <v>337</v>
      </c>
      <c r="F570" s="3" t="s">
        <v>337</v>
      </c>
      <c r="G570" s="70" t="s">
        <v>434</v>
      </c>
      <c r="H570" s="3" t="s">
        <v>435</v>
      </c>
      <c r="I570" s="3" t="s">
        <v>354</v>
      </c>
      <c r="J570" s="3">
        <v>15</v>
      </c>
      <c r="K570" s="3">
        <v>30</v>
      </c>
      <c r="L570" s="3">
        <v>19</v>
      </c>
      <c r="M570" s="3">
        <v>26</v>
      </c>
      <c r="N570" s="3">
        <v>26</v>
      </c>
      <c r="O570" s="70">
        <v>0</v>
      </c>
      <c r="P570" s="3">
        <v>0</v>
      </c>
      <c r="Q570" s="3">
        <v>0</v>
      </c>
      <c r="R570" s="3">
        <v>1.1584620000000001</v>
      </c>
      <c r="S570" s="3">
        <v>0</v>
      </c>
      <c r="T570" s="3">
        <v>30.12</v>
      </c>
      <c r="U570" s="3">
        <v>30.12</v>
      </c>
      <c r="V570" s="70" t="s">
        <v>643</v>
      </c>
      <c r="W570" s="3" t="s">
        <v>343</v>
      </c>
      <c r="X570" s="3" t="s">
        <v>337</v>
      </c>
      <c r="Y570" s="3" t="s">
        <v>337</v>
      </c>
    </row>
    <row r="571" spans="1:25" hidden="1" x14ac:dyDescent="0.2">
      <c r="A571" s="83" t="str">
        <f t="shared" si="8"/>
        <v>郑州政六街阿华田咖啡（新）</v>
      </c>
      <c r="B571" s="3" t="s">
        <v>714</v>
      </c>
      <c r="C571" s="84">
        <v>44377</v>
      </c>
      <c r="D571" s="3" t="s">
        <v>433</v>
      </c>
      <c r="E571" s="3" t="s">
        <v>337</v>
      </c>
      <c r="F571" s="3" t="s">
        <v>337</v>
      </c>
      <c r="G571" s="70" t="s">
        <v>434</v>
      </c>
      <c r="H571" s="3" t="s">
        <v>435</v>
      </c>
      <c r="I571" s="3" t="s">
        <v>354</v>
      </c>
      <c r="J571" s="3">
        <v>35</v>
      </c>
      <c r="K571" s="3">
        <v>0</v>
      </c>
      <c r="L571" s="3">
        <v>14</v>
      </c>
      <c r="M571" s="3">
        <v>20</v>
      </c>
      <c r="N571" s="3">
        <v>21</v>
      </c>
      <c r="O571" s="70">
        <v>-1</v>
      </c>
      <c r="P571" s="3">
        <v>0</v>
      </c>
      <c r="Q571" s="3">
        <v>0</v>
      </c>
      <c r="R571" s="3">
        <v>1.1585000000000001</v>
      </c>
      <c r="S571" s="3">
        <v>-1.1599999999999999</v>
      </c>
      <c r="T571" s="3">
        <v>23.17</v>
      </c>
      <c r="U571" s="3">
        <v>24.33</v>
      </c>
      <c r="V571" s="70" t="s">
        <v>591</v>
      </c>
      <c r="W571" s="3" t="s">
        <v>343</v>
      </c>
      <c r="X571" s="3" t="s">
        <v>337</v>
      </c>
      <c r="Y571" s="3" t="s">
        <v>337</v>
      </c>
    </row>
    <row r="572" spans="1:25" hidden="1" x14ac:dyDescent="0.2">
      <c r="A572" s="83" t="str">
        <f t="shared" si="8"/>
        <v>郑州政六街包装甜豆浆粉</v>
      </c>
      <c r="B572" s="3" t="s">
        <v>714</v>
      </c>
      <c r="C572" s="84">
        <v>44377</v>
      </c>
      <c r="D572" s="3" t="s">
        <v>436</v>
      </c>
      <c r="E572" s="3" t="s">
        <v>337</v>
      </c>
      <c r="F572" s="3" t="s">
        <v>337</v>
      </c>
      <c r="G572" s="70" t="s">
        <v>437</v>
      </c>
      <c r="H572" s="3" t="s">
        <v>438</v>
      </c>
      <c r="I572" s="3" t="s">
        <v>354</v>
      </c>
      <c r="J572" s="3">
        <v>85</v>
      </c>
      <c r="K572" s="3">
        <v>0</v>
      </c>
      <c r="L572" s="3">
        <v>71</v>
      </c>
      <c r="M572" s="3">
        <v>11</v>
      </c>
      <c r="N572" s="3">
        <v>14</v>
      </c>
      <c r="O572" s="70">
        <v>-3</v>
      </c>
      <c r="P572" s="3">
        <v>0</v>
      </c>
      <c r="Q572" s="3">
        <v>0</v>
      </c>
      <c r="R572" s="3">
        <v>0.57999999999999996</v>
      </c>
      <c r="S572" s="3">
        <v>-1.74</v>
      </c>
      <c r="T572" s="3">
        <v>6.38</v>
      </c>
      <c r="U572" s="3">
        <v>8.1199999999999992</v>
      </c>
      <c r="V572" s="70" t="s">
        <v>591</v>
      </c>
      <c r="W572" s="3" t="s">
        <v>343</v>
      </c>
      <c r="X572" s="3" t="s">
        <v>337</v>
      </c>
      <c r="Y572" s="3" t="s">
        <v>337</v>
      </c>
    </row>
    <row r="573" spans="1:25" hidden="1" x14ac:dyDescent="0.2">
      <c r="A573" s="83" t="str">
        <f t="shared" si="8"/>
        <v>华山龙源包装甜豆浆粉</v>
      </c>
      <c r="B573" s="3" t="s">
        <v>705</v>
      </c>
      <c r="C573" s="84">
        <v>44377</v>
      </c>
      <c r="D573" s="3" t="s">
        <v>436</v>
      </c>
      <c r="E573" s="3" t="s">
        <v>337</v>
      </c>
      <c r="F573" s="3" t="s">
        <v>337</v>
      </c>
      <c r="G573" s="70" t="s">
        <v>437</v>
      </c>
      <c r="H573" s="3" t="s">
        <v>438</v>
      </c>
      <c r="I573" s="3" t="s">
        <v>354</v>
      </c>
      <c r="J573" s="3">
        <v>178</v>
      </c>
      <c r="K573" s="3">
        <v>0</v>
      </c>
      <c r="L573" s="3">
        <v>126</v>
      </c>
      <c r="M573" s="3">
        <v>52</v>
      </c>
      <c r="N573" s="3">
        <v>52</v>
      </c>
      <c r="O573" s="70">
        <v>0</v>
      </c>
      <c r="P573" s="3">
        <v>0</v>
      </c>
      <c r="Q573" s="3">
        <v>0</v>
      </c>
      <c r="R573" s="3">
        <v>0.57999999999999996</v>
      </c>
      <c r="S573" s="3">
        <v>0</v>
      </c>
      <c r="T573" s="3">
        <v>30.16</v>
      </c>
      <c r="U573" s="3">
        <v>30.16</v>
      </c>
      <c r="V573" s="70" t="s">
        <v>643</v>
      </c>
      <c r="W573" s="3" t="s">
        <v>343</v>
      </c>
      <c r="X573" s="3" t="s">
        <v>337</v>
      </c>
      <c r="Y573" s="3" t="s">
        <v>337</v>
      </c>
    </row>
    <row r="574" spans="1:25" hidden="1" x14ac:dyDescent="0.2">
      <c r="A574" s="83" t="str">
        <f t="shared" si="8"/>
        <v>郑州瀚海海尚包装甜豆浆粉</v>
      </c>
      <c r="B574" s="3" t="s">
        <v>706</v>
      </c>
      <c r="C574" s="84">
        <v>44377</v>
      </c>
      <c r="D574" s="3" t="s">
        <v>436</v>
      </c>
      <c r="E574" s="3" t="s">
        <v>337</v>
      </c>
      <c r="F574" s="3" t="s">
        <v>337</v>
      </c>
      <c r="G574" s="70" t="s">
        <v>437</v>
      </c>
      <c r="H574" s="3" t="s">
        <v>438</v>
      </c>
      <c r="I574" s="3" t="s">
        <v>354</v>
      </c>
      <c r="J574" s="3">
        <v>150</v>
      </c>
      <c r="K574" s="3">
        <v>0</v>
      </c>
      <c r="L574" s="3">
        <v>104</v>
      </c>
      <c r="M574" s="3">
        <v>44</v>
      </c>
      <c r="N574" s="3">
        <v>46</v>
      </c>
      <c r="O574" s="70">
        <v>-2</v>
      </c>
      <c r="P574" s="3">
        <v>0</v>
      </c>
      <c r="Q574" s="3">
        <v>0</v>
      </c>
      <c r="R574" s="3">
        <v>0.57999999999999996</v>
      </c>
      <c r="S574" s="3">
        <v>-1.1599999999999999</v>
      </c>
      <c r="T574" s="3">
        <v>25.52</v>
      </c>
      <c r="U574" s="3">
        <v>26.68</v>
      </c>
      <c r="V574" s="70" t="s">
        <v>333</v>
      </c>
      <c r="W574" s="3" t="s">
        <v>343</v>
      </c>
      <c r="X574" s="3" t="s">
        <v>337</v>
      </c>
      <c r="Y574" s="3" t="s">
        <v>337</v>
      </c>
    </row>
    <row r="575" spans="1:25" hidden="1" x14ac:dyDescent="0.2">
      <c r="A575" s="83" t="str">
        <f t="shared" si="8"/>
        <v>郑州铁英街包装甜豆浆粉</v>
      </c>
      <c r="B575" s="3" t="s">
        <v>707</v>
      </c>
      <c r="C575" s="84">
        <v>44377</v>
      </c>
      <c r="D575" s="3" t="s">
        <v>436</v>
      </c>
      <c r="E575" s="3" t="s">
        <v>337</v>
      </c>
      <c r="F575" s="3" t="s">
        <v>337</v>
      </c>
      <c r="G575" s="70" t="s">
        <v>437</v>
      </c>
      <c r="H575" s="3" t="s">
        <v>438</v>
      </c>
      <c r="I575" s="3" t="s">
        <v>354</v>
      </c>
      <c r="J575" s="3">
        <v>158</v>
      </c>
      <c r="K575" s="3">
        <v>0</v>
      </c>
      <c r="L575" s="3">
        <v>14</v>
      </c>
      <c r="M575" s="3">
        <v>144</v>
      </c>
      <c r="N575" s="3">
        <v>144</v>
      </c>
      <c r="O575" s="70">
        <v>0</v>
      </c>
      <c r="P575" s="3">
        <v>0</v>
      </c>
      <c r="Q575" s="3">
        <v>0</v>
      </c>
      <c r="R575" s="3">
        <v>0.57999999999999996</v>
      </c>
      <c r="S575" s="3">
        <v>0</v>
      </c>
      <c r="T575" s="3">
        <v>83.52</v>
      </c>
      <c r="U575" s="3">
        <v>83.52</v>
      </c>
      <c r="V575" s="70" t="s">
        <v>592</v>
      </c>
      <c r="W575" s="3" t="s">
        <v>343</v>
      </c>
      <c r="X575" s="3" t="s">
        <v>337</v>
      </c>
      <c r="Y575" s="3" t="s">
        <v>337</v>
      </c>
    </row>
    <row r="576" spans="1:25" hidden="1" x14ac:dyDescent="0.2">
      <c r="A576" s="83" t="str">
        <f t="shared" si="8"/>
        <v>郑州西悦城包装甜豆浆粉</v>
      </c>
      <c r="B576" s="3" t="s">
        <v>708</v>
      </c>
      <c r="C576" s="84">
        <v>44377</v>
      </c>
      <c r="D576" s="3" t="s">
        <v>436</v>
      </c>
      <c r="E576" s="3" t="s">
        <v>337</v>
      </c>
      <c r="F576" s="3" t="s">
        <v>337</v>
      </c>
      <c r="G576" s="70" t="s">
        <v>437</v>
      </c>
      <c r="H576" s="3" t="s">
        <v>438</v>
      </c>
      <c r="I576" s="3" t="s">
        <v>354</v>
      </c>
      <c r="J576" s="3">
        <v>210</v>
      </c>
      <c r="K576" s="3">
        <v>0</v>
      </c>
      <c r="L576" s="3">
        <v>135</v>
      </c>
      <c r="M576" s="3">
        <v>75</v>
      </c>
      <c r="N576" s="3">
        <v>75</v>
      </c>
      <c r="O576" s="70">
        <v>0</v>
      </c>
      <c r="P576" s="3">
        <v>0</v>
      </c>
      <c r="Q576" s="3">
        <v>0</v>
      </c>
      <c r="R576" s="3">
        <v>0.57999999999999996</v>
      </c>
      <c r="S576" s="3">
        <v>0</v>
      </c>
      <c r="T576" s="3">
        <v>43.5</v>
      </c>
      <c r="U576" s="3">
        <v>43.5</v>
      </c>
      <c r="V576" s="70" t="s">
        <v>332</v>
      </c>
      <c r="W576" s="3" t="s">
        <v>343</v>
      </c>
      <c r="X576" s="3" t="s">
        <v>337</v>
      </c>
      <c r="Y576" s="3" t="s">
        <v>337</v>
      </c>
    </row>
    <row r="577" spans="1:25" hidden="1" x14ac:dyDescent="0.2">
      <c r="A577" s="83" t="str">
        <f t="shared" si="8"/>
        <v>新蔡水韵天街包装甜豆浆粉</v>
      </c>
      <c r="B577" s="3" t="s">
        <v>703</v>
      </c>
      <c r="C577" s="84">
        <v>44377</v>
      </c>
      <c r="D577" s="3" t="s">
        <v>436</v>
      </c>
      <c r="E577" s="3" t="s">
        <v>337</v>
      </c>
      <c r="F577" s="3" t="s">
        <v>337</v>
      </c>
      <c r="G577" s="70" t="s">
        <v>437</v>
      </c>
      <c r="H577" s="3" t="s">
        <v>438</v>
      </c>
      <c r="I577" s="3" t="s">
        <v>354</v>
      </c>
      <c r="J577" s="3">
        <v>69</v>
      </c>
      <c r="K577" s="3">
        <v>0</v>
      </c>
      <c r="L577" s="3">
        <v>62</v>
      </c>
      <c r="M577" s="3">
        <v>7</v>
      </c>
      <c r="N577" s="3">
        <v>7</v>
      </c>
      <c r="O577" s="70">
        <v>0</v>
      </c>
      <c r="P577" s="3">
        <v>0</v>
      </c>
      <c r="Q577" s="3">
        <v>0</v>
      </c>
      <c r="R577" s="3">
        <v>0.57999999999999996</v>
      </c>
      <c r="S577" s="3">
        <v>0</v>
      </c>
      <c r="T577" s="3">
        <v>4.0599999999999996</v>
      </c>
      <c r="U577" s="3">
        <v>4.0599999999999996</v>
      </c>
      <c r="V577" s="70" t="s">
        <v>335</v>
      </c>
      <c r="W577" s="3" t="s">
        <v>343</v>
      </c>
      <c r="X577" s="3" t="s">
        <v>337</v>
      </c>
      <c r="Y577" s="3" t="s">
        <v>337</v>
      </c>
    </row>
    <row r="578" spans="1:25" hidden="1" x14ac:dyDescent="0.2">
      <c r="A578" s="83" t="str">
        <f t="shared" si="8"/>
        <v>郑州康复中街包装甜豆浆粉</v>
      </c>
      <c r="B578" s="3" t="s">
        <v>704</v>
      </c>
      <c r="C578" s="84">
        <v>44377</v>
      </c>
      <c r="D578" s="3" t="s">
        <v>436</v>
      </c>
      <c r="E578" s="3" t="s">
        <v>337</v>
      </c>
      <c r="F578" s="3" t="s">
        <v>337</v>
      </c>
      <c r="G578" s="70" t="s">
        <v>437</v>
      </c>
      <c r="H578" s="3" t="s">
        <v>438</v>
      </c>
      <c r="I578" s="3" t="s">
        <v>354</v>
      </c>
      <c r="J578" s="3">
        <v>78</v>
      </c>
      <c r="K578" s="3">
        <v>240</v>
      </c>
      <c r="L578" s="3">
        <v>100</v>
      </c>
      <c r="M578" s="3">
        <v>215</v>
      </c>
      <c r="N578" s="3">
        <v>218</v>
      </c>
      <c r="O578" s="70">
        <v>-3</v>
      </c>
      <c r="P578" s="3">
        <v>0</v>
      </c>
      <c r="Q578" s="3">
        <v>0</v>
      </c>
      <c r="R578" s="3">
        <v>0.60279099999999997</v>
      </c>
      <c r="S578" s="3">
        <v>-1.81</v>
      </c>
      <c r="T578" s="3">
        <v>129.6</v>
      </c>
      <c r="U578" s="3">
        <v>131.41</v>
      </c>
      <c r="V578" s="70" t="s">
        <v>593</v>
      </c>
      <c r="W578" s="3" t="s">
        <v>343</v>
      </c>
      <c r="X578" s="3" t="s">
        <v>337</v>
      </c>
      <c r="Y578" s="3" t="s">
        <v>337</v>
      </c>
    </row>
    <row r="579" spans="1:25" hidden="1" x14ac:dyDescent="0.2">
      <c r="A579" s="83" t="str">
        <f t="shared" ref="A579:A642" si="9">V579&amp;G579</f>
        <v>郑州盛华里包装甜豆浆粉</v>
      </c>
      <c r="B579" s="3" t="s">
        <v>709</v>
      </c>
      <c r="C579" s="84">
        <v>44377</v>
      </c>
      <c r="D579" s="3" t="s">
        <v>436</v>
      </c>
      <c r="E579" s="3" t="s">
        <v>337</v>
      </c>
      <c r="F579" s="3" t="s">
        <v>337</v>
      </c>
      <c r="G579" s="70" t="s">
        <v>437</v>
      </c>
      <c r="H579" s="3" t="s">
        <v>438</v>
      </c>
      <c r="I579" s="3" t="s">
        <v>354</v>
      </c>
      <c r="J579" s="3">
        <v>220</v>
      </c>
      <c r="K579" s="3">
        <v>0</v>
      </c>
      <c r="L579" s="3">
        <v>22</v>
      </c>
      <c r="M579" s="3">
        <v>198</v>
      </c>
      <c r="N579" s="3">
        <v>198</v>
      </c>
      <c r="O579" s="70">
        <v>0</v>
      </c>
      <c r="P579" s="3">
        <v>0</v>
      </c>
      <c r="Q579" s="3">
        <v>0</v>
      </c>
      <c r="R579" s="3">
        <v>0.57999999999999996</v>
      </c>
      <c r="S579" s="3">
        <v>0</v>
      </c>
      <c r="T579" s="3">
        <v>114.84</v>
      </c>
      <c r="U579" s="3">
        <v>114.84</v>
      </c>
      <c r="V579" s="70" t="s">
        <v>637</v>
      </c>
      <c r="W579" s="3" t="s">
        <v>343</v>
      </c>
      <c r="X579" s="3" t="s">
        <v>337</v>
      </c>
      <c r="Y579" s="3" t="s">
        <v>337</v>
      </c>
    </row>
    <row r="580" spans="1:25" hidden="1" x14ac:dyDescent="0.2">
      <c r="A580" s="83" t="str">
        <f t="shared" si="9"/>
        <v>滑县滑台包装甜豆浆粉</v>
      </c>
      <c r="B580" s="3" t="s">
        <v>710</v>
      </c>
      <c r="C580" s="84">
        <v>44377</v>
      </c>
      <c r="D580" s="3" t="s">
        <v>436</v>
      </c>
      <c r="E580" s="3" t="s">
        <v>337</v>
      </c>
      <c r="F580" s="3" t="s">
        <v>337</v>
      </c>
      <c r="G580" s="70" t="s">
        <v>437</v>
      </c>
      <c r="H580" s="3" t="s">
        <v>438</v>
      </c>
      <c r="I580" s="3" t="s">
        <v>354</v>
      </c>
      <c r="J580" s="3">
        <v>200</v>
      </c>
      <c r="K580" s="3">
        <v>0</v>
      </c>
      <c r="L580" s="3">
        <v>67</v>
      </c>
      <c r="M580" s="3">
        <v>133</v>
      </c>
      <c r="N580" s="3">
        <v>133</v>
      </c>
      <c r="O580" s="70">
        <v>0</v>
      </c>
      <c r="P580" s="3">
        <v>0</v>
      </c>
      <c r="Q580" s="3">
        <v>0</v>
      </c>
      <c r="R580" s="3">
        <v>0.57999999999999996</v>
      </c>
      <c r="S580" s="3">
        <v>0</v>
      </c>
      <c r="T580" s="3">
        <v>77.14</v>
      </c>
      <c r="U580" s="3">
        <v>77.14</v>
      </c>
      <c r="V580" s="70" t="s">
        <v>639</v>
      </c>
      <c r="W580" s="3" t="s">
        <v>343</v>
      </c>
      <c r="X580" s="3" t="s">
        <v>337</v>
      </c>
      <c r="Y580" s="3" t="s">
        <v>337</v>
      </c>
    </row>
    <row r="581" spans="1:25" hidden="1" x14ac:dyDescent="0.2">
      <c r="A581" s="83" t="str">
        <f t="shared" si="9"/>
        <v>方城锦城国际包装甜豆浆粉</v>
      </c>
      <c r="B581" s="3" t="s">
        <v>712</v>
      </c>
      <c r="C581" s="84">
        <v>44377</v>
      </c>
      <c r="D581" s="3" t="s">
        <v>436</v>
      </c>
      <c r="E581" s="3" t="s">
        <v>337</v>
      </c>
      <c r="F581" s="3" t="s">
        <v>337</v>
      </c>
      <c r="G581" s="70" t="s">
        <v>437</v>
      </c>
      <c r="H581" s="3" t="s">
        <v>438</v>
      </c>
      <c r="I581" s="3" t="s">
        <v>354</v>
      </c>
      <c r="J581" s="3">
        <v>181</v>
      </c>
      <c r="K581" s="3">
        <v>0</v>
      </c>
      <c r="L581" s="3">
        <v>97</v>
      </c>
      <c r="M581" s="3">
        <v>84</v>
      </c>
      <c r="N581" s="3">
        <v>84</v>
      </c>
      <c r="O581" s="70">
        <v>0</v>
      </c>
      <c r="P581" s="3">
        <v>0</v>
      </c>
      <c r="Q581" s="3">
        <v>0</v>
      </c>
      <c r="R581" s="3">
        <v>0.57999999999999996</v>
      </c>
      <c r="S581" s="3">
        <v>0</v>
      </c>
      <c r="T581" s="3">
        <v>48.72</v>
      </c>
      <c r="U581" s="3">
        <v>48.72</v>
      </c>
      <c r="V581" s="70" t="s">
        <v>594</v>
      </c>
      <c r="W581" s="3" t="s">
        <v>343</v>
      </c>
      <c r="X581" s="3" t="s">
        <v>337</v>
      </c>
      <c r="Y581" s="3" t="s">
        <v>337</v>
      </c>
    </row>
    <row r="582" spans="1:25" hidden="1" x14ac:dyDescent="0.2">
      <c r="A582" s="83" t="str">
        <f t="shared" si="9"/>
        <v>清丰凤鸣包装甜豆浆粉</v>
      </c>
      <c r="B582" s="3" t="s">
        <v>713</v>
      </c>
      <c r="C582" s="84">
        <v>44377</v>
      </c>
      <c r="D582" s="3" t="s">
        <v>436</v>
      </c>
      <c r="E582" s="3" t="s">
        <v>337</v>
      </c>
      <c r="F582" s="3" t="s">
        <v>337</v>
      </c>
      <c r="G582" s="70" t="s">
        <v>437</v>
      </c>
      <c r="H582" s="3" t="s">
        <v>438</v>
      </c>
      <c r="I582" s="3" t="s">
        <v>354</v>
      </c>
      <c r="J582" s="3">
        <v>164</v>
      </c>
      <c r="K582" s="3">
        <v>0</v>
      </c>
      <c r="L582" s="3">
        <v>29</v>
      </c>
      <c r="M582" s="3">
        <v>135</v>
      </c>
      <c r="N582" s="3">
        <v>135</v>
      </c>
      <c r="O582" s="70">
        <v>0</v>
      </c>
      <c r="P582" s="3">
        <v>0</v>
      </c>
      <c r="Q582" s="3">
        <v>0</v>
      </c>
      <c r="R582" s="3">
        <v>0.57999999999999996</v>
      </c>
      <c r="S582" s="3">
        <v>0</v>
      </c>
      <c r="T582" s="3">
        <v>78.3</v>
      </c>
      <c r="U582" s="3">
        <v>78.3</v>
      </c>
      <c r="V582" s="70" t="s">
        <v>334</v>
      </c>
      <c r="W582" s="3" t="s">
        <v>343</v>
      </c>
      <c r="X582" s="3" t="s">
        <v>337</v>
      </c>
      <c r="Y582" s="3" t="s">
        <v>337</v>
      </c>
    </row>
    <row r="583" spans="1:25" hidden="1" x14ac:dyDescent="0.2">
      <c r="A583" s="83" t="str">
        <f t="shared" si="9"/>
        <v>郑州裕华包装甜豆浆粉</v>
      </c>
      <c r="B583" s="3" t="s">
        <v>711</v>
      </c>
      <c r="C583" s="84">
        <v>44377</v>
      </c>
      <c r="D583" s="3" t="s">
        <v>436</v>
      </c>
      <c r="E583" s="3" t="s">
        <v>337</v>
      </c>
      <c r="F583" s="3" t="s">
        <v>337</v>
      </c>
      <c r="G583" s="70" t="s">
        <v>437</v>
      </c>
      <c r="H583" s="3" t="s">
        <v>438</v>
      </c>
      <c r="I583" s="3" t="s">
        <v>354</v>
      </c>
      <c r="J583" s="3">
        <v>456</v>
      </c>
      <c r="K583" s="3">
        <v>0</v>
      </c>
      <c r="L583" s="3">
        <v>27</v>
      </c>
      <c r="M583" s="3">
        <v>425</v>
      </c>
      <c r="N583" s="3">
        <v>429</v>
      </c>
      <c r="O583" s="70">
        <v>-4</v>
      </c>
      <c r="P583" s="3">
        <v>0</v>
      </c>
      <c r="Q583" s="3">
        <v>0</v>
      </c>
      <c r="R583" s="3">
        <v>0.57999999999999996</v>
      </c>
      <c r="S583" s="3">
        <v>-2.3199999999999998</v>
      </c>
      <c r="T583" s="3">
        <v>246.5</v>
      </c>
      <c r="U583" s="3">
        <v>248.82</v>
      </c>
      <c r="V583" s="70" t="s">
        <v>641</v>
      </c>
      <c r="W583" s="3" t="s">
        <v>343</v>
      </c>
      <c r="X583" s="3" t="s">
        <v>337</v>
      </c>
      <c r="Y583" s="3" t="s">
        <v>337</v>
      </c>
    </row>
    <row r="584" spans="1:25" hidden="1" x14ac:dyDescent="0.2">
      <c r="A584" s="83" t="str">
        <f t="shared" si="9"/>
        <v>郑州裕华滤油纸（进口）</v>
      </c>
      <c r="B584" s="3" t="s">
        <v>711</v>
      </c>
      <c r="C584" s="84">
        <v>44377</v>
      </c>
      <c r="D584" s="3" t="s">
        <v>439</v>
      </c>
      <c r="E584" s="3" t="s">
        <v>337</v>
      </c>
      <c r="F584" s="3" t="s">
        <v>337</v>
      </c>
      <c r="G584" s="70" t="s">
        <v>440</v>
      </c>
      <c r="H584" s="3" t="s">
        <v>441</v>
      </c>
      <c r="I584" s="3" t="s">
        <v>113</v>
      </c>
      <c r="J584" s="3">
        <v>0</v>
      </c>
      <c r="K584" s="3">
        <v>100</v>
      </c>
      <c r="L584" s="3">
        <v>0</v>
      </c>
      <c r="M584" s="3">
        <v>100</v>
      </c>
      <c r="N584" s="3">
        <v>100</v>
      </c>
      <c r="O584" s="70">
        <v>0</v>
      </c>
      <c r="P584" s="3">
        <v>0</v>
      </c>
      <c r="Q584" s="3">
        <v>0</v>
      </c>
      <c r="R584" s="3">
        <v>2.8</v>
      </c>
      <c r="S584" s="3">
        <v>0</v>
      </c>
      <c r="T584" s="3">
        <v>280</v>
      </c>
      <c r="U584" s="3">
        <v>280</v>
      </c>
      <c r="V584" s="70" t="s">
        <v>641</v>
      </c>
      <c r="W584" s="3" t="s">
        <v>343</v>
      </c>
      <c r="X584" s="3" t="s">
        <v>337</v>
      </c>
      <c r="Y584" s="3" t="s">
        <v>337</v>
      </c>
    </row>
    <row r="585" spans="1:25" hidden="1" x14ac:dyDescent="0.2">
      <c r="A585" s="83" t="str">
        <f t="shared" si="9"/>
        <v>清丰凤鸣滤油纸（进口）</v>
      </c>
      <c r="B585" s="3" t="s">
        <v>713</v>
      </c>
      <c r="C585" s="84">
        <v>44377</v>
      </c>
      <c r="D585" s="3" t="s">
        <v>439</v>
      </c>
      <c r="E585" s="3" t="s">
        <v>337</v>
      </c>
      <c r="F585" s="3" t="s">
        <v>337</v>
      </c>
      <c r="G585" s="70" t="s">
        <v>440</v>
      </c>
      <c r="H585" s="3" t="s">
        <v>441</v>
      </c>
      <c r="I585" s="3" t="s">
        <v>113</v>
      </c>
      <c r="J585" s="3">
        <v>100</v>
      </c>
      <c r="K585" s="3">
        <v>0</v>
      </c>
      <c r="L585" s="3">
        <v>100</v>
      </c>
      <c r="M585" s="3">
        <v>0</v>
      </c>
      <c r="N585" s="3">
        <v>0</v>
      </c>
      <c r="O585" s="70">
        <v>0</v>
      </c>
      <c r="P585" s="3">
        <v>0</v>
      </c>
      <c r="Q585" s="3">
        <v>0</v>
      </c>
      <c r="R585" s="3">
        <v>2.8</v>
      </c>
      <c r="S585" s="3">
        <v>0</v>
      </c>
      <c r="T585" s="3">
        <v>0</v>
      </c>
      <c r="U585" s="3">
        <v>0</v>
      </c>
      <c r="V585" s="70" t="s">
        <v>334</v>
      </c>
      <c r="W585" s="3" t="s">
        <v>343</v>
      </c>
      <c r="X585" s="3" t="s">
        <v>337</v>
      </c>
      <c r="Y585" s="3" t="s">
        <v>337</v>
      </c>
    </row>
    <row r="586" spans="1:25" hidden="1" x14ac:dyDescent="0.2">
      <c r="A586" s="83" t="str">
        <f t="shared" si="9"/>
        <v>郑州盛华里滤油纸（进口）</v>
      </c>
      <c r="B586" s="3" t="s">
        <v>709</v>
      </c>
      <c r="C586" s="84">
        <v>44377</v>
      </c>
      <c r="D586" s="3" t="s">
        <v>439</v>
      </c>
      <c r="E586" s="3" t="s">
        <v>337</v>
      </c>
      <c r="F586" s="3" t="s">
        <v>337</v>
      </c>
      <c r="G586" s="70" t="s">
        <v>440</v>
      </c>
      <c r="H586" s="3" t="s">
        <v>441</v>
      </c>
      <c r="I586" s="3" t="s">
        <v>113</v>
      </c>
      <c r="J586" s="3">
        <v>100</v>
      </c>
      <c r="K586" s="3">
        <v>0</v>
      </c>
      <c r="L586" s="3">
        <v>0</v>
      </c>
      <c r="M586" s="3">
        <v>100</v>
      </c>
      <c r="N586" s="3">
        <v>100</v>
      </c>
      <c r="O586" s="70">
        <v>0</v>
      </c>
      <c r="P586" s="3">
        <v>0</v>
      </c>
      <c r="Q586" s="3">
        <v>0</v>
      </c>
      <c r="R586" s="3">
        <v>2.8</v>
      </c>
      <c r="S586" s="3">
        <v>0</v>
      </c>
      <c r="T586" s="3">
        <v>280</v>
      </c>
      <c r="U586" s="3">
        <v>280</v>
      </c>
      <c r="V586" s="70" t="s">
        <v>637</v>
      </c>
      <c r="W586" s="3" t="s">
        <v>343</v>
      </c>
      <c r="X586" s="3" t="s">
        <v>337</v>
      </c>
      <c r="Y586" s="3" t="s">
        <v>337</v>
      </c>
    </row>
    <row r="587" spans="1:25" hidden="1" x14ac:dyDescent="0.2">
      <c r="A587" s="83" t="str">
        <f t="shared" si="9"/>
        <v>郑州康复中街滤油纸（进口）</v>
      </c>
      <c r="B587" s="3" t="s">
        <v>704</v>
      </c>
      <c r="C587" s="84">
        <v>44377</v>
      </c>
      <c r="D587" s="3" t="s">
        <v>439</v>
      </c>
      <c r="E587" s="3" t="s">
        <v>337</v>
      </c>
      <c r="F587" s="3" t="s">
        <v>337</v>
      </c>
      <c r="G587" s="70" t="s">
        <v>440</v>
      </c>
      <c r="H587" s="3" t="s">
        <v>441</v>
      </c>
      <c r="I587" s="3" t="s">
        <v>113</v>
      </c>
      <c r="J587" s="3">
        <v>50</v>
      </c>
      <c r="K587" s="3">
        <v>0</v>
      </c>
      <c r="L587" s="3">
        <v>0</v>
      </c>
      <c r="M587" s="3">
        <v>45</v>
      </c>
      <c r="N587" s="3">
        <v>50</v>
      </c>
      <c r="O587" s="70">
        <v>-5</v>
      </c>
      <c r="P587" s="3">
        <v>0</v>
      </c>
      <c r="Q587" s="3">
        <v>0</v>
      </c>
      <c r="R587" s="3">
        <v>2.8</v>
      </c>
      <c r="S587" s="3">
        <v>-14</v>
      </c>
      <c r="T587" s="3">
        <v>126</v>
      </c>
      <c r="U587" s="3">
        <v>140</v>
      </c>
      <c r="V587" s="70" t="s">
        <v>593</v>
      </c>
      <c r="W587" s="3" t="s">
        <v>343</v>
      </c>
      <c r="X587" s="3" t="s">
        <v>337</v>
      </c>
      <c r="Y587" s="3" t="s">
        <v>337</v>
      </c>
    </row>
    <row r="588" spans="1:25" hidden="1" x14ac:dyDescent="0.2">
      <c r="A588" s="83" t="str">
        <f t="shared" si="9"/>
        <v>郑州铁英街滤油纸（进口）</v>
      </c>
      <c r="B588" s="3" t="s">
        <v>707</v>
      </c>
      <c r="C588" s="84">
        <v>44377</v>
      </c>
      <c r="D588" s="3" t="s">
        <v>439</v>
      </c>
      <c r="E588" s="3" t="s">
        <v>337</v>
      </c>
      <c r="F588" s="3" t="s">
        <v>337</v>
      </c>
      <c r="G588" s="70" t="s">
        <v>440</v>
      </c>
      <c r="H588" s="3" t="s">
        <v>441</v>
      </c>
      <c r="I588" s="3" t="s">
        <v>113</v>
      </c>
      <c r="J588" s="3">
        <v>90</v>
      </c>
      <c r="K588" s="3">
        <v>0</v>
      </c>
      <c r="L588" s="3">
        <v>0</v>
      </c>
      <c r="M588" s="3">
        <v>90</v>
      </c>
      <c r="N588" s="3">
        <v>90</v>
      </c>
      <c r="O588" s="70">
        <v>0</v>
      </c>
      <c r="P588" s="3">
        <v>0</v>
      </c>
      <c r="Q588" s="3">
        <v>0</v>
      </c>
      <c r="R588" s="3">
        <v>2.8</v>
      </c>
      <c r="S588" s="3">
        <v>0</v>
      </c>
      <c r="T588" s="3">
        <v>252</v>
      </c>
      <c r="U588" s="3">
        <v>252</v>
      </c>
      <c r="V588" s="70" t="s">
        <v>592</v>
      </c>
      <c r="W588" s="3" t="s">
        <v>343</v>
      </c>
      <c r="X588" s="3" t="s">
        <v>337</v>
      </c>
      <c r="Y588" s="3" t="s">
        <v>337</v>
      </c>
    </row>
    <row r="589" spans="1:25" hidden="1" x14ac:dyDescent="0.2">
      <c r="A589" s="83" t="str">
        <f t="shared" si="9"/>
        <v>郑州瀚海海尚滤油纸（进口）</v>
      </c>
      <c r="B589" s="3" t="s">
        <v>706</v>
      </c>
      <c r="C589" s="84">
        <v>44377</v>
      </c>
      <c r="D589" s="3" t="s">
        <v>439</v>
      </c>
      <c r="E589" s="3" t="s">
        <v>337</v>
      </c>
      <c r="F589" s="3" t="s">
        <v>337</v>
      </c>
      <c r="G589" s="70" t="s">
        <v>440</v>
      </c>
      <c r="H589" s="3" t="s">
        <v>441</v>
      </c>
      <c r="I589" s="3" t="s">
        <v>113</v>
      </c>
      <c r="J589" s="3">
        <v>150</v>
      </c>
      <c r="K589" s="3">
        <v>0</v>
      </c>
      <c r="L589" s="3">
        <v>0</v>
      </c>
      <c r="M589" s="3">
        <v>125</v>
      </c>
      <c r="N589" s="3">
        <v>150</v>
      </c>
      <c r="O589" s="70">
        <v>-25</v>
      </c>
      <c r="P589" s="3">
        <v>0</v>
      </c>
      <c r="Q589" s="3">
        <v>0</v>
      </c>
      <c r="R589" s="3">
        <v>2.8</v>
      </c>
      <c r="S589" s="3">
        <v>-70</v>
      </c>
      <c r="T589" s="3">
        <v>350</v>
      </c>
      <c r="U589" s="3">
        <v>420</v>
      </c>
      <c r="V589" s="70" t="s">
        <v>333</v>
      </c>
      <c r="W589" s="3" t="s">
        <v>343</v>
      </c>
      <c r="X589" s="3" t="s">
        <v>337</v>
      </c>
      <c r="Y589" s="3" t="s">
        <v>337</v>
      </c>
    </row>
    <row r="590" spans="1:25" hidden="1" x14ac:dyDescent="0.2">
      <c r="A590" s="83" t="str">
        <f t="shared" si="9"/>
        <v>郑州瀚海海尚F9滤油纸</v>
      </c>
      <c r="B590" s="3" t="s">
        <v>706</v>
      </c>
      <c r="C590" s="84">
        <v>44377</v>
      </c>
      <c r="D590" s="3" t="s">
        <v>442</v>
      </c>
      <c r="E590" s="3" t="s">
        <v>337</v>
      </c>
      <c r="F590" s="3" t="s">
        <v>337</v>
      </c>
      <c r="G590" s="70" t="s">
        <v>443</v>
      </c>
      <c r="H590" s="3" t="s">
        <v>441</v>
      </c>
      <c r="I590" s="3" t="s">
        <v>113</v>
      </c>
      <c r="J590" s="3">
        <v>100</v>
      </c>
      <c r="K590" s="3">
        <v>0</v>
      </c>
      <c r="L590" s="3">
        <v>0</v>
      </c>
      <c r="M590" s="3">
        <v>100</v>
      </c>
      <c r="N590" s="3">
        <v>100</v>
      </c>
      <c r="O590" s="70">
        <v>0</v>
      </c>
      <c r="P590" s="3">
        <v>0</v>
      </c>
      <c r="Q590" s="3">
        <v>0</v>
      </c>
      <c r="R590" s="3">
        <v>2</v>
      </c>
      <c r="S590" s="3">
        <v>0</v>
      </c>
      <c r="T590" s="3">
        <v>200</v>
      </c>
      <c r="U590" s="3">
        <v>200</v>
      </c>
      <c r="V590" s="70" t="s">
        <v>333</v>
      </c>
      <c r="W590" s="3" t="s">
        <v>343</v>
      </c>
      <c r="X590" s="3" t="s">
        <v>337</v>
      </c>
      <c r="Y590" s="3" t="s">
        <v>337</v>
      </c>
    </row>
    <row r="591" spans="1:25" hidden="1" x14ac:dyDescent="0.2">
      <c r="A591" s="83" t="str">
        <f t="shared" si="9"/>
        <v>郑州瀚海海尚手提袋（牛皮）</v>
      </c>
      <c r="B591" s="3" t="s">
        <v>706</v>
      </c>
      <c r="C591" s="84">
        <v>44377</v>
      </c>
      <c r="D591" s="3" t="s">
        <v>444</v>
      </c>
      <c r="E591" s="3" t="s">
        <v>337</v>
      </c>
      <c r="F591" s="3" t="s">
        <v>337</v>
      </c>
      <c r="G591" s="70" t="s">
        <v>445</v>
      </c>
      <c r="H591" s="3" t="s">
        <v>446</v>
      </c>
      <c r="I591" s="3" t="s">
        <v>339</v>
      </c>
      <c r="J591" s="3">
        <v>300</v>
      </c>
      <c r="K591" s="3">
        <v>0</v>
      </c>
      <c r="L591" s="3">
        <v>0</v>
      </c>
      <c r="M591" s="3">
        <v>300</v>
      </c>
      <c r="N591" s="3">
        <v>300</v>
      </c>
      <c r="O591" s="70">
        <v>0</v>
      </c>
      <c r="P591" s="3">
        <v>0</v>
      </c>
      <c r="Q591" s="3">
        <v>0</v>
      </c>
      <c r="R591" s="3">
        <v>0.360433</v>
      </c>
      <c r="S591" s="3">
        <v>0</v>
      </c>
      <c r="T591" s="3">
        <v>108.13</v>
      </c>
      <c r="U591" s="3">
        <v>108.13</v>
      </c>
      <c r="V591" s="70" t="s">
        <v>333</v>
      </c>
      <c r="W591" s="3" t="s">
        <v>343</v>
      </c>
      <c r="X591" s="3" t="s">
        <v>337</v>
      </c>
      <c r="Y591" s="3" t="s">
        <v>337</v>
      </c>
    </row>
    <row r="592" spans="1:25" hidden="1" x14ac:dyDescent="0.2">
      <c r="A592" s="83" t="str">
        <f t="shared" si="9"/>
        <v>华山龙源手提袋（牛皮）</v>
      </c>
      <c r="B592" s="3" t="s">
        <v>705</v>
      </c>
      <c r="C592" s="84">
        <v>44377</v>
      </c>
      <c r="D592" s="3" t="s">
        <v>444</v>
      </c>
      <c r="E592" s="3" t="s">
        <v>337</v>
      </c>
      <c r="F592" s="3" t="s">
        <v>337</v>
      </c>
      <c r="G592" s="70" t="s">
        <v>445</v>
      </c>
      <c r="H592" s="3" t="s">
        <v>446</v>
      </c>
      <c r="I592" s="3" t="s">
        <v>339</v>
      </c>
      <c r="J592" s="3">
        <v>245</v>
      </c>
      <c r="K592" s="3">
        <v>0</v>
      </c>
      <c r="L592" s="3">
        <v>0</v>
      </c>
      <c r="M592" s="3">
        <v>184</v>
      </c>
      <c r="N592" s="3">
        <v>245</v>
      </c>
      <c r="O592" s="70">
        <v>-61</v>
      </c>
      <c r="P592" s="3">
        <v>0</v>
      </c>
      <c r="Q592" s="3">
        <v>0</v>
      </c>
      <c r="R592" s="3">
        <v>0.36043500000000001</v>
      </c>
      <c r="S592" s="3">
        <v>-21.99</v>
      </c>
      <c r="T592" s="3">
        <v>66.319999999999993</v>
      </c>
      <c r="U592" s="3">
        <v>88.31</v>
      </c>
      <c r="V592" s="70" t="s">
        <v>643</v>
      </c>
      <c r="W592" s="3" t="s">
        <v>343</v>
      </c>
      <c r="X592" s="3" t="s">
        <v>337</v>
      </c>
      <c r="Y592" s="3" t="s">
        <v>337</v>
      </c>
    </row>
    <row r="593" spans="1:25" hidden="1" x14ac:dyDescent="0.2">
      <c r="A593" s="83" t="str">
        <f t="shared" si="9"/>
        <v>郑州铁英街手提袋（牛皮）</v>
      </c>
      <c r="B593" s="3" t="s">
        <v>707</v>
      </c>
      <c r="C593" s="84">
        <v>44377</v>
      </c>
      <c r="D593" s="3" t="s">
        <v>444</v>
      </c>
      <c r="E593" s="3" t="s">
        <v>337</v>
      </c>
      <c r="F593" s="3" t="s">
        <v>337</v>
      </c>
      <c r="G593" s="70" t="s">
        <v>445</v>
      </c>
      <c r="H593" s="3" t="s">
        <v>446</v>
      </c>
      <c r="I593" s="3" t="s">
        <v>339</v>
      </c>
      <c r="J593" s="3">
        <v>188</v>
      </c>
      <c r="K593" s="3">
        <v>0</v>
      </c>
      <c r="L593" s="3">
        <v>0</v>
      </c>
      <c r="M593" s="3">
        <v>146</v>
      </c>
      <c r="N593" s="3">
        <v>188</v>
      </c>
      <c r="O593" s="70">
        <v>-42</v>
      </c>
      <c r="P593" s="3">
        <v>0</v>
      </c>
      <c r="Q593" s="3">
        <v>0</v>
      </c>
      <c r="R593" s="3">
        <v>0.36041099999999998</v>
      </c>
      <c r="S593" s="3">
        <v>-15.14</v>
      </c>
      <c r="T593" s="3">
        <v>52.62</v>
      </c>
      <c r="U593" s="3">
        <v>67.760000000000005</v>
      </c>
      <c r="V593" s="70" t="s">
        <v>592</v>
      </c>
      <c r="W593" s="3" t="s">
        <v>343</v>
      </c>
      <c r="X593" s="3" t="s">
        <v>337</v>
      </c>
      <c r="Y593" s="3" t="s">
        <v>337</v>
      </c>
    </row>
    <row r="594" spans="1:25" hidden="1" x14ac:dyDescent="0.2">
      <c r="A594" s="83" t="str">
        <f t="shared" si="9"/>
        <v>郑州康复中街手提袋（牛皮）</v>
      </c>
      <c r="B594" s="3" t="s">
        <v>704</v>
      </c>
      <c r="C594" s="84">
        <v>44377</v>
      </c>
      <c r="D594" s="3" t="s">
        <v>444</v>
      </c>
      <c r="E594" s="3" t="s">
        <v>337</v>
      </c>
      <c r="F594" s="3" t="s">
        <v>337</v>
      </c>
      <c r="G594" s="70" t="s">
        <v>445</v>
      </c>
      <c r="H594" s="3" t="s">
        <v>446</v>
      </c>
      <c r="I594" s="3" t="s">
        <v>339</v>
      </c>
      <c r="J594" s="3">
        <v>170</v>
      </c>
      <c r="K594" s="3">
        <v>0</v>
      </c>
      <c r="L594" s="3">
        <v>0</v>
      </c>
      <c r="M594" s="3">
        <v>150</v>
      </c>
      <c r="N594" s="3">
        <v>170</v>
      </c>
      <c r="O594" s="70">
        <v>-20</v>
      </c>
      <c r="P594" s="3">
        <v>0</v>
      </c>
      <c r="Q594" s="3">
        <v>0</v>
      </c>
      <c r="R594" s="3">
        <v>0.3604</v>
      </c>
      <c r="S594" s="3">
        <v>-7.21</v>
      </c>
      <c r="T594" s="3">
        <v>54.06</v>
      </c>
      <c r="U594" s="3">
        <v>61.27</v>
      </c>
      <c r="V594" s="70" t="s">
        <v>593</v>
      </c>
      <c r="W594" s="3" t="s">
        <v>343</v>
      </c>
      <c r="X594" s="3" t="s">
        <v>337</v>
      </c>
      <c r="Y594" s="3" t="s">
        <v>337</v>
      </c>
    </row>
    <row r="595" spans="1:25" hidden="1" x14ac:dyDescent="0.2">
      <c r="A595" s="83" t="str">
        <f t="shared" si="9"/>
        <v>新蔡水韵天街手提袋（牛皮）</v>
      </c>
      <c r="B595" s="3" t="s">
        <v>703</v>
      </c>
      <c r="C595" s="84">
        <v>44377</v>
      </c>
      <c r="D595" s="3" t="s">
        <v>444</v>
      </c>
      <c r="E595" s="3" t="s">
        <v>337</v>
      </c>
      <c r="F595" s="3" t="s">
        <v>337</v>
      </c>
      <c r="G595" s="70" t="s">
        <v>445</v>
      </c>
      <c r="H595" s="3" t="s">
        <v>446</v>
      </c>
      <c r="I595" s="3" t="s">
        <v>339</v>
      </c>
      <c r="J595" s="3">
        <v>150</v>
      </c>
      <c r="K595" s="3">
        <v>0</v>
      </c>
      <c r="L595" s="3">
        <v>0</v>
      </c>
      <c r="M595" s="3">
        <v>0</v>
      </c>
      <c r="N595" s="3">
        <v>150</v>
      </c>
      <c r="O595" s="70">
        <v>-150</v>
      </c>
      <c r="P595" s="3">
        <v>0</v>
      </c>
      <c r="Q595" s="3">
        <v>0</v>
      </c>
      <c r="R595" s="3">
        <v>0.3604</v>
      </c>
      <c r="S595" s="3">
        <v>-54.06</v>
      </c>
      <c r="T595" s="3">
        <v>0</v>
      </c>
      <c r="U595" s="3">
        <v>54.06</v>
      </c>
      <c r="V595" s="70" t="s">
        <v>335</v>
      </c>
      <c r="W595" s="3" t="s">
        <v>343</v>
      </c>
      <c r="X595" s="3" t="s">
        <v>337</v>
      </c>
      <c r="Y595" s="3" t="s">
        <v>337</v>
      </c>
    </row>
    <row r="596" spans="1:25" hidden="1" x14ac:dyDescent="0.2">
      <c r="A596" s="83" t="str">
        <f t="shared" si="9"/>
        <v>郑州盛华里手提袋（牛皮）</v>
      </c>
      <c r="B596" s="3" t="s">
        <v>709</v>
      </c>
      <c r="C596" s="84">
        <v>44377</v>
      </c>
      <c r="D596" s="3" t="s">
        <v>444</v>
      </c>
      <c r="E596" s="3" t="s">
        <v>337</v>
      </c>
      <c r="F596" s="3" t="s">
        <v>337</v>
      </c>
      <c r="G596" s="70" t="s">
        <v>445</v>
      </c>
      <c r="H596" s="3" t="s">
        <v>446</v>
      </c>
      <c r="I596" s="3" t="s">
        <v>339</v>
      </c>
      <c r="J596" s="3">
        <v>230</v>
      </c>
      <c r="K596" s="3">
        <v>0</v>
      </c>
      <c r="L596" s="3">
        <v>0</v>
      </c>
      <c r="M596" s="3">
        <v>230</v>
      </c>
      <c r="N596" s="3">
        <v>230</v>
      </c>
      <c r="O596" s="70">
        <v>0</v>
      </c>
      <c r="P596" s="3">
        <v>0</v>
      </c>
      <c r="Q596" s="3">
        <v>0</v>
      </c>
      <c r="R596" s="3">
        <v>0.36043500000000001</v>
      </c>
      <c r="S596" s="3">
        <v>0</v>
      </c>
      <c r="T596" s="3">
        <v>82.9</v>
      </c>
      <c r="U596" s="3">
        <v>82.9</v>
      </c>
      <c r="V596" s="70" t="s">
        <v>637</v>
      </c>
      <c r="W596" s="3" t="s">
        <v>343</v>
      </c>
      <c r="X596" s="3" t="s">
        <v>337</v>
      </c>
      <c r="Y596" s="3" t="s">
        <v>337</v>
      </c>
    </row>
    <row r="597" spans="1:25" hidden="1" x14ac:dyDescent="0.2">
      <c r="A597" s="83" t="str">
        <f t="shared" si="9"/>
        <v>清丰凤鸣手提袋（牛皮）</v>
      </c>
      <c r="B597" s="3" t="s">
        <v>713</v>
      </c>
      <c r="C597" s="84">
        <v>44377</v>
      </c>
      <c r="D597" s="3" t="s">
        <v>444</v>
      </c>
      <c r="E597" s="3" t="s">
        <v>337</v>
      </c>
      <c r="F597" s="3" t="s">
        <v>337</v>
      </c>
      <c r="G597" s="70" t="s">
        <v>445</v>
      </c>
      <c r="H597" s="3" t="s">
        <v>446</v>
      </c>
      <c r="I597" s="3" t="s">
        <v>339</v>
      </c>
      <c r="J597" s="3">
        <v>65</v>
      </c>
      <c r="K597" s="3">
        <v>0</v>
      </c>
      <c r="L597" s="3">
        <v>0</v>
      </c>
      <c r="M597" s="3">
        <v>0</v>
      </c>
      <c r="N597" s="3">
        <v>65</v>
      </c>
      <c r="O597" s="70">
        <v>-65</v>
      </c>
      <c r="P597" s="3">
        <v>0</v>
      </c>
      <c r="Q597" s="3">
        <v>0</v>
      </c>
      <c r="R597" s="3">
        <v>0.360462</v>
      </c>
      <c r="S597" s="3">
        <v>-23.43</v>
      </c>
      <c r="T597" s="3">
        <v>0</v>
      </c>
      <c r="U597" s="3">
        <v>23.43</v>
      </c>
      <c r="V597" s="70" t="s">
        <v>334</v>
      </c>
      <c r="W597" s="3" t="s">
        <v>343</v>
      </c>
      <c r="X597" s="3" t="s">
        <v>337</v>
      </c>
      <c r="Y597" s="3" t="s">
        <v>337</v>
      </c>
    </row>
    <row r="598" spans="1:25" hidden="1" x14ac:dyDescent="0.2">
      <c r="A598" s="83" t="str">
        <f t="shared" si="9"/>
        <v>方城锦城国际手提袋（牛皮）</v>
      </c>
      <c r="B598" s="3" t="s">
        <v>712</v>
      </c>
      <c r="C598" s="84">
        <v>44377</v>
      </c>
      <c r="D598" s="3" t="s">
        <v>444</v>
      </c>
      <c r="E598" s="3" t="s">
        <v>337</v>
      </c>
      <c r="F598" s="3" t="s">
        <v>337</v>
      </c>
      <c r="G598" s="70" t="s">
        <v>445</v>
      </c>
      <c r="H598" s="3" t="s">
        <v>446</v>
      </c>
      <c r="I598" s="3" t="s">
        <v>339</v>
      </c>
      <c r="J598" s="3">
        <v>240</v>
      </c>
      <c r="K598" s="3">
        <v>0</v>
      </c>
      <c r="L598" s="3">
        <v>0</v>
      </c>
      <c r="M598" s="3">
        <v>199</v>
      </c>
      <c r="N598" s="3">
        <v>240</v>
      </c>
      <c r="O598" s="70">
        <v>-41</v>
      </c>
      <c r="P598" s="3">
        <v>0</v>
      </c>
      <c r="Q598" s="3">
        <v>0</v>
      </c>
      <c r="R598" s="3">
        <v>0.36045199999999999</v>
      </c>
      <c r="S598" s="3">
        <v>-14.78</v>
      </c>
      <c r="T598" s="3">
        <v>71.73</v>
      </c>
      <c r="U598" s="3">
        <v>86.51</v>
      </c>
      <c r="V598" s="70" t="s">
        <v>594</v>
      </c>
      <c r="W598" s="3" t="s">
        <v>343</v>
      </c>
      <c r="X598" s="3" t="s">
        <v>337</v>
      </c>
      <c r="Y598" s="3" t="s">
        <v>337</v>
      </c>
    </row>
    <row r="599" spans="1:25" hidden="1" x14ac:dyDescent="0.2">
      <c r="A599" s="83" t="str">
        <f t="shared" si="9"/>
        <v>郑州裕华手提袋（牛皮）</v>
      </c>
      <c r="B599" s="3" t="s">
        <v>711</v>
      </c>
      <c r="C599" s="84">
        <v>44377</v>
      </c>
      <c r="D599" s="3" t="s">
        <v>444</v>
      </c>
      <c r="E599" s="3" t="s">
        <v>337</v>
      </c>
      <c r="F599" s="3" t="s">
        <v>337</v>
      </c>
      <c r="G599" s="70" t="s">
        <v>445</v>
      </c>
      <c r="H599" s="3" t="s">
        <v>446</v>
      </c>
      <c r="I599" s="3" t="s">
        <v>339</v>
      </c>
      <c r="J599" s="3">
        <v>250</v>
      </c>
      <c r="K599" s="3">
        <v>0</v>
      </c>
      <c r="L599" s="3">
        <v>0</v>
      </c>
      <c r="M599" s="3">
        <v>250</v>
      </c>
      <c r="N599" s="3">
        <v>250</v>
      </c>
      <c r="O599" s="70">
        <v>0</v>
      </c>
      <c r="P599" s="3">
        <v>0</v>
      </c>
      <c r="Q599" s="3">
        <v>0</v>
      </c>
      <c r="R599" s="3">
        <v>0.36043999999999998</v>
      </c>
      <c r="S599" s="3">
        <v>0</v>
      </c>
      <c r="T599" s="3">
        <v>90.11</v>
      </c>
      <c r="U599" s="3">
        <v>90.11</v>
      </c>
      <c r="V599" s="70" t="s">
        <v>641</v>
      </c>
      <c r="W599" s="3" t="s">
        <v>343</v>
      </c>
      <c r="X599" s="3" t="s">
        <v>337</v>
      </c>
      <c r="Y599" s="3" t="s">
        <v>337</v>
      </c>
    </row>
    <row r="600" spans="1:25" hidden="1" x14ac:dyDescent="0.2">
      <c r="A600" s="83" t="str">
        <f t="shared" si="9"/>
        <v>郑州政六街手提袋（牛皮）</v>
      </c>
      <c r="B600" s="3" t="s">
        <v>714</v>
      </c>
      <c r="C600" s="84">
        <v>44377</v>
      </c>
      <c r="D600" s="3" t="s">
        <v>444</v>
      </c>
      <c r="E600" s="3" t="s">
        <v>337</v>
      </c>
      <c r="F600" s="3" t="s">
        <v>337</v>
      </c>
      <c r="G600" s="70" t="s">
        <v>445</v>
      </c>
      <c r="H600" s="3" t="s">
        <v>446</v>
      </c>
      <c r="I600" s="3" t="s">
        <v>339</v>
      </c>
      <c r="J600" s="3">
        <v>0</v>
      </c>
      <c r="K600" s="3">
        <v>250</v>
      </c>
      <c r="L600" s="3">
        <v>0</v>
      </c>
      <c r="M600" s="3">
        <v>162</v>
      </c>
      <c r="N600" s="3">
        <v>250</v>
      </c>
      <c r="O600" s="70">
        <v>-88</v>
      </c>
      <c r="P600" s="3">
        <v>0</v>
      </c>
      <c r="Q600" s="3">
        <v>0</v>
      </c>
      <c r="R600" s="3">
        <v>0.36043199999999997</v>
      </c>
      <c r="S600" s="3">
        <v>-31.72</v>
      </c>
      <c r="T600" s="3">
        <v>58.39</v>
      </c>
      <c r="U600" s="3">
        <v>90.11</v>
      </c>
      <c r="V600" s="70" t="s">
        <v>591</v>
      </c>
      <c r="W600" s="3" t="s">
        <v>343</v>
      </c>
      <c r="X600" s="3" t="s">
        <v>337</v>
      </c>
      <c r="Y600" s="3" t="s">
        <v>337</v>
      </c>
    </row>
    <row r="601" spans="1:25" hidden="1" x14ac:dyDescent="0.2">
      <c r="A601" s="83" t="str">
        <f t="shared" si="9"/>
        <v>郑州盛华里川宁英式早餐红茶</v>
      </c>
      <c r="B601" s="3" t="s">
        <v>709</v>
      </c>
      <c r="C601" s="84">
        <v>44377</v>
      </c>
      <c r="D601" s="3" t="s">
        <v>716</v>
      </c>
      <c r="E601" s="3" t="s">
        <v>337</v>
      </c>
      <c r="F601" s="3" t="s">
        <v>337</v>
      </c>
      <c r="G601" s="70" t="s">
        <v>736</v>
      </c>
      <c r="H601" s="3" t="s">
        <v>737</v>
      </c>
      <c r="I601" s="3" t="s">
        <v>354</v>
      </c>
      <c r="J601" s="3">
        <v>0</v>
      </c>
      <c r="K601" s="3">
        <v>0</v>
      </c>
      <c r="L601" s="3">
        <v>1</v>
      </c>
      <c r="M601" s="3">
        <v>0</v>
      </c>
      <c r="N601" s="3">
        <v>-1</v>
      </c>
      <c r="O601" s="70">
        <v>1</v>
      </c>
      <c r="P601" s="3">
        <v>0</v>
      </c>
      <c r="Q601" s="3">
        <v>0</v>
      </c>
      <c r="R601" s="3">
        <v>0.56999999999999995</v>
      </c>
      <c r="S601" s="3">
        <v>0.56999999999999995</v>
      </c>
      <c r="T601" s="3">
        <v>0</v>
      </c>
      <c r="U601" s="3">
        <v>-0.56999999999999995</v>
      </c>
      <c r="V601" s="70" t="s">
        <v>637</v>
      </c>
      <c r="W601" s="3" t="s">
        <v>343</v>
      </c>
      <c r="X601" s="3" t="s">
        <v>337</v>
      </c>
      <c r="Y601" s="3" t="s">
        <v>337</v>
      </c>
    </row>
    <row r="602" spans="1:25" hidden="1" x14ac:dyDescent="0.2">
      <c r="A602" s="83" t="str">
        <f t="shared" si="9"/>
        <v>方城锦城国际65oz桶</v>
      </c>
      <c r="B602" s="3" t="s">
        <v>712</v>
      </c>
      <c r="C602" s="84">
        <v>44377</v>
      </c>
      <c r="D602" s="3" t="s">
        <v>605</v>
      </c>
      <c r="E602" s="3" t="s">
        <v>337</v>
      </c>
      <c r="F602" s="3" t="s">
        <v>337</v>
      </c>
      <c r="G602" s="70" t="s">
        <v>606</v>
      </c>
      <c r="H602" s="3" t="s">
        <v>607</v>
      </c>
      <c r="I602" s="3" t="s">
        <v>449</v>
      </c>
      <c r="J602" s="3">
        <v>0</v>
      </c>
      <c r="K602" s="3">
        <v>0</v>
      </c>
      <c r="L602" s="3">
        <v>1</v>
      </c>
      <c r="M602" s="3">
        <v>0</v>
      </c>
      <c r="N602" s="3">
        <v>-1</v>
      </c>
      <c r="O602" s="70">
        <v>1</v>
      </c>
      <c r="P602" s="3">
        <v>0</v>
      </c>
      <c r="Q602" s="3">
        <v>0</v>
      </c>
      <c r="R602" s="3">
        <v>0.68</v>
      </c>
      <c r="S602" s="3">
        <v>0.68</v>
      </c>
      <c r="T602" s="3">
        <v>0</v>
      </c>
      <c r="U602" s="3">
        <v>-0.68</v>
      </c>
      <c r="V602" s="70" t="s">
        <v>594</v>
      </c>
      <c r="W602" s="3" t="s">
        <v>343</v>
      </c>
      <c r="X602" s="3" t="s">
        <v>337</v>
      </c>
      <c r="Y602" s="3" t="s">
        <v>337</v>
      </c>
    </row>
    <row r="603" spans="1:25" hidden="1" x14ac:dyDescent="0.2">
      <c r="A603" s="83" t="str">
        <f t="shared" si="9"/>
        <v>郑州西悦城65oz桶</v>
      </c>
      <c r="B603" s="3" t="s">
        <v>708</v>
      </c>
      <c r="C603" s="84">
        <v>44377</v>
      </c>
      <c r="D603" s="3" t="s">
        <v>605</v>
      </c>
      <c r="E603" s="3" t="s">
        <v>337</v>
      </c>
      <c r="F603" s="3" t="s">
        <v>337</v>
      </c>
      <c r="G603" s="70" t="s">
        <v>606</v>
      </c>
      <c r="H603" s="3" t="s">
        <v>607</v>
      </c>
      <c r="I603" s="3" t="s">
        <v>449</v>
      </c>
      <c r="J603" s="3">
        <v>0</v>
      </c>
      <c r="K603" s="3">
        <v>0</v>
      </c>
      <c r="L603" s="3">
        <v>2</v>
      </c>
      <c r="M603" s="3">
        <v>0</v>
      </c>
      <c r="N603" s="3">
        <v>-2</v>
      </c>
      <c r="O603" s="70">
        <v>2</v>
      </c>
      <c r="P603" s="3">
        <v>0</v>
      </c>
      <c r="Q603" s="3">
        <v>0</v>
      </c>
      <c r="R603" s="3">
        <v>0.68</v>
      </c>
      <c r="S603" s="3">
        <v>1.36</v>
      </c>
      <c r="T603" s="3">
        <v>0</v>
      </c>
      <c r="U603" s="3">
        <v>-1.36</v>
      </c>
      <c r="V603" s="70" t="s">
        <v>332</v>
      </c>
      <c r="W603" s="3" t="s">
        <v>343</v>
      </c>
      <c r="X603" s="3" t="s">
        <v>337</v>
      </c>
      <c r="Y603" s="3" t="s">
        <v>337</v>
      </c>
    </row>
    <row r="604" spans="1:25" hidden="1" x14ac:dyDescent="0.2">
      <c r="A604" s="83" t="str">
        <f t="shared" si="9"/>
        <v>郑州铁英街国庆版65oz桶</v>
      </c>
      <c r="B604" s="3" t="s">
        <v>707</v>
      </c>
      <c r="C604" s="84">
        <v>44377</v>
      </c>
      <c r="D604" s="3" t="s">
        <v>447</v>
      </c>
      <c r="E604" s="3" t="s">
        <v>337</v>
      </c>
      <c r="F604" s="3" t="s">
        <v>337</v>
      </c>
      <c r="G604" s="70" t="s">
        <v>448</v>
      </c>
      <c r="H604" s="3" t="s">
        <v>343</v>
      </c>
      <c r="I604" s="3" t="s">
        <v>449</v>
      </c>
      <c r="J604" s="3">
        <v>0</v>
      </c>
      <c r="K604" s="3">
        <v>0</v>
      </c>
      <c r="L604" s="3">
        <v>1</v>
      </c>
      <c r="M604" s="3">
        <v>0</v>
      </c>
      <c r="N604" s="3">
        <v>-1</v>
      </c>
      <c r="O604" s="70">
        <v>1</v>
      </c>
      <c r="P604" s="3">
        <v>0</v>
      </c>
      <c r="Q604" s="3">
        <v>0</v>
      </c>
      <c r="R604" s="3">
        <v>0.68</v>
      </c>
      <c r="S604" s="3">
        <v>0.68</v>
      </c>
      <c r="T604" s="3">
        <v>0</v>
      </c>
      <c r="U604" s="3">
        <v>-0.68</v>
      </c>
      <c r="V604" s="70" t="s">
        <v>592</v>
      </c>
      <c r="W604" s="3" t="s">
        <v>343</v>
      </c>
      <c r="X604" s="3" t="s">
        <v>337</v>
      </c>
      <c r="Y604" s="3" t="s">
        <v>337</v>
      </c>
    </row>
    <row r="605" spans="1:25" hidden="1" x14ac:dyDescent="0.2">
      <c r="A605" s="83" t="str">
        <f t="shared" si="9"/>
        <v>郑州西悦城国庆版65oz桶</v>
      </c>
      <c r="B605" s="3" t="s">
        <v>708</v>
      </c>
      <c r="C605" s="84">
        <v>44377</v>
      </c>
      <c r="D605" s="3" t="s">
        <v>447</v>
      </c>
      <c r="E605" s="3" t="s">
        <v>337</v>
      </c>
      <c r="F605" s="3" t="s">
        <v>337</v>
      </c>
      <c r="G605" s="70" t="s">
        <v>448</v>
      </c>
      <c r="H605" s="3" t="s">
        <v>343</v>
      </c>
      <c r="I605" s="3" t="s">
        <v>449</v>
      </c>
      <c r="J605" s="3">
        <v>0</v>
      </c>
      <c r="K605" s="3">
        <v>0</v>
      </c>
      <c r="L605" s="3">
        <v>4</v>
      </c>
      <c r="M605" s="3">
        <v>0</v>
      </c>
      <c r="N605" s="3">
        <v>-4</v>
      </c>
      <c r="O605" s="70">
        <v>4</v>
      </c>
      <c r="P605" s="3">
        <v>0</v>
      </c>
      <c r="Q605" s="3">
        <v>0</v>
      </c>
      <c r="R605" s="3">
        <v>0.68</v>
      </c>
      <c r="S605" s="3">
        <v>2.72</v>
      </c>
      <c r="T605" s="3">
        <v>0</v>
      </c>
      <c r="U605" s="3">
        <v>-2.72</v>
      </c>
      <c r="V605" s="70" t="s">
        <v>332</v>
      </c>
      <c r="W605" s="3" t="s">
        <v>343</v>
      </c>
      <c r="X605" s="3" t="s">
        <v>337</v>
      </c>
      <c r="Y605" s="3" t="s">
        <v>337</v>
      </c>
    </row>
    <row r="606" spans="1:25" hidden="1" x14ac:dyDescent="0.2">
      <c r="A606" s="83" t="str">
        <f t="shared" si="9"/>
        <v>华山龙源国庆版65oz桶</v>
      </c>
      <c r="B606" s="3" t="s">
        <v>705</v>
      </c>
      <c r="C606" s="84">
        <v>44377</v>
      </c>
      <c r="D606" s="3" t="s">
        <v>447</v>
      </c>
      <c r="E606" s="3" t="s">
        <v>337</v>
      </c>
      <c r="F606" s="3" t="s">
        <v>337</v>
      </c>
      <c r="G606" s="70" t="s">
        <v>448</v>
      </c>
      <c r="H606" s="3" t="s">
        <v>343</v>
      </c>
      <c r="I606" s="3" t="s">
        <v>449</v>
      </c>
      <c r="J606" s="3">
        <v>0</v>
      </c>
      <c r="K606" s="3">
        <v>0</v>
      </c>
      <c r="L606" s="3">
        <v>1</v>
      </c>
      <c r="M606" s="3">
        <v>0</v>
      </c>
      <c r="N606" s="3">
        <v>-1</v>
      </c>
      <c r="O606" s="70">
        <v>1</v>
      </c>
      <c r="P606" s="3">
        <v>0</v>
      </c>
      <c r="Q606" s="3">
        <v>0</v>
      </c>
      <c r="R606" s="3">
        <v>0.68</v>
      </c>
      <c r="S606" s="3">
        <v>0.68</v>
      </c>
      <c r="T606" s="3">
        <v>0</v>
      </c>
      <c r="U606" s="3">
        <v>-0.68</v>
      </c>
      <c r="V606" s="70" t="s">
        <v>643</v>
      </c>
      <c r="W606" s="3" t="s">
        <v>343</v>
      </c>
      <c r="X606" s="3" t="s">
        <v>337</v>
      </c>
      <c r="Y606" s="3" t="s">
        <v>337</v>
      </c>
    </row>
    <row r="607" spans="1:25" hidden="1" x14ac:dyDescent="0.2">
      <c r="A607" s="83" t="str">
        <f t="shared" si="9"/>
        <v>郑州瀚海海尚国庆版65oz桶</v>
      </c>
      <c r="B607" s="3" t="s">
        <v>706</v>
      </c>
      <c r="C607" s="84">
        <v>44377</v>
      </c>
      <c r="D607" s="3" t="s">
        <v>447</v>
      </c>
      <c r="E607" s="3" t="s">
        <v>337</v>
      </c>
      <c r="F607" s="3" t="s">
        <v>337</v>
      </c>
      <c r="G607" s="70" t="s">
        <v>448</v>
      </c>
      <c r="H607" s="3" t="s">
        <v>343</v>
      </c>
      <c r="I607" s="3" t="s">
        <v>449</v>
      </c>
      <c r="J607" s="3">
        <v>0</v>
      </c>
      <c r="K607" s="3">
        <v>0</v>
      </c>
      <c r="L607" s="3">
        <v>4</v>
      </c>
      <c r="M607" s="3">
        <v>0</v>
      </c>
      <c r="N607" s="3">
        <v>-4</v>
      </c>
      <c r="O607" s="70">
        <v>4</v>
      </c>
      <c r="P607" s="3">
        <v>0</v>
      </c>
      <c r="Q607" s="3">
        <v>0</v>
      </c>
      <c r="R607" s="3">
        <v>0.68</v>
      </c>
      <c r="S607" s="3">
        <v>2.72</v>
      </c>
      <c r="T607" s="3">
        <v>0</v>
      </c>
      <c r="U607" s="3">
        <v>-2.72</v>
      </c>
      <c r="V607" s="70" t="s">
        <v>333</v>
      </c>
      <c r="W607" s="3" t="s">
        <v>343</v>
      </c>
      <c r="X607" s="3" t="s">
        <v>337</v>
      </c>
      <c r="Y607" s="3" t="s">
        <v>337</v>
      </c>
    </row>
    <row r="608" spans="1:25" hidden="1" x14ac:dyDescent="0.2">
      <c r="A608" s="83" t="str">
        <f t="shared" si="9"/>
        <v>新蔡水韵天街国庆版65oz桶</v>
      </c>
      <c r="B608" s="3" t="s">
        <v>703</v>
      </c>
      <c r="C608" s="84">
        <v>44377</v>
      </c>
      <c r="D608" s="3" t="s">
        <v>447</v>
      </c>
      <c r="E608" s="3" t="s">
        <v>337</v>
      </c>
      <c r="F608" s="3" t="s">
        <v>337</v>
      </c>
      <c r="G608" s="70" t="s">
        <v>448</v>
      </c>
      <c r="H608" s="3" t="s">
        <v>343</v>
      </c>
      <c r="I608" s="3" t="s">
        <v>449</v>
      </c>
      <c r="J608" s="3">
        <v>0</v>
      </c>
      <c r="K608" s="3">
        <v>0</v>
      </c>
      <c r="L608" s="3">
        <v>5</v>
      </c>
      <c r="M608" s="3">
        <v>0</v>
      </c>
      <c r="N608" s="3">
        <v>-5</v>
      </c>
      <c r="O608" s="70">
        <v>5</v>
      </c>
      <c r="P608" s="3">
        <v>0</v>
      </c>
      <c r="Q608" s="3">
        <v>0</v>
      </c>
      <c r="R608" s="3">
        <v>0.68</v>
      </c>
      <c r="S608" s="3">
        <v>3.4</v>
      </c>
      <c r="T608" s="3">
        <v>0</v>
      </c>
      <c r="U608" s="3">
        <v>-3.4</v>
      </c>
      <c r="V608" s="70" t="s">
        <v>335</v>
      </c>
      <c r="W608" s="3" t="s">
        <v>343</v>
      </c>
      <c r="X608" s="3" t="s">
        <v>337</v>
      </c>
      <c r="Y608" s="3" t="s">
        <v>337</v>
      </c>
    </row>
    <row r="609" spans="1:25" hidden="1" x14ac:dyDescent="0.2">
      <c r="A609" s="83" t="str">
        <f t="shared" si="9"/>
        <v>郑州康复中街国庆版65oz桶</v>
      </c>
      <c r="B609" s="3" t="s">
        <v>704</v>
      </c>
      <c r="C609" s="84">
        <v>44377</v>
      </c>
      <c r="D609" s="3" t="s">
        <v>447</v>
      </c>
      <c r="E609" s="3" t="s">
        <v>337</v>
      </c>
      <c r="F609" s="3" t="s">
        <v>337</v>
      </c>
      <c r="G609" s="70" t="s">
        <v>448</v>
      </c>
      <c r="H609" s="3" t="s">
        <v>343</v>
      </c>
      <c r="I609" s="3" t="s">
        <v>449</v>
      </c>
      <c r="J609" s="3">
        <v>0</v>
      </c>
      <c r="K609" s="3">
        <v>0</v>
      </c>
      <c r="L609" s="3">
        <v>6</v>
      </c>
      <c r="M609" s="3">
        <v>0</v>
      </c>
      <c r="N609" s="3">
        <v>-6</v>
      </c>
      <c r="O609" s="70">
        <v>6</v>
      </c>
      <c r="P609" s="3">
        <v>0</v>
      </c>
      <c r="Q609" s="3">
        <v>0</v>
      </c>
      <c r="R609" s="3">
        <v>0.68</v>
      </c>
      <c r="S609" s="3">
        <v>4.08</v>
      </c>
      <c r="T609" s="3">
        <v>0</v>
      </c>
      <c r="U609" s="3">
        <v>-4.08</v>
      </c>
      <c r="V609" s="70" t="s">
        <v>593</v>
      </c>
      <c r="W609" s="3" t="s">
        <v>343</v>
      </c>
      <c r="X609" s="3" t="s">
        <v>337</v>
      </c>
      <c r="Y609" s="3" t="s">
        <v>337</v>
      </c>
    </row>
    <row r="610" spans="1:25" hidden="1" x14ac:dyDescent="0.2">
      <c r="A610" s="83" t="str">
        <f t="shared" si="9"/>
        <v>清丰凤鸣国庆版65oz桶</v>
      </c>
      <c r="B610" s="3" t="s">
        <v>713</v>
      </c>
      <c r="C610" s="84">
        <v>44377</v>
      </c>
      <c r="D610" s="3" t="s">
        <v>447</v>
      </c>
      <c r="E610" s="3" t="s">
        <v>337</v>
      </c>
      <c r="F610" s="3" t="s">
        <v>337</v>
      </c>
      <c r="G610" s="70" t="s">
        <v>448</v>
      </c>
      <c r="H610" s="3" t="s">
        <v>343</v>
      </c>
      <c r="I610" s="3" t="s">
        <v>449</v>
      </c>
      <c r="J610" s="3">
        <v>0</v>
      </c>
      <c r="K610" s="3">
        <v>0</v>
      </c>
      <c r="L610" s="3">
        <v>1</v>
      </c>
      <c r="M610" s="3">
        <v>0</v>
      </c>
      <c r="N610" s="3">
        <v>-1</v>
      </c>
      <c r="O610" s="70">
        <v>1</v>
      </c>
      <c r="P610" s="3">
        <v>0</v>
      </c>
      <c r="Q610" s="3">
        <v>0</v>
      </c>
      <c r="R610" s="3">
        <v>0.68</v>
      </c>
      <c r="S610" s="3">
        <v>0.68</v>
      </c>
      <c r="T610" s="3">
        <v>0</v>
      </c>
      <c r="U610" s="3">
        <v>-0.68</v>
      </c>
      <c r="V610" s="70" t="s">
        <v>334</v>
      </c>
      <c r="W610" s="3" t="s">
        <v>343</v>
      </c>
      <c r="X610" s="3" t="s">
        <v>337</v>
      </c>
      <c r="Y610" s="3" t="s">
        <v>337</v>
      </c>
    </row>
    <row r="611" spans="1:25" hidden="1" x14ac:dyDescent="0.2">
      <c r="A611" s="83" t="str">
        <f t="shared" si="9"/>
        <v>郑州盛华里国庆版65oz桶</v>
      </c>
      <c r="B611" s="3" t="s">
        <v>709</v>
      </c>
      <c r="C611" s="84">
        <v>44377</v>
      </c>
      <c r="D611" s="3" t="s">
        <v>447</v>
      </c>
      <c r="E611" s="3" t="s">
        <v>337</v>
      </c>
      <c r="F611" s="3" t="s">
        <v>337</v>
      </c>
      <c r="G611" s="70" t="s">
        <v>448</v>
      </c>
      <c r="H611" s="3" t="s">
        <v>343</v>
      </c>
      <c r="I611" s="3" t="s">
        <v>449</v>
      </c>
      <c r="J611" s="3">
        <v>0</v>
      </c>
      <c r="K611" s="3">
        <v>0</v>
      </c>
      <c r="L611" s="3">
        <v>1</v>
      </c>
      <c r="M611" s="3">
        <v>0</v>
      </c>
      <c r="N611" s="3">
        <v>-1</v>
      </c>
      <c r="O611" s="70">
        <v>1</v>
      </c>
      <c r="P611" s="3">
        <v>0</v>
      </c>
      <c r="Q611" s="3">
        <v>0</v>
      </c>
      <c r="R611" s="3">
        <v>0.68</v>
      </c>
      <c r="S611" s="3">
        <v>0.68</v>
      </c>
      <c r="T611" s="3">
        <v>0</v>
      </c>
      <c r="U611" s="3">
        <v>-0.68</v>
      </c>
      <c r="V611" s="70" t="s">
        <v>637</v>
      </c>
      <c r="W611" s="3" t="s">
        <v>343</v>
      </c>
      <c r="X611" s="3" t="s">
        <v>337</v>
      </c>
      <c r="Y611" s="3" t="s">
        <v>337</v>
      </c>
    </row>
    <row r="612" spans="1:25" hidden="1" x14ac:dyDescent="0.2">
      <c r="A612" s="83" t="str">
        <f t="shared" si="9"/>
        <v>郑州政六街国庆版65oz桶</v>
      </c>
      <c r="B612" s="3" t="s">
        <v>714</v>
      </c>
      <c r="C612" s="84">
        <v>44377</v>
      </c>
      <c r="D612" s="3" t="s">
        <v>447</v>
      </c>
      <c r="E612" s="3" t="s">
        <v>337</v>
      </c>
      <c r="F612" s="3" t="s">
        <v>337</v>
      </c>
      <c r="G612" s="70" t="s">
        <v>448</v>
      </c>
      <c r="H612" s="3" t="s">
        <v>343</v>
      </c>
      <c r="I612" s="3" t="s">
        <v>449</v>
      </c>
      <c r="J612" s="3">
        <v>0</v>
      </c>
      <c r="K612" s="3">
        <v>0</v>
      </c>
      <c r="L612" s="3">
        <v>2</v>
      </c>
      <c r="M612" s="3">
        <v>0</v>
      </c>
      <c r="N612" s="3">
        <v>-2</v>
      </c>
      <c r="O612" s="70">
        <v>2</v>
      </c>
      <c r="P612" s="3">
        <v>0</v>
      </c>
      <c r="Q612" s="3">
        <v>0</v>
      </c>
      <c r="R612" s="3">
        <v>0.68</v>
      </c>
      <c r="S612" s="3">
        <v>1.36</v>
      </c>
      <c r="T612" s="3">
        <v>0</v>
      </c>
      <c r="U612" s="3">
        <v>-1.36</v>
      </c>
      <c r="V612" s="70" t="s">
        <v>591</v>
      </c>
      <c r="W612" s="3" t="s">
        <v>343</v>
      </c>
      <c r="X612" s="3" t="s">
        <v>337</v>
      </c>
      <c r="Y612" s="3" t="s">
        <v>337</v>
      </c>
    </row>
    <row r="613" spans="1:25" hidden="1" x14ac:dyDescent="0.2">
      <c r="A613" s="83" t="str">
        <f t="shared" si="9"/>
        <v>郑州政六街百事冰红茶</v>
      </c>
      <c r="B613" s="3" t="s">
        <v>714</v>
      </c>
      <c r="C613" s="84">
        <v>44377</v>
      </c>
      <c r="D613" s="3" t="s">
        <v>608</v>
      </c>
      <c r="E613" s="3" t="s">
        <v>337</v>
      </c>
      <c r="F613" s="3" t="s">
        <v>337</v>
      </c>
      <c r="G613" s="70" t="s">
        <v>609</v>
      </c>
      <c r="H613" s="3" t="s">
        <v>610</v>
      </c>
      <c r="I613" s="3" t="s">
        <v>452</v>
      </c>
      <c r="J613" s="3">
        <v>0</v>
      </c>
      <c r="K613" s="3">
        <v>20000</v>
      </c>
      <c r="L613" s="3">
        <v>5823.6</v>
      </c>
      <c r="M613" s="3">
        <v>11000</v>
      </c>
      <c r="N613" s="3">
        <v>14176.4</v>
      </c>
      <c r="O613" s="70">
        <v>-3176.4</v>
      </c>
      <c r="P613" s="3">
        <v>0</v>
      </c>
      <c r="Q613" s="3">
        <v>0</v>
      </c>
      <c r="R613" s="3">
        <v>1.6150999999999999E-2</v>
      </c>
      <c r="S613" s="3">
        <v>-51.3</v>
      </c>
      <c r="T613" s="3">
        <v>177.66</v>
      </c>
      <c r="U613" s="3">
        <v>228.96</v>
      </c>
      <c r="V613" s="70" t="s">
        <v>591</v>
      </c>
      <c r="W613" s="3" t="s">
        <v>343</v>
      </c>
      <c r="X613" s="3" t="s">
        <v>337</v>
      </c>
      <c r="Y613" s="3" t="s">
        <v>337</v>
      </c>
    </row>
    <row r="614" spans="1:25" hidden="1" x14ac:dyDescent="0.2">
      <c r="A614" s="83" t="str">
        <f t="shared" si="9"/>
        <v>郑州盛华里百事冰红茶</v>
      </c>
      <c r="B614" s="3" t="s">
        <v>709</v>
      </c>
      <c r="C614" s="84">
        <v>44377</v>
      </c>
      <c r="D614" s="3" t="s">
        <v>608</v>
      </c>
      <c r="E614" s="3" t="s">
        <v>337</v>
      </c>
      <c r="F614" s="3" t="s">
        <v>337</v>
      </c>
      <c r="G614" s="70" t="s">
        <v>609</v>
      </c>
      <c r="H614" s="3" t="s">
        <v>610</v>
      </c>
      <c r="I614" s="3" t="s">
        <v>452</v>
      </c>
      <c r="J614" s="3">
        <v>0</v>
      </c>
      <c r="K614" s="3">
        <v>10000</v>
      </c>
      <c r="L614" s="3">
        <v>2721.9</v>
      </c>
      <c r="M614" s="3">
        <v>7270</v>
      </c>
      <c r="N614" s="3">
        <v>7278.1</v>
      </c>
      <c r="O614" s="70">
        <v>-8.1</v>
      </c>
      <c r="P614" s="3">
        <v>0</v>
      </c>
      <c r="Q614" s="3">
        <v>0</v>
      </c>
      <c r="R614" s="3">
        <v>1.6150999999999999E-2</v>
      </c>
      <c r="S614" s="3">
        <v>-0.13</v>
      </c>
      <c r="T614" s="3">
        <v>117.42</v>
      </c>
      <c r="U614" s="3">
        <v>117.55</v>
      </c>
      <c r="V614" s="70" t="s">
        <v>637</v>
      </c>
      <c r="W614" s="3" t="s">
        <v>343</v>
      </c>
      <c r="X614" s="3" t="s">
        <v>337</v>
      </c>
      <c r="Y614" s="3" t="s">
        <v>337</v>
      </c>
    </row>
    <row r="615" spans="1:25" hidden="1" x14ac:dyDescent="0.2">
      <c r="A615" s="83" t="str">
        <f t="shared" si="9"/>
        <v>滑县滑台百事冰红茶</v>
      </c>
      <c r="B615" s="3" t="s">
        <v>710</v>
      </c>
      <c r="C615" s="84">
        <v>44377</v>
      </c>
      <c r="D615" s="3" t="s">
        <v>608</v>
      </c>
      <c r="E615" s="3" t="s">
        <v>337</v>
      </c>
      <c r="F615" s="3" t="s">
        <v>337</v>
      </c>
      <c r="G615" s="70" t="s">
        <v>609</v>
      </c>
      <c r="H615" s="3" t="s">
        <v>610</v>
      </c>
      <c r="I615" s="3" t="s">
        <v>452</v>
      </c>
      <c r="J615" s="3">
        <v>0</v>
      </c>
      <c r="K615" s="3">
        <v>10000</v>
      </c>
      <c r="L615" s="3">
        <v>3354.9</v>
      </c>
      <c r="M615" s="3">
        <v>6000</v>
      </c>
      <c r="N615" s="3">
        <v>6645.1</v>
      </c>
      <c r="O615" s="70">
        <v>-645.1</v>
      </c>
      <c r="P615" s="3">
        <v>0</v>
      </c>
      <c r="Q615" s="3">
        <v>0</v>
      </c>
      <c r="R615" s="3">
        <v>1.6152E-2</v>
      </c>
      <c r="S615" s="3">
        <v>-10.42</v>
      </c>
      <c r="T615" s="3">
        <v>96.91</v>
      </c>
      <c r="U615" s="3">
        <v>107.33</v>
      </c>
      <c r="V615" s="70" t="s">
        <v>639</v>
      </c>
      <c r="W615" s="3" t="s">
        <v>343</v>
      </c>
      <c r="X615" s="3" t="s">
        <v>337</v>
      </c>
      <c r="Y615" s="3" t="s">
        <v>337</v>
      </c>
    </row>
    <row r="616" spans="1:25" hidden="1" x14ac:dyDescent="0.2">
      <c r="A616" s="83" t="str">
        <f t="shared" si="9"/>
        <v>清丰凤鸣百事冰红茶</v>
      </c>
      <c r="B616" s="3" t="s">
        <v>713</v>
      </c>
      <c r="C616" s="84">
        <v>44377</v>
      </c>
      <c r="D616" s="3" t="s">
        <v>608</v>
      </c>
      <c r="E616" s="3" t="s">
        <v>337</v>
      </c>
      <c r="F616" s="3" t="s">
        <v>337</v>
      </c>
      <c r="G616" s="70" t="s">
        <v>609</v>
      </c>
      <c r="H616" s="3" t="s">
        <v>610</v>
      </c>
      <c r="I616" s="3" t="s">
        <v>452</v>
      </c>
      <c r="J616" s="3">
        <v>0</v>
      </c>
      <c r="K616" s="3">
        <v>10000</v>
      </c>
      <c r="L616" s="3">
        <v>1519.2</v>
      </c>
      <c r="M616" s="3">
        <v>8500</v>
      </c>
      <c r="N616" s="3">
        <v>8480.7999999999993</v>
      </c>
      <c r="O616" s="70">
        <v>19.2</v>
      </c>
      <c r="P616" s="3">
        <v>0</v>
      </c>
      <c r="Q616" s="3">
        <v>0</v>
      </c>
      <c r="R616" s="3">
        <v>1.6150999999999999E-2</v>
      </c>
      <c r="S616" s="3">
        <v>0.31</v>
      </c>
      <c r="T616" s="3">
        <v>137.28</v>
      </c>
      <c r="U616" s="3">
        <v>136.97</v>
      </c>
      <c r="V616" s="70" t="s">
        <v>334</v>
      </c>
      <c r="W616" s="3" t="s">
        <v>343</v>
      </c>
      <c r="X616" s="3" t="s">
        <v>337</v>
      </c>
      <c r="Y616" s="3" t="s">
        <v>337</v>
      </c>
    </row>
    <row r="617" spans="1:25" hidden="1" x14ac:dyDescent="0.2">
      <c r="A617" s="83" t="str">
        <f t="shared" si="9"/>
        <v>方城锦城国际百事冰红茶</v>
      </c>
      <c r="B617" s="3" t="s">
        <v>712</v>
      </c>
      <c r="C617" s="84">
        <v>44377</v>
      </c>
      <c r="D617" s="3" t="s">
        <v>608</v>
      </c>
      <c r="E617" s="3" t="s">
        <v>337</v>
      </c>
      <c r="F617" s="3" t="s">
        <v>337</v>
      </c>
      <c r="G617" s="70" t="s">
        <v>609</v>
      </c>
      <c r="H617" s="3" t="s">
        <v>610</v>
      </c>
      <c r="I617" s="3" t="s">
        <v>452</v>
      </c>
      <c r="J617" s="3">
        <v>0</v>
      </c>
      <c r="K617" s="3">
        <v>10000</v>
      </c>
      <c r="L617" s="3">
        <v>1709.1</v>
      </c>
      <c r="M617" s="3">
        <v>8100</v>
      </c>
      <c r="N617" s="3">
        <v>8290.9</v>
      </c>
      <c r="O617" s="70">
        <v>-190.9</v>
      </c>
      <c r="P617" s="3">
        <v>0</v>
      </c>
      <c r="Q617" s="3">
        <v>0</v>
      </c>
      <c r="R617" s="3">
        <v>1.6152E-2</v>
      </c>
      <c r="S617" s="3">
        <v>-3.08</v>
      </c>
      <c r="T617" s="3">
        <v>130.83000000000001</v>
      </c>
      <c r="U617" s="3">
        <v>133.91</v>
      </c>
      <c r="V617" s="70" t="s">
        <v>594</v>
      </c>
      <c r="W617" s="3" t="s">
        <v>343</v>
      </c>
      <c r="X617" s="3" t="s">
        <v>337</v>
      </c>
      <c r="Y617" s="3" t="s">
        <v>337</v>
      </c>
    </row>
    <row r="618" spans="1:25" hidden="1" x14ac:dyDescent="0.2">
      <c r="A618" s="83" t="str">
        <f t="shared" si="9"/>
        <v>郑州裕华百事冰红茶</v>
      </c>
      <c r="B618" s="3" t="s">
        <v>711</v>
      </c>
      <c r="C618" s="84">
        <v>44377</v>
      </c>
      <c r="D618" s="3" t="s">
        <v>608</v>
      </c>
      <c r="E618" s="3" t="s">
        <v>337</v>
      </c>
      <c r="F618" s="3" t="s">
        <v>337</v>
      </c>
      <c r="G618" s="70" t="s">
        <v>609</v>
      </c>
      <c r="H618" s="3" t="s">
        <v>610</v>
      </c>
      <c r="I618" s="3" t="s">
        <v>452</v>
      </c>
      <c r="J618" s="3">
        <v>0</v>
      </c>
      <c r="K618" s="3">
        <v>10000</v>
      </c>
      <c r="L618" s="3">
        <v>886.2</v>
      </c>
      <c r="M618" s="3">
        <v>9000</v>
      </c>
      <c r="N618" s="3">
        <v>9113.7999999999993</v>
      </c>
      <c r="O618" s="70">
        <v>-113.8</v>
      </c>
      <c r="P618" s="3">
        <v>0</v>
      </c>
      <c r="Q618" s="3">
        <v>0</v>
      </c>
      <c r="R618" s="3">
        <v>1.6150999999999999E-2</v>
      </c>
      <c r="S618" s="3">
        <v>-1.84</v>
      </c>
      <c r="T618" s="3">
        <v>145.36000000000001</v>
      </c>
      <c r="U618" s="3">
        <v>147.19999999999999</v>
      </c>
      <c r="V618" s="70" t="s">
        <v>641</v>
      </c>
      <c r="W618" s="3" t="s">
        <v>343</v>
      </c>
      <c r="X618" s="3" t="s">
        <v>337</v>
      </c>
      <c r="Y618" s="3" t="s">
        <v>337</v>
      </c>
    </row>
    <row r="619" spans="1:25" hidden="1" x14ac:dyDescent="0.2">
      <c r="A619" s="83" t="str">
        <f t="shared" si="9"/>
        <v>郑州康复中街百事冰红茶</v>
      </c>
      <c r="B619" s="3" t="s">
        <v>704</v>
      </c>
      <c r="C619" s="84">
        <v>44377</v>
      </c>
      <c r="D619" s="3" t="s">
        <v>608</v>
      </c>
      <c r="E619" s="3" t="s">
        <v>337</v>
      </c>
      <c r="F619" s="3" t="s">
        <v>337</v>
      </c>
      <c r="G619" s="70" t="s">
        <v>609</v>
      </c>
      <c r="H619" s="3" t="s">
        <v>610</v>
      </c>
      <c r="I619" s="3" t="s">
        <v>452</v>
      </c>
      <c r="J619" s="3">
        <v>0</v>
      </c>
      <c r="K619" s="3">
        <v>10000</v>
      </c>
      <c r="L619" s="3">
        <v>8292.2999999999993</v>
      </c>
      <c r="M619" s="3">
        <v>0</v>
      </c>
      <c r="N619" s="3">
        <v>1707.7</v>
      </c>
      <c r="O619" s="70">
        <v>-1707.7</v>
      </c>
      <c r="P619" s="3">
        <v>0</v>
      </c>
      <c r="Q619" s="3">
        <v>0</v>
      </c>
      <c r="R619" s="3">
        <v>1.6150000000000001E-2</v>
      </c>
      <c r="S619" s="3">
        <v>-27.58</v>
      </c>
      <c r="T619" s="3">
        <v>0</v>
      </c>
      <c r="U619" s="3">
        <v>27.58</v>
      </c>
      <c r="V619" s="70" t="s">
        <v>593</v>
      </c>
      <c r="W619" s="3" t="s">
        <v>343</v>
      </c>
      <c r="X619" s="3" t="s">
        <v>337</v>
      </c>
      <c r="Y619" s="3" t="s">
        <v>337</v>
      </c>
    </row>
    <row r="620" spans="1:25" hidden="1" x14ac:dyDescent="0.2">
      <c r="A620" s="83" t="str">
        <f t="shared" si="9"/>
        <v>新蔡水韵天街百事冰红茶</v>
      </c>
      <c r="B620" s="3" t="s">
        <v>703</v>
      </c>
      <c r="C620" s="84">
        <v>44377</v>
      </c>
      <c r="D620" s="3" t="s">
        <v>608</v>
      </c>
      <c r="E620" s="3" t="s">
        <v>337</v>
      </c>
      <c r="F620" s="3" t="s">
        <v>337</v>
      </c>
      <c r="G620" s="70" t="s">
        <v>609</v>
      </c>
      <c r="H620" s="3" t="s">
        <v>610</v>
      </c>
      <c r="I620" s="3" t="s">
        <v>452</v>
      </c>
      <c r="J620" s="3">
        <v>0</v>
      </c>
      <c r="K620" s="3">
        <v>10000</v>
      </c>
      <c r="L620" s="3">
        <v>3291.6</v>
      </c>
      <c r="M620" s="3">
        <v>6500</v>
      </c>
      <c r="N620" s="3">
        <v>6708.4</v>
      </c>
      <c r="O620" s="70">
        <v>-208.4</v>
      </c>
      <c r="P620" s="3">
        <v>0</v>
      </c>
      <c r="Q620" s="3">
        <v>0</v>
      </c>
      <c r="R620" s="3">
        <v>1.6149E-2</v>
      </c>
      <c r="S620" s="3">
        <v>-3.37</v>
      </c>
      <c r="T620" s="3">
        <v>104.97</v>
      </c>
      <c r="U620" s="3">
        <v>108.33</v>
      </c>
      <c r="V620" s="70" t="s">
        <v>335</v>
      </c>
      <c r="W620" s="3" t="s">
        <v>343</v>
      </c>
      <c r="X620" s="3" t="s">
        <v>337</v>
      </c>
      <c r="Y620" s="3" t="s">
        <v>337</v>
      </c>
    </row>
    <row r="621" spans="1:25" hidden="1" x14ac:dyDescent="0.2">
      <c r="A621" s="83" t="str">
        <f t="shared" si="9"/>
        <v>郑州瀚海海尚百事冰红茶</v>
      </c>
      <c r="B621" s="3" t="s">
        <v>706</v>
      </c>
      <c r="C621" s="84">
        <v>44377</v>
      </c>
      <c r="D621" s="3" t="s">
        <v>608</v>
      </c>
      <c r="E621" s="3" t="s">
        <v>337</v>
      </c>
      <c r="F621" s="3" t="s">
        <v>337</v>
      </c>
      <c r="G621" s="70" t="s">
        <v>609</v>
      </c>
      <c r="H621" s="3" t="s">
        <v>610</v>
      </c>
      <c r="I621" s="3" t="s">
        <v>452</v>
      </c>
      <c r="J621" s="3">
        <v>0</v>
      </c>
      <c r="K621" s="3">
        <v>20000</v>
      </c>
      <c r="L621" s="3">
        <v>6646.5</v>
      </c>
      <c r="M621" s="3">
        <v>14000</v>
      </c>
      <c r="N621" s="3">
        <v>13353.5</v>
      </c>
      <c r="O621" s="70">
        <v>646.5</v>
      </c>
      <c r="P621" s="3">
        <v>0</v>
      </c>
      <c r="Q621" s="3">
        <v>0</v>
      </c>
      <c r="R621" s="3">
        <v>1.6150999999999999E-2</v>
      </c>
      <c r="S621" s="3">
        <v>10.44</v>
      </c>
      <c r="T621" s="3">
        <v>226.12</v>
      </c>
      <c r="U621" s="3">
        <v>215.67</v>
      </c>
      <c r="V621" s="70" t="s">
        <v>333</v>
      </c>
      <c r="W621" s="3" t="s">
        <v>343</v>
      </c>
      <c r="X621" s="3" t="s">
        <v>337</v>
      </c>
      <c r="Y621" s="3" t="s">
        <v>337</v>
      </c>
    </row>
    <row r="622" spans="1:25" hidden="1" x14ac:dyDescent="0.2">
      <c r="A622" s="83" t="str">
        <f t="shared" si="9"/>
        <v>华山龙源百事冰红茶</v>
      </c>
      <c r="B622" s="3" t="s">
        <v>705</v>
      </c>
      <c r="C622" s="84">
        <v>44377</v>
      </c>
      <c r="D622" s="3" t="s">
        <v>608</v>
      </c>
      <c r="E622" s="3" t="s">
        <v>337</v>
      </c>
      <c r="F622" s="3" t="s">
        <v>337</v>
      </c>
      <c r="G622" s="70" t="s">
        <v>609</v>
      </c>
      <c r="H622" s="3" t="s">
        <v>610</v>
      </c>
      <c r="I622" s="3" t="s">
        <v>452</v>
      </c>
      <c r="J622" s="3">
        <v>0</v>
      </c>
      <c r="K622" s="3">
        <v>10000</v>
      </c>
      <c r="L622" s="3">
        <v>1519.2</v>
      </c>
      <c r="M622" s="3">
        <v>8000</v>
      </c>
      <c r="N622" s="3">
        <v>8480.7999999999993</v>
      </c>
      <c r="O622" s="70">
        <v>-480.8</v>
      </c>
      <c r="P622" s="3">
        <v>0</v>
      </c>
      <c r="Q622" s="3">
        <v>0</v>
      </c>
      <c r="R622" s="3">
        <v>1.6153000000000001E-2</v>
      </c>
      <c r="S622" s="3">
        <v>-7.77</v>
      </c>
      <c r="T622" s="3">
        <v>129.22</v>
      </c>
      <c r="U622" s="3">
        <v>136.99</v>
      </c>
      <c r="V622" s="70" t="s">
        <v>643</v>
      </c>
      <c r="W622" s="3" t="s">
        <v>343</v>
      </c>
      <c r="X622" s="3" t="s">
        <v>337</v>
      </c>
      <c r="Y622" s="3" t="s">
        <v>337</v>
      </c>
    </row>
    <row r="623" spans="1:25" hidden="1" x14ac:dyDescent="0.2">
      <c r="A623" s="83" t="str">
        <f t="shared" si="9"/>
        <v>郑州西悦城百事冰红茶</v>
      </c>
      <c r="B623" s="3" t="s">
        <v>708</v>
      </c>
      <c r="C623" s="84">
        <v>44377</v>
      </c>
      <c r="D623" s="3" t="s">
        <v>608</v>
      </c>
      <c r="E623" s="3" t="s">
        <v>337</v>
      </c>
      <c r="F623" s="3" t="s">
        <v>337</v>
      </c>
      <c r="G623" s="70" t="s">
        <v>609</v>
      </c>
      <c r="H623" s="3" t="s">
        <v>610</v>
      </c>
      <c r="I623" s="3" t="s">
        <v>452</v>
      </c>
      <c r="J623" s="3">
        <v>0</v>
      </c>
      <c r="K623" s="3">
        <v>20000</v>
      </c>
      <c r="L623" s="3">
        <v>11330.7</v>
      </c>
      <c r="M623" s="3">
        <v>8700</v>
      </c>
      <c r="N623" s="3">
        <v>8669.2999999999993</v>
      </c>
      <c r="O623" s="70">
        <v>30.7</v>
      </c>
      <c r="P623" s="3">
        <v>0</v>
      </c>
      <c r="Q623" s="3">
        <v>0</v>
      </c>
      <c r="R623" s="3">
        <v>1.6175999999999999E-2</v>
      </c>
      <c r="S623" s="3">
        <v>0.5</v>
      </c>
      <c r="T623" s="3">
        <v>140.72999999999999</v>
      </c>
      <c r="U623" s="3">
        <v>140.22999999999999</v>
      </c>
      <c r="V623" s="70" t="s">
        <v>332</v>
      </c>
      <c r="W623" s="3" t="s">
        <v>343</v>
      </c>
      <c r="X623" s="3" t="s">
        <v>337</v>
      </c>
      <c r="Y623" s="3" t="s">
        <v>337</v>
      </c>
    </row>
    <row r="624" spans="1:25" hidden="1" x14ac:dyDescent="0.2">
      <c r="A624" s="83" t="str">
        <f t="shared" si="9"/>
        <v>郑州铁英街百事冰红茶</v>
      </c>
      <c r="B624" s="3" t="s">
        <v>707</v>
      </c>
      <c r="C624" s="84">
        <v>44377</v>
      </c>
      <c r="D624" s="3" t="s">
        <v>608</v>
      </c>
      <c r="E624" s="3" t="s">
        <v>337</v>
      </c>
      <c r="F624" s="3" t="s">
        <v>337</v>
      </c>
      <c r="G624" s="70" t="s">
        <v>609</v>
      </c>
      <c r="H624" s="3" t="s">
        <v>610</v>
      </c>
      <c r="I624" s="3" t="s">
        <v>452</v>
      </c>
      <c r="J624" s="3">
        <v>0</v>
      </c>
      <c r="K624" s="3">
        <v>10000</v>
      </c>
      <c r="L624" s="3">
        <v>3924.6</v>
      </c>
      <c r="M624" s="3">
        <v>6100</v>
      </c>
      <c r="N624" s="3">
        <v>6075.4</v>
      </c>
      <c r="O624" s="70">
        <v>24.6</v>
      </c>
      <c r="P624" s="3">
        <v>0</v>
      </c>
      <c r="Q624" s="3">
        <v>0</v>
      </c>
      <c r="R624" s="3">
        <v>1.6152E-2</v>
      </c>
      <c r="S624" s="3">
        <v>0.4</v>
      </c>
      <c r="T624" s="3">
        <v>98.53</v>
      </c>
      <c r="U624" s="3">
        <v>98.13</v>
      </c>
      <c r="V624" s="70" t="s">
        <v>592</v>
      </c>
      <c r="W624" s="3" t="s">
        <v>343</v>
      </c>
      <c r="X624" s="3" t="s">
        <v>337</v>
      </c>
      <c r="Y624" s="3" t="s">
        <v>337</v>
      </c>
    </row>
    <row r="625" spans="1:25" hidden="1" x14ac:dyDescent="0.2">
      <c r="A625" s="83" t="str">
        <f t="shared" si="9"/>
        <v>郑州铁英街口罩</v>
      </c>
      <c r="B625" s="3" t="s">
        <v>707</v>
      </c>
      <c r="C625" s="84">
        <v>44377</v>
      </c>
      <c r="D625" s="3" t="s">
        <v>450</v>
      </c>
      <c r="E625" s="3" t="s">
        <v>337</v>
      </c>
      <c r="F625" s="3" t="s">
        <v>337</v>
      </c>
      <c r="G625" s="70" t="s">
        <v>451</v>
      </c>
      <c r="H625" s="3" t="s">
        <v>343</v>
      </c>
      <c r="I625" s="3" t="s">
        <v>339</v>
      </c>
      <c r="J625" s="3">
        <v>123</v>
      </c>
      <c r="K625" s="3">
        <v>100</v>
      </c>
      <c r="L625" s="3">
        <v>0</v>
      </c>
      <c r="M625" s="3">
        <v>130</v>
      </c>
      <c r="N625" s="3">
        <v>223</v>
      </c>
      <c r="O625" s="70">
        <v>-93</v>
      </c>
      <c r="P625" s="3">
        <v>0</v>
      </c>
      <c r="Q625" s="3">
        <v>0</v>
      </c>
      <c r="R625" s="3">
        <v>0.23</v>
      </c>
      <c r="S625" s="3">
        <v>-21.39</v>
      </c>
      <c r="T625" s="3">
        <v>29.9</v>
      </c>
      <c r="U625" s="3">
        <v>51.29</v>
      </c>
      <c r="V625" s="70" t="s">
        <v>592</v>
      </c>
      <c r="W625" s="3" t="s">
        <v>343</v>
      </c>
      <c r="X625" s="3" t="s">
        <v>337</v>
      </c>
      <c r="Y625" s="3" t="s">
        <v>337</v>
      </c>
    </row>
    <row r="626" spans="1:25" hidden="1" x14ac:dyDescent="0.2">
      <c r="A626" s="83" t="str">
        <f t="shared" si="9"/>
        <v>郑州西悦城口罩</v>
      </c>
      <c r="B626" s="3" t="s">
        <v>708</v>
      </c>
      <c r="C626" s="84">
        <v>44377</v>
      </c>
      <c r="D626" s="3" t="s">
        <v>450</v>
      </c>
      <c r="E626" s="3" t="s">
        <v>337</v>
      </c>
      <c r="F626" s="3" t="s">
        <v>337</v>
      </c>
      <c r="G626" s="70" t="s">
        <v>451</v>
      </c>
      <c r="H626" s="3" t="s">
        <v>343</v>
      </c>
      <c r="I626" s="3" t="s">
        <v>339</v>
      </c>
      <c r="J626" s="3">
        <v>100</v>
      </c>
      <c r="K626" s="3">
        <v>0</v>
      </c>
      <c r="L626" s="3">
        <v>0</v>
      </c>
      <c r="M626" s="3">
        <v>30</v>
      </c>
      <c r="N626" s="3">
        <v>100</v>
      </c>
      <c r="O626" s="70">
        <v>-70</v>
      </c>
      <c r="P626" s="3">
        <v>0</v>
      </c>
      <c r="Q626" s="3">
        <v>0</v>
      </c>
      <c r="R626" s="3">
        <v>0.23</v>
      </c>
      <c r="S626" s="3">
        <v>-16.100000000000001</v>
      </c>
      <c r="T626" s="3">
        <v>6.9</v>
      </c>
      <c r="U626" s="3">
        <v>23</v>
      </c>
      <c r="V626" s="70" t="s">
        <v>332</v>
      </c>
      <c r="W626" s="3" t="s">
        <v>343</v>
      </c>
      <c r="X626" s="3" t="s">
        <v>337</v>
      </c>
      <c r="Y626" s="3" t="s">
        <v>337</v>
      </c>
    </row>
    <row r="627" spans="1:25" hidden="1" x14ac:dyDescent="0.2">
      <c r="A627" s="83" t="str">
        <f t="shared" si="9"/>
        <v>华山龙源口罩</v>
      </c>
      <c r="B627" s="3" t="s">
        <v>705</v>
      </c>
      <c r="C627" s="84">
        <v>44377</v>
      </c>
      <c r="D627" s="3" t="s">
        <v>450</v>
      </c>
      <c r="E627" s="3" t="s">
        <v>337</v>
      </c>
      <c r="F627" s="3" t="s">
        <v>337</v>
      </c>
      <c r="G627" s="70" t="s">
        <v>451</v>
      </c>
      <c r="H627" s="3" t="s">
        <v>343</v>
      </c>
      <c r="I627" s="3" t="s">
        <v>339</v>
      </c>
      <c r="J627" s="3">
        <v>0</v>
      </c>
      <c r="K627" s="3">
        <v>100</v>
      </c>
      <c r="L627" s="3">
        <v>0</v>
      </c>
      <c r="M627" s="3">
        <v>0</v>
      </c>
      <c r="N627" s="3">
        <v>100</v>
      </c>
      <c r="O627" s="70">
        <v>-100</v>
      </c>
      <c r="P627" s="3">
        <v>0</v>
      </c>
      <c r="Q627" s="3">
        <v>0</v>
      </c>
      <c r="R627" s="3">
        <v>0.23</v>
      </c>
      <c r="S627" s="3">
        <v>-23</v>
      </c>
      <c r="T627" s="3">
        <v>0</v>
      </c>
      <c r="U627" s="3">
        <v>23</v>
      </c>
      <c r="V627" s="70" t="s">
        <v>643</v>
      </c>
      <c r="W627" s="3" t="s">
        <v>343</v>
      </c>
      <c r="X627" s="3" t="s">
        <v>337</v>
      </c>
      <c r="Y627" s="3" t="s">
        <v>337</v>
      </c>
    </row>
    <row r="628" spans="1:25" hidden="1" x14ac:dyDescent="0.2">
      <c r="A628" s="83" t="str">
        <f t="shared" si="9"/>
        <v>郑州瀚海海尚口罩</v>
      </c>
      <c r="B628" s="3" t="s">
        <v>706</v>
      </c>
      <c r="C628" s="84">
        <v>44377</v>
      </c>
      <c r="D628" s="3" t="s">
        <v>450</v>
      </c>
      <c r="E628" s="3" t="s">
        <v>337</v>
      </c>
      <c r="F628" s="3" t="s">
        <v>337</v>
      </c>
      <c r="G628" s="70" t="s">
        <v>451</v>
      </c>
      <c r="H628" s="3" t="s">
        <v>343</v>
      </c>
      <c r="I628" s="3" t="s">
        <v>339</v>
      </c>
      <c r="J628" s="3">
        <v>0</v>
      </c>
      <c r="K628" s="3">
        <v>100</v>
      </c>
      <c r="L628" s="3">
        <v>0</v>
      </c>
      <c r="M628" s="3">
        <v>70</v>
      </c>
      <c r="N628" s="3">
        <v>100</v>
      </c>
      <c r="O628" s="70">
        <v>-30</v>
      </c>
      <c r="P628" s="3">
        <v>0</v>
      </c>
      <c r="Q628" s="3">
        <v>0</v>
      </c>
      <c r="R628" s="3">
        <v>0.23</v>
      </c>
      <c r="S628" s="3">
        <v>-6.9</v>
      </c>
      <c r="T628" s="3">
        <v>16.100000000000001</v>
      </c>
      <c r="U628" s="3">
        <v>23</v>
      </c>
      <c r="V628" s="70" t="s">
        <v>333</v>
      </c>
      <c r="W628" s="3" t="s">
        <v>343</v>
      </c>
      <c r="X628" s="3" t="s">
        <v>337</v>
      </c>
      <c r="Y628" s="3" t="s">
        <v>337</v>
      </c>
    </row>
    <row r="629" spans="1:25" hidden="1" x14ac:dyDescent="0.2">
      <c r="A629" s="83" t="str">
        <f t="shared" si="9"/>
        <v>新蔡水韵天街口罩</v>
      </c>
      <c r="B629" s="3" t="s">
        <v>703</v>
      </c>
      <c r="C629" s="84">
        <v>44377</v>
      </c>
      <c r="D629" s="3" t="s">
        <v>450</v>
      </c>
      <c r="E629" s="3" t="s">
        <v>337</v>
      </c>
      <c r="F629" s="3" t="s">
        <v>337</v>
      </c>
      <c r="G629" s="70" t="s">
        <v>451</v>
      </c>
      <c r="H629" s="3" t="s">
        <v>343</v>
      </c>
      <c r="I629" s="3" t="s">
        <v>339</v>
      </c>
      <c r="J629" s="3">
        <v>80</v>
      </c>
      <c r="K629" s="3">
        <v>200</v>
      </c>
      <c r="L629" s="3">
        <v>0</v>
      </c>
      <c r="M629" s="3">
        <v>50</v>
      </c>
      <c r="N629" s="3">
        <v>280</v>
      </c>
      <c r="O629" s="70">
        <v>-230</v>
      </c>
      <c r="P629" s="3">
        <v>0</v>
      </c>
      <c r="Q629" s="3">
        <v>0</v>
      </c>
      <c r="R629" s="3">
        <v>0.23</v>
      </c>
      <c r="S629" s="3">
        <v>-52.9</v>
      </c>
      <c r="T629" s="3">
        <v>11.5</v>
      </c>
      <c r="U629" s="3">
        <v>64.400000000000006</v>
      </c>
      <c r="V629" s="70" t="s">
        <v>335</v>
      </c>
      <c r="W629" s="3" t="s">
        <v>343</v>
      </c>
      <c r="X629" s="3" t="s">
        <v>337</v>
      </c>
      <c r="Y629" s="3" t="s">
        <v>337</v>
      </c>
    </row>
    <row r="630" spans="1:25" hidden="1" x14ac:dyDescent="0.2">
      <c r="A630" s="83" t="str">
        <f t="shared" si="9"/>
        <v>郑州康复中街口罩</v>
      </c>
      <c r="B630" s="3" t="s">
        <v>704</v>
      </c>
      <c r="C630" s="84">
        <v>44377</v>
      </c>
      <c r="D630" s="3" t="s">
        <v>450</v>
      </c>
      <c r="E630" s="3" t="s">
        <v>337</v>
      </c>
      <c r="F630" s="3" t="s">
        <v>337</v>
      </c>
      <c r="G630" s="70" t="s">
        <v>451</v>
      </c>
      <c r="H630" s="3" t="s">
        <v>343</v>
      </c>
      <c r="I630" s="3" t="s">
        <v>339</v>
      </c>
      <c r="J630" s="3">
        <v>243</v>
      </c>
      <c r="K630" s="3">
        <v>250</v>
      </c>
      <c r="L630" s="3">
        <v>0</v>
      </c>
      <c r="M630" s="3">
        <v>200</v>
      </c>
      <c r="N630" s="3">
        <v>493</v>
      </c>
      <c r="O630" s="70">
        <v>-293</v>
      </c>
      <c r="P630" s="3">
        <v>0</v>
      </c>
      <c r="Q630" s="3">
        <v>0</v>
      </c>
      <c r="R630" s="3">
        <v>0.23</v>
      </c>
      <c r="S630" s="3">
        <v>-67.39</v>
      </c>
      <c r="T630" s="3">
        <v>46</v>
      </c>
      <c r="U630" s="3">
        <v>113.39</v>
      </c>
      <c r="V630" s="70" t="s">
        <v>593</v>
      </c>
      <c r="W630" s="3" t="s">
        <v>343</v>
      </c>
      <c r="X630" s="3" t="s">
        <v>337</v>
      </c>
      <c r="Y630" s="3" t="s">
        <v>337</v>
      </c>
    </row>
    <row r="631" spans="1:25" hidden="1" x14ac:dyDescent="0.2">
      <c r="A631" s="83" t="str">
        <f t="shared" si="9"/>
        <v>郑州裕华口罩</v>
      </c>
      <c r="B631" s="3" t="s">
        <v>711</v>
      </c>
      <c r="C631" s="84">
        <v>44377</v>
      </c>
      <c r="D631" s="3" t="s">
        <v>450</v>
      </c>
      <c r="E631" s="3" t="s">
        <v>337</v>
      </c>
      <c r="F631" s="3" t="s">
        <v>337</v>
      </c>
      <c r="G631" s="70" t="s">
        <v>451</v>
      </c>
      <c r="H631" s="3" t="s">
        <v>343</v>
      </c>
      <c r="I631" s="3" t="s">
        <v>339</v>
      </c>
      <c r="J631" s="3">
        <v>200</v>
      </c>
      <c r="K631" s="3">
        <v>200</v>
      </c>
      <c r="L631" s="3">
        <v>0</v>
      </c>
      <c r="M631" s="3">
        <v>200</v>
      </c>
      <c r="N631" s="3">
        <v>400</v>
      </c>
      <c r="O631" s="70">
        <v>-200</v>
      </c>
      <c r="P631" s="3">
        <v>0</v>
      </c>
      <c r="Q631" s="3">
        <v>0</v>
      </c>
      <c r="R631" s="3">
        <v>0.23</v>
      </c>
      <c r="S631" s="3">
        <v>-46</v>
      </c>
      <c r="T631" s="3">
        <v>46</v>
      </c>
      <c r="U631" s="3">
        <v>92</v>
      </c>
      <c r="V631" s="70" t="s">
        <v>641</v>
      </c>
      <c r="W631" s="3" t="s">
        <v>343</v>
      </c>
      <c r="X631" s="3" t="s">
        <v>337</v>
      </c>
      <c r="Y631" s="3" t="s">
        <v>337</v>
      </c>
    </row>
    <row r="632" spans="1:25" hidden="1" x14ac:dyDescent="0.2">
      <c r="A632" s="83" t="str">
        <f t="shared" si="9"/>
        <v>方城锦城国际口罩</v>
      </c>
      <c r="B632" s="3" t="s">
        <v>712</v>
      </c>
      <c r="C632" s="84">
        <v>44377</v>
      </c>
      <c r="D632" s="3" t="s">
        <v>450</v>
      </c>
      <c r="E632" s="3" t="s">
        <v>337</v>
      </c>
      <c r="F632" s="3" t="s">
        <v>337</v>
      </c>
      <c r="G632" s="70" t="s">
        <v>451</v>
      </c>
      <c r="H632" s="3" t="s">
        <v>343</v>
      </c>
      <c r="I632" s="3" t="s">
        <v>339</v>
      </c>
      <c r="J632" s="3">
        <v>100</v>
      </c>
      <c r="K632" s="3">
        <v>100</v>
      </c>
      <c r="L632" s="3">
        <v>0</v>
      </c>
      <c r="M632" s="3">
        <v>60</v>
      </c>
      <c r="N632" s="3">
        <v>200</v>
      </c>
      <c r="O632" s="70">
        <v>-140</v>
      </c>
      <c r="P632" s="3">
        <v>0</v>
      </c>
      <c r="Q632" s="3">
        <v>0</v>
      </c>
      <c r="R632" s="3">
        <v>0.23</v>
      </c>
      <c r="S632" s="3">
        <v>-32.200000000000003</v>
      </c>
      <c r="T632" s="3">
        <v>13.8</v>
      </c>
      <c r="U632" s="3">
        <v>46</v>
      </c>
      <c r="V632" s="70" t="s">
        <v>594</v>
      </c>
      <c r="W632" s="3" t="s">
        <v>343</v>
      </c>
      <c r="X632" s="3" t="s">
        <v>337</v>
      </c>
      <c r="Y632" s="3" t="s">
        <v>337</v>
      </c>
    </row>
    <row r="633" spans="1:25" hidden="1" x14ac:dyDescent="0.2">
      <c r="A633" s="83" t="str">
        <f t="shared" si="9"/>
        <v>清丰凤鸣口罩</v>
      </c>
      <c r="B633" s="3" t="s">
        <v>713</v>
      </c>
      <c r="C633" s="84">
        <v>44377</v>
      </c>
      <c r="D633" s="3" t="s">
        <v>450</v>
      </c>
      <c r="E633" s="3" t="s">
        <v>337</v>
      </c>
      <c r="F633" s="3" t="s">
        <v>337</v>
      </c>
      <c r="G633" s="70" t="s">
        <v>451</v>
      </c>
      <c r="H633" s="3" t="s">
        <v>343</v>
      </c>
      <c r="I633" s="3" t="s">
        <v>339</v>
      </c>
      <c r="J633" s="3">
        <v>40</v>
      </c>
      <c r="K633" s="3">
        <v>250</v>
      </c>
      <c r="L633" s="3">
        <v>0</v>
      </c>
      <c r="M633" s="3">
        <v>150</v>
      </c>
      <c r="N633" s="3">
        <v>290</v>
      </c>
      <c r="O633" s="70">
        <v>-140</v>
      </c>
      <c r="P633" s="3">
        <v>0</v>
      </c>
      <c r="Q633" s="3">
        <v>0</v>
      </c>
      <c r="R633" s="3">
        <v>0.23</v>
      </c>
      <c r="S633" s="3">
        <v>-32.200000000000003</v>
      </c>
      <c r="T633" s="3">
        <v>34.5</v>
      </c>
      <c r="U633" s="3">
        <v>66.7</v>
      </c>
      <c r="V633" s="70" t="s">
        <v>334</v>
      </c>
      <c r="W633" s="3" t="s">
        <v>343</v>
      </c>
      <c r="X633" s="3" t="s">
        <v>337</v>
      </c>
      <c r="Y633" s="3" t="s">
        <v>337</v>
      </c>
    </row>
    <row r="634" spans="1:25" hidden="1" x14ac:dyDescent="0.2">
      <c r="A634" s="83" t="str">
        <f t="shared" si="9"/>
        <v>郑州盛华里口罩</v>
      </c>
      <c r="B634" s="3" t="s">
        <v>709</v>
      </c>
      <c r="C634" s="84">
        <v>44377</v>
      </c>
      <c r="D634" s="3" t="s">
        <v>450</v>
      </c>
      <c r="E634" s="3" t="s">
        <v>337</v>
      </c>
      <c r="F634" s="3" t="s">
        <v>337</v>
      </c>
      <c r="G634" s="70" t="s">
        <v>451</v>
      </c>
      <c r="H634" s="3" t="s">
        <v>343</v>
      </c>
      <c r="I634" s="3" t="s">
        <v>339</v>
      </c>
      <c r="J634" s="3">
        <v>300</v>
      </c>
      <c r="K634" s="3">
        <v>250</v>
      </c>
      <c r="L634" s="3">
        <v>0</v>
      </c>
      <c r="M634" s="3">
        <v>500</v>
      </c>
      <c r="N634" s="3">
        <v>550</v>
      </c>
      <c r="O634" s="70">
        <v>-50</v>
      </c>
      <c r="P634" s="3">
        <v>0</v>
      </c>
      <c r="Q634" s="3">
        <v>0</v>
      </c>
      <c r="R634" s="3">
        <v>0.23</v>
      </c>
      <c r="S634" s="3">
        <v>-11.5</v>
      </c>
      <c r="T634" s="3">
        <v>115</v>
      </c>
      <c r="U634" s="3">
        <v>126.5</v>
      </c>
      <c r="V634" s="70" t="s">
        <v>637</v>
      </c>
      <c r="W634" s="3" t="s">
        <v>343</v>
      </c>
      <c r="X634" s="3" t="s">
        <v>337</v>
      </c>
      <c r="Y634" s="3" t="s">
        <v>337</v>
      </c>
    </row>
    <row r="635" spans="1:25" hidden="1" x14ac:dyDescent="0.2">
      <c r="A635" s="83" t="str">
        <f t="shared" si="9"/>
        <v>郑州政六街口罩</v>
      </c>
      <c r="B635" s="3" t="s">
        <v>714</v>
      </c>
      <c r="C635" s="84">
        <v>44377</v>
      </c>
      <c r="D635" s="3" t="s">
        <v>450</v>
      </c>
      <c r="E635" s="3" t="s">
        <v>337</v>
      </c>
      <c r="F635" s="3" t="s">
        <v>337</v>
      </c>
      <c r="G635" s="70" t="s">
        <v>451</v>
      </c>
      <c r="H635" s="3" t="s">
        <v>343</v>
      </c>
      <c r="I635" s="3" t="s">
        <v>339</v>
      </c>
      <c r="J635" s="3">
        <v>152</v>
      </c>
      <c r="K635" s="3">
        <v>0</v>
      </c>
      <c r="L635" s="3">
        <v>0</v>
      </c>
      <c r="M635" s="3">
        <v>50</v>
      </c>
      <c r="N635" s="3">
        <v>152</v>
      </c>
      <c r="O635" s="70">
        <v>-102</v>
      </c>
      <c r="P635" s="3">
        <v>0</v>
      </c>
      <c r="Q635" s="3">
        <v>0</v>
      </c>
      <c r="R635" s="3">
        <v>0.23</v>
      </c>
      <c r="S635" s="3">
        <v>-23.46</v>
      </c>
      <c r="T635" s="3">
        <v>11.5</v>
      </c>
      <c r="U635" s="3">
        <v>34.96</v>
      </c>
      <c r="V635" s="70" t="s">
        <v>591</v>
      </c>
      <c r="W635" s="3" t="s">
        <v>343</v>
      </c>
      <c r="X635" s="3" t="s">
        <v>337</v>
      </c>
      <c r="Y635" s="3" t="s">
        <v>337</v>
      </c>
    </row>
    <row r="636" spans="1:25" hidden="1" x14ac:dyDescent="0.2">
      <c r="A636" s="83" t="str">
        <f t="shared" si="9"/>
        <v>郑州政六街700PP杯</v>
      </c>
      <c r="B636" s="3" t="s">
        <v>714</v>
      </c>
      <c r="C636" s="84">
        <v>44377</v>
      </c>
      <c r="D636" s="3" t="s">
        <v>453</v>
      </c>
      <c r="E636" s="3" t="s">
        <v>337</v>
      </c>
      <c r="F636" s="3" t="s">
        <v>337</v>
      </c>
      <c r="G636" s="70" t="s">
        <v>454</v>
      </c>
      <c r="H636" s="3" t="s">
        <v>455</v>
      </c>
      <c r="I636" s="3" t="s">
        <v>339</v>
      </c>
      <c r="J636" s="3">
        <v>63</v>
      </c>
      <c r="K636" s="3">
        <v>250</v>
      </c>
      <c r="L636" s="3">
        <v>83</v>
      </c>
      <c r="M636" s="3">
        <v>228</v>
      </c>
      <c r="N636" s="3">
        <v>230</v>
      </c>
      <c r="O636" s="70">
        <v>-2</v>
      </c>
      <c r="P636" s="3">
        <v>0</v>
      </c>
      <c r="Q636" s="3">
        <v>0</v>
      </c>
      <c r="R636" s="3">
        <v>0.24</v>
      </c>
      <c r="S636" s="3">
        <v>-0.48</v>
      </c>
      <c r="T636" s="3">
        <v>54.72</v>
      </c>
      <c r="U636" s="3">
        <v>55.2</v>
      </c>
      <c r="V636" s="70" t="s">
        <v>591</v>
      </c>
      <c r="W636" s="3" t="s">
        <v>343</v>
      </c>
      <c r="X636" s="3" t="s">
        <v>337</v>
      </c>
      <c r="Y636" s="3" t="s">
        <v>337</v>
      </c>
    </row>
    <row r="637" spans="1:25" hidden="1" x14ac:dyDescent="0.2">
      <c r="A637" s="83" t="str">
        <f t="shared" si="9"/>
        <v>郑州盛华里700PP杯</v>
      </c>
      <c r="B637" s="3" t="s">
        <v>709</v>
      </c>
      <c r="C637" s="84">
        <v>44377</v>
      </c>
      <c r="D637" s="3" t="s">
        <v>453</v>
      </c>
      <c r="E637" s="3" t="s">
        <v>337</v>
      </c>
      <c r="F637" s="3" t="s">
        <v>337</v>
      </c>
      <c r="G637" s="70" t="s">
        <v>454</v>
      </c>
      <c r="H637" s="3" t="s">
        <v>455</v>
      </c>
      <c r="I637" s="3" t="s">
        <v>339</v>
      </c>
      <c r="J637" s="3">
        <v>210</v>
      </c>
      <c r="K637" s="3">
        <v>300</v>
      </c>
      <c r="L637" s="3">
        <v>110</v>
      </c>
      <c r="M637" s="3">
        <v>400</v>
      </c>
      <c r="N637" s="3">
        <v>400</v>
      </c>
      <c r="O637" s="70">
        <v>0</v>
      </c>
      <c r="P637" s="3">
        <v>0</v>
      </c>
      <c r="Q637" s="3">
        <v>0</v>
      </c>
      <c r="R637" s="3">
        <v>0.24</v>
      </c>
      <c r="S637" s="3">
        <v>0</v>
      </c>
      <c r="T637" s="3">
        <v>96</v>
      </c>
      <c r="U637" s="3">
        <v>96</v>
      </c>
      <c r="V637" s="70" t="s">
        <v>637</v>
      </c>
      <c r="W637" s="3" t="s">
        <v>343</v>
      </c>
      <c r="X637" s="3" t="s">
        <v>337</v>
      </c>
      <c r="Y637" s="3" t="s">
        <v>337</v>
      </c>
    </row>
    <row r="638" spans="1:25" hidden="1" x14ac:dyDescent="0.2">
      <c r="A638" s="83" t="str">
        <f t="shared" si="9"/>
        <v>滑县滑台700PP杯</v>
      </c>
      <c r="B638" s="3" t="s">
        <v>710</v>
      </c>
      <c r="C638" s="84">
        <v>44377</v>
      </c>
      <c r="D638" s="3" t="s">
        <v>453</v>
      </c>
      <c r="E638" s="3" t="s">
        <v>337</v>
      </c>
      <c r="F638" s="3" t="s">
        <v>337</v>
      </c>
      <c r="G638" s="70" t="s">
        <v>454</v>
      </c>
      <c r="H638" s="3" t="s">
        <v>455</v>
      </c>
      <c r="I638" s="3" t="s">
        <v>339</v>
      </c>
      <c r="J638" s="3">
        <v>92</v>
      </c>
      <c r="K638" s="3">
        <v>350</v>
      </c>
      <c r="L638" s="3">
        <v>126</v>
      </c>
      <c r="M638" s="3">
        <v>316</v>
      </c>
      <c r="N638" s="3">
        <v>316</v>
      </c>
      <c r="O638" s="70">
        <v>0</v>
      </c>
      <c r="P638" s="3">
        <v>0</v>
      </c>
      <c r="Q638" s="3">
        <v>0</v>
      </c>
      <c r="R638" s="3">
        <v>0.24</v>
      </c>
      <c r="S638" s="3">
        <v>0</v>
      </c>
      <c r="T638" s="3">
        <v>75.84</v>
      </c>
      <c r="U638" s="3">
        <v>75.84</v>
      </c>
      <c r="V638" s="70" t="s">
        <v>639</v>
      </c>
      <c r="W638" s="3" t="s">
        <v>343</v>
      </c>
      <c r="X638" s="3" t="s">
        <v>337</v>
      </c>
      <c r="Y638" s="3" t="s">
        <v>337</v>
      </c>
    </row>
    <row r="639" spans="1:25" hidden="1" x14ac:dyDescent="0.2">
      <c r="A639" s="83" t="str">
        <f t="shared" si="9"/>
        <v>清丰凤鸣700PP杯</v>
      </c>
      <c r="B639" s="3" t="s">
        <v>713</v>
      </c>
      <c r="C639" s="84">
        <v>44377</v>
      </c>
      <c r="D639" s="3" t="s">
        <v>453</v>
      </c>
      <c r="E639" s="3" t="s">
        <v>337</v>
      </c>
      <c r="F639" s="3" t="s">
        <v>337</v>
      </c>
      <c r="G639" s="70" t="s">
        <v>454</v>
      </c>
      <c r="H639" s="3" t="s">
        <v>455</v>
      </c>
      <c r="I639" s="3" t="s">
        <v>339</v>
      </c>
      <c r="J639" s="3">
        <v>54</v>
      </c>
      <c r="K639" s="3">
        <v>200</v>
      </c>
      <c r="L639" s="3">
        <v>93</v>
      </c>
      <c r="M639" s="3">
        <v>192</v>
      </c>
      <c r="N639" s="3">
        <v>161</v>
      </c>
      <c r="O639" s="70">
        <v>31</v>
      </c>
      <c r="P639" s="3">
        <v>0</v>
      </c>
      <c r="Q639" s="3">
        <v>0</v>
      </c>
      <c r="R639" s="3">
        <v>0.24</v>
      </c>
      <c r="S639" s="3">
        <v>7.44</v>
      </c>
      <c r="T639" s="3">
        <v>46.08</v>
      </c>
      <c r="U639" s="3">
        <v>38.64</v>
      </c>
      <c r="V639" s="70" t="s">
        <v>334</v>
      </c>
      <c r="W639" s="3" t="s">
        <v>343</v>
      </c>
      <c r="X639" s="3" t="s">
        <v>337</v>
      </c>
      <c r="Y639" s="3" t="s">
        <v>337</v>
      </c>
    </row>
    <row r="640" spans="1:25" hidden="1" x14ac:dyDescent="0.2">
      <c r="A640" s="83" t="str">
        <f t="shared" si="9"/>
        <v>方城锦城国际700PP杯</v>
      </c>
      <c r="B640" s="3" t="s">
        <v>712</v>
      </c>
      <c r="C640" s="84">
        <v>44377</v>
      </c>
      <c r="D640" s="3" t="s">
        <v>453</v>
      </c>
      <c r="E640" s="3" t="s">
        <v>337</v>
      </c>
      <c r="F640" s="3" t="s">
        <v>337</v>
      </c>
      <c r="G640" s="70" t="s">
        <v>454</v>
      </c>
      <c r="H640" s="3" t="s">
        <v>455</v>
      </c>
      <c r="I640" s="3" t="s">
        <v>339</v>
      </c>
      <c r="J640" s="3">
        <v>6</v>
      </c>
      <c r="K640" s="3">
        <v>500</v>
      </c>
      <c r="L640" s="3">
        <v>357</v>
      </c>
      <c r="M640" s="3">
        <v>149</v>
      </c>
      <c r="N640" s="3">
        <v>149</v>
      </c>
      <c r="O640" s="70">
        <v>0</v>
      </c>
      <c r="P640" s="3">
        <v>0</v>
      </c>
      <c r="Q640" s="3">
        <v>0</v>
      </c>
      <c r="R640" s="3">
        <v>0.24</v>
      </c>
      <c r="S640" s="3">
        <v>0</v>
      </c>
      <c r="T640" s="3">
        <v>35.76</v>
      </c>
      <c r="U640" s="3">
        <v>35.76</v>
      </c>
      <c r="V640" s="70" t="s">
        <v>594</v>
      </c>
      <c r="W640" s="3" t="s">
        <v>343</v>
      </c>
      <c r="X640" s="3" t="s">
        <v>337</v>
      </c>
      <c r="Y640" s="3" t="s">
        <v>337</v>
      </c>
    </row>
    <row r="641" spans="1:25" hidden="1" x14ac:dyDescent="0.2">
      <c r="A641" s="83" t="str">
        <f t="shared" si="9"/>
        <v>郑州裕华700PP杯</v>
      </c>
      <c r="B641" s="3" t="s">
        <v>711</v>
      </c>
      <c r="C641" s="84">
        <v>44377</v>
      </c>
      <c r="D641" s="3" t="s">
        <v>453</v>
      </c>
      <c r="E641" s="3" t="s">
        <v>337</v>
      </c>
      <c r="F641" s="3" t="s">
        <v>337</v>
      </c>
      <c r="G641" s="70" t="s">
        <v>454</v>
      </c>
      <c r="H641" s="3" t="s">
        <v>455</v>
      </c>
      <c r="I641" s="3" t="s">
        <v>339</v>
      </c>
      <c r="J641" s="3">
        <v>121</v>
      </c>
      <c r="K641" s="3">
        <v>200</v>
      </c>
      <c r="L641" s="3">
        <v>67</v>
      </c>
      <c r="M641" s="3">
        <v>300</v>
      </c>
      <c r="N641" s="3">
        <v>254</v>
      </c>
      <c r="O641" s="70">
        <v>46</v>
      </c>
      <c r="P641" s="3">
        <v>0</v>
      </c>
      <c r="Q641" s="3">
        <v>0</v>
      </c>
      <c r="R641" s="3">
        <v>0.24</v>
      </c>
      <c r="S641" s="3">
        <v>11.04</v>
      </c>
      <c r="T641" s="3">
        <v>72</v>
      </c>
      <c r="U641" s="3">
        <v>60.96</v>
      </c>
      <c r="V641" s="70" t="s">
        <v>641</v>
      </c>
      <c r="W641" s="3" t="s">
        <v>343</v>
      </c>
      <c r="X641" s="3" t="s">
        <v>337</v>
      </c>
      <c r="Y641" s="3" t="s">
        <v>337</v>
      </c>
    </row>
    <row r="642" spans="1:25" hidden="1" x14ac:dyDescent="0.2">
      <c r="A642" s="83" t="str">
        <f t="shared" si="9"/>
        <v>郑州康复中街700PP杯</v>
      </c>
      <c r="B642" s="3" t="s">
        <v>704</v>
      </c>
      <c r="C642" s="84">
        <v>44377</v>
      </c>
      <c r="D642" s="3" t="s">
        <v>453</v>
      </c>
      <c r="E642" s="3" t="s">
        <v>337</v>
      </c>
      <c r="F642" s="3" t="s">
        <v>337</v>
      </c>
      <c r="G642" s="70" t="s">
        <v>454</v>
      </c>
      <c r="H642" s="3" t="s">
        <v>455</v>
      </c>
      <c r="I642" s="3" t="s">
        <v>339</v>
      </c>
      <c r="J642" s="3">
        <v>63</v>
      </c>
      <c r="K642" s="3">
        <v>550</v>
      </c>
      <c r="L642" s="3">
        <v>198</v>
      </c>
      <c r="M642" s="3">
        <v>415</v>
      </c>
      <c r="N642" s="3">
        <v>415</v>
      </c>
      <c r="O642" s="70">
        <v>0</v>
      </c>
      <c r="P642" s="3">
        <v>0</v>
      </c>
      <c r="Q642" s="3">
        <v>0</v>
      </c>
      <c r="R642" s="3">
        <v>0.24</v>
      </c>
      <c r="S642" s="3">
        <v>0</v>
      </c>
      <c r="T642" s="3">
        <v>99.6</v>
      </c>
      <c r="U642" s="3">
        <v>99.6</v>
      </c>
      <c r="V642" s="70" t="s">
        <v>593</v>
      </c>
      <c r="W642" s="3" t="s">
        <v>343</v>
      </c>
      <c r="X642" s="3" t="s">
        <v>337</v>
      </c>
      <c r="Y642" s="3" t="s">
        <v>337</v>
      </c>
    </row>
    <row r="643" spans="1:25" hidden="1" x14ac:dyDescent="0.2">
      <c r="A643" s="83" t="str">
        <f t="shared" ref="A643:A706" si="10">V643&amp;G643</f>
        <v>新蔡水韵天街700PP杯</v>
      </c>
      <c r="B643" s="3" t="s">
        <v>703</v>
      </c>
      <c r="C643" s="84">
        <v>44377</v>
      </c>
      <c r="D643" s="3" t="s">
        <v>453</v>
      </c>
      <c r="E643" s="3" t="s">
        <v>337</v>
      </c>
      <c r="F643" s="3" t="s">
        <v>337</v>
      </c>
      <c r="G643" s="70" t="s">
        <v>454</v>
      </c>
      <c r="H643" s="3" t="s">
        <v>455</v>
      </c>
      <c r="I643" s="3" t="s">
        <v>339</v>
      </c>
      <c r="J643" s="3">
        <v>235</v>
      </c>
      <c r="K643" s="3">
        <v>250</v>
      </c>
      <c r="L643" s="3">
        <v>144</v>
      </c>
      <c r="M643" s="3">
        <v>333</v>
      </c>
      <c r="N643" s="3">
        <v>341</v>
      </c>
      <c r="O643" s="70">
        <v>-8</v>
      </c>
      <c r="P643" s="3">
        <v>0</v>
      </c>
      <c r="Q643" s="3">
        <v>0</v>
      </c>
      <c r="R643" s="3">
        <v>0.24</v>
      </c>
      <c r="S643" s="3">
        <v>-1.92</v>
      </c>
      <c r="T643" s="3">
        <v>79.92</v>
      </c>
      <c r="U643" s="3">
        <v>81.84</v>
      </c>
      <c r="V643" s="70" t="s">
        <v>335</v>
      </c>
      <c r="W643" s="3" t="s">
        <v>343</v>
      </c>
      <c r="X643" s="3" t="s">
        <v>337</v>
      </c>
      <c r="Y643" s="3" t="s">
        <v>337</v>
      </c>
    </row>
    <row r="644" spans="1:25" hidden="1" x14ac:dyDescent="0.2">
      <c r="A644" s="83" t="str">
        <f t="shared" si="10"/>
        <v>郑州瀚海海尚700PP杯</v>
      </c>
      <c r="B644" s="3" t="s">
        <v>706</v>
      </c>
      <c r="C644" s="84">
        <v>44377</v>
      </c>
      <c r="D644" s="3" t="s">
        <v>453</v>
      </c>
      <c r="E644" s="3" t="s">
        <v>337</v>
      </c>
      <c r="F644" s="3" t="s">
        <v>337</v>
      </c>
      <c r="G644" s="70" t="s">
        <v>454</v>
      </c>
      <c r="H644" s="3" t="s">
        <v>455</v>
      </c>
      <c r="I644" s="3" t="s">
        <v>339</v>
      </c>
      <c r="J644" s="3">
        <v>234</v>
      </c>
      <c r="K644" s="3">
        <v>200</v>
      </c>
      <c r="L644" s="3">
        <v>279</v>
      </c>
      <c r="M644" s="3">
        <v>155</v>
      </c>
      <c r="N644" s="3">
        <v>155</v>
      </c>
      <c r="O644" s="70">
        <v>0</v>
      </c>
      <c r="P644" s="3">
        <v>0</v>
      </c>
      <c r="Q644" s="3">
        <v>0</v>
      </c>
      <c r="R644" s="3">
        <v>0.24</v>
      </c>
      <c r="S644" s="3">
        <v>0</v>
      </c>
      <c r="T644" s="3">
        <v>37.200000000000003</v>
      </c>
      <c r="U644" s="3">
        <v>37.200000000000003</v>
      </c>
      <c r="V644" s="70" t="s">
        <v>333</v>
      </c>
      <c r="W644" s="3" t="s">
        <v>343</v>
      </c>
      <c r="X644" s="3" t="s">
        <v>337</v>
      </c>
      <c r="Y644" s="3" t="s">
        <v>337</v>
      </c>
    </row>
    <row r="645" spans="1:25" hidden="1" x14ac:dyDescent="0.2">
      <c r="A645" s="83" t="str">
        <f t="shared" si="10"/>
        <v>华山龙源700PP杯</v>
      </c>
      <c r="B645" s="3" t="s">
        <v>705</v>
      </c>
      <c r="C645" s="84">
        <v>44377</v>
      </c>
      <c r="D645" s="3" t="s">
        <v>453</v>
      </c>
      <c r="E645" s="3" t="s">
        <v>337</v>
      </c>
      <c r="F645" s="3" t="s">
        <v>337</v>
      </c>
      <c r="G645" s="70" t="s">
        <v>454</v>
      </c>
      <c r="H645" s="3" t="s">
        <v>455</v>
      </c>
      <c r="I645" s="3" t="s">
        <v>339</v>
      </c>
      <c r="J645" s="3">
        <v>91</v>
      </c>
      <c r="K645" s="3">
        <v>250</v>
      </c>
      <c r="L645" s="3">
        <v>141</v>
      </c>
      <c r="M645" s="3">
        <v>200</v>
      </c>
      <c r="N645" s="3">
        <v>200</v>
      </c>
      <c r="O645" s="70">
        <v>0</v>
      </c>
      <c r="P645" s="3">
        <v>0</v>
      </c>
      <c r="Q645" s="3">
        <v>0</v>
      </c>
      <c r="R645" s="3">
        <v>0.24</v>
      </c>
      <c r="S645" s="3">
        <v>0</v>
      </c>
      <c r="T645" s="3">
        <v>48</v>
      </c>
      <c r="U645" s="3">
        <v>48</v>
      </c>
      <c r="V645" s="70" t="s">
        <v>643</v>
      </c>
      <c r="W645" s="3" t="s">
        <v>343</v>
      </c>
      <c r="X645" s="3" t="s">
        <v>337</v>
      </c>
      <c r="Y645" s="3" t="s">
        <v>337</v>
      </c>
    </row>
    <row r="646" spans="1:25" hidden="1" x14ac:dyDescent="0.2">
      <c r="A646" s="83" t="str">
        <f t="shared" si="10"/>
        <v>郑州西悦城700PP杯</v>
      </c>
      <c r="B646" s="3" t="s">
        <v>708</v>
      </c>
      <c r="C646" s="84">
        <v>44377</v>
      </c>
      <c r="D646" s="3" t="s">
        <v>453</v>
      </c>
      <c r="E646" s="3" t="s">
        <v>337</v>
      </c>
      <c r="F646" s="3" t="s">
        <v>337</v>
      </c>
      <c r="G646" s="70" t="s">
        <v>454</v>
      </c>
      <c r="H646" s="3" t="s">
        <v>455</v>
      </c>
      <c r="I646" s="3" t="s">
        <v>339</v>
      </c>
      <c r="J646" s="3">
        <v>387</v>
      </c>
      <c r="K646" s="3">
        <v>200</v>
      </c>
      <c r="L646" s="3">
        <v>261</v>
      </c>
      <c r="M646" s="3">
        <v>325</v>
      </c>
      <c r="N646" s="3">
        <v>326</v>
      </c>
      <c r="O646" s="70">
        <v>-1</v>
      </c>
      <c r="P646" s="3">
        <v>0</v>
      </c>
      <c r="Q646" s="3">
        <v>0</v>
      </c>
      <c r="R646" s="3">
        <v>0.24</v>
      </c>
      <c r="S646" s="3">
        <v>-0.24</v>
      </c>
      <c r="T646" s="3">
        <v>78</v>
      </c>
      <c r="U646" s="3">
        <v>78.239999999999995</v>
      </c>
      <c r="V646" s="70" t="s">
        <v>332</v>
      </c>
      <c r="W646" s="3" t="s">
        <v>343</v>
      </c>
      <c r="X646" s="3" t="s">
        <v>337</v>
      </c>
      <c r="Y646" s="3" t="s">
        <v>337</v>
      </c>
    </row>
    <row r="647" spans="1:25" hidden="1" x14ac:dyDescent="0.2">
      <c r="A647" s="83" t="str">
        <f t="shared" si="10"/>
        <v>郑州铁英街700PP杯</v>
      </c>
      <c r="B647" s="3" t="s">
        <v>707</v>
      </c>
      <c r="C647" s="84">
        <v>44377</v>
      </c>
      <c r="D647" s="3" t="s">
        <v>453</v>
      </c>
      <c r="E647" s="3" t="s">
        <v>337</v>
      </c>
      <c r="F647" s="3" t="s">
        <v>337</v>
      </c>
      <c r="G647" s="70" t="s">
        <v>454</v>
      </c>
      <c r="H647" s="3" t="s">
        <v>455</v>
      </c>
      <c r="I647" s="3" t="s">
        <v>339</v>
      </c>
      <c r="J647" s="3">
        <v>80</v>
      </c>
      <c r="K647" s="3">
        <v>300</v>
      </c>
      <c r="L647" s="3">
        <v>214</v>
      </c>
      <c r="M647" s="3">
        <v>168</v>
      </c>
      <c r="N647" s="3">
        <v>166</v>
      </c>
      <c r="O647" s="70">
        <v>2</v>
      </c>
      <c r="P647" s="3">
        <v>0</v>
      </c>
      <c r="Q647" s="3">
        <v>0</v>
      </c>
      <c r="R647" s="3">
        <v>0.24</v>
      </c>
      <c r="S647" s="3">
        <v>0.48</v>
      </c>
      <c r="T647" s="3">
        <v>40.32</v>
      </c>
      <c r="U647" s="3">
        <v>39.840000000000003</v>
      </c>
      <c r="V647" s="70" t="s">
        <v>592</v>
      </c>
      <c r="W647" s="3" t="s">
        <v>343</v>
      </c>
      <c r="X647" s="3" t="s">
        <v>337</v>
      </c>
      <c r="Y647" s="3" t="s">
        <v>337</v>
      </c>
    </row>
    <row r="648" spans="1:25" hidden="1" x14ac:dyDescent="0.2">
      <c r="A648" s="83" t="str">
        <f t="shared" si="10"/>
        <v>郑州铁英街700PP杯球盖</v>
      </c>
      <c r="B648" s="3" t="s">
        <v>707</v>
      </c>
      <c r="C648" s="84">
        <v>44377</v>
      </c>
      <c r="D648" s="3" t="s">
        <v>456</v>
      </c>
      <c r="E648" s="3" t="s">
        <v>337</v>
      </c>
      <c r="F648" s="3" t="s">
        <v>337</v>
      </c>
      <c r="G648" s="70" t="s">
        <v>457</v>
      </c>
      <c r="H648" s="3" t="s">
        <v>458</v>
      </c>
      <c r="I648" s="3" t="s">
        <v>339</v>
      </c>
      <c r="J648" s="3">
        <v>0</v>
      </c>
      <c r="K648" s="3">
        <v>0</v>
      </c>
      <c r="L648" s="3">
        <v>214</v>
      </c>
      <c r="M648" s="3">
        <v>0</v>
      </c>
      <c r="N648" s="3">
        <v>-214</v>
      </c>
      <c r="O648" s="70">
        <v>214</v>
      </c>
      <c r="P648" s="3">
        <v>0</v>
      </c>
      <c r="Q648" s="3">
        <v>0</v>
      </c>
      <c r="R648" s="3">
        <v>5.2004000000000002E-2</v>
      </c>
      <c r="S648" s="3">
        <v>11.13</v>
      </c>
      <c r="T648" s="3">
        <v>0</v>
      </c>
      <c r="U648" s="3">
        <v>-11.13</v>
      </c>
      <c r="V648" s="70" t="s">
        <v>592</v>
      </c>
      <c r="W648" s="3" t="s">
        <v>343</v>
      </c>
      <c r="X648" s="3" t="s">
        <v>337</v>
      </c>
      <c r="Y648" s="3" t="s">
        <v>337</v>
      </c>
    </row>
    <row r="649" spans="1:25" hidden="1" x14ac:dyDescent="0.2">
      <c r="A649" s="83" t="str">
        <f t="shared" si="10"/>
        <v>郑州西悦城700PP杯球盖</v>
      </c>
      <c r="B649" s="3" t="s">
        <v>708</v>
      </c>
      <c r="C649" s="84">
        <v>44377</v>
      </c>
      <c r="D649" s="3" t="s">
        <v>456</v>
      </c>
      <c r="E649" s="3" t="s">
        <v>337</v>
      </c>
      <c r="F649" s="3" t="s">
        <v>337</v>
      </c>
      <c r="G649" s="70" t="s">
        <v>457</v>
      </c>
      <c r="H649" s="3" t="s">
        <v>458</v>
      </c>
      <c r="I649" s="3" t="s">
        <v>339</v>
      </c>
      <c r="J649" s="3">
        <v>0</v>
      </c>
      <c r="K649" s="3">
        <v>0</v>
      </c>
      <c r="L649" s="3">
        <v>261</v>
      </c>
      <c r="M649" s="3">
        <v>0</v>
      </c>
      <c r="N649" s="3">
        <v>-261</v>
      </c>
      <c r="O649" s="70">
        <v>261</v>
      </c>
      <c r="P649" s="3">
        <v>0</v>
      </c>
      <c r="Q649" s="3">
        <v>0</v>
      </c>
      <c r="R649" s="3">
        <v>5.2004000000000002E-2</v>
      </c>
      <c r="S649" s="3">
        <v>13.57</v>
      </c>
      <c r="T649" s="3">
        <v>0</v>
      </c>
      <c r="U649" s="3">
        <v>-13.57</v>
      </c>
      <c r="V649" s="70" t="s">
        <v>332</v>
      </c>
      <c r="W649" s="3" t="s">
        <v>343</v>
      </c>
      <c r="X649" s="3" t="s">
        <v>337</v>
      </c>
      <c r="Y649" s="3" t="s">
        <v>337</v>
      </c>
    </row>
    <row r="650" spans="1:25" hidden="1" x14ac:dyDescent="0.2">
      <c r="A650" s="83" t="str">
        <f t="shared" si="10"/>
        <v>郑州瀚海海尚700PP杯球盖</v>
      </c>
      <c r="B650" s="3" t="s">
        <v>706</v>
      </c>
      <c r="C650" s="84">
        <v>44377</v>
      </c>
      <c r="D650" s="3" t="s">
        <v>456</v>
      </c>
      <c r="E650" s="3" t="s">
        <v>337</v>
      </c>
      <c r="F650" s="3" t="s">
        <v>337</v>
      </c>
      <c r="G650" s="70" t="s">
        <v>457</v>
      </c>
      <c r="H650" s="3" t="s">
        <v>458</v>
      </c>
      <c r="I650" s="3" t="s">
        <v>339</v>
      </c>
      <c r="J650" s="3">
        <v>0</v>
      </c>
      <c r="K650" s="3">
        <v>0</v>
      </c>
      <c r="L650" s="3">
        <v>279</v>
      </c>
      <c r="M650" s="3">
        <v>0</v>
      </c>
      <c r="N650" s="3">
        <v>-279</v>
      </c>
      <c r="O650" s="70">
        <v>279</v>
      </c>
      <c r="P650" s="3">
        <v>0</v>
      </c>
      <c r="Q650" s="3">
        <v>0</v>
      </c>
      <c r="R650" s="3">
        <v>5.2004000000000002E-2</v>
      </c>
      <c r="S650" s="3">
        <v>14.51</v>
      </c>
      <c r="T650" s="3">
        <v>0</v>
      </c>
      <c r="U650" s="3">
        <v>-14.51</v>
      </c>
      <c r="V650" s="70" t="s">
        <v>333</v>
      </c>
      <c r="W650" s="3" t="s">
        <v>343</v>
      </c>
      <c r="X650" s="3" t="s">
        <v>337</v>
      </c>
      <c r="Y650" s="3" t="s">
        <v>337</v>
      </c>
    </row>
    <row r="651" spans="1:25" hidden="1" x14ac:dyDescent="0.2">
      <c r="A651" s="83" t="str">
        <f t="shared" si="10"/>
        <v>华山龙源700PP杯球盖</v>
      </c>
      <c r="B651" s="3" t="s">
        <v>705</v>
      </c>
      <c r="C651" s="84">
        <v>44377</v>
      </c>
      <c r="D651" s="3" t="s">
        <v>456</v>
      </c>
      <c r="E651" s="3" t="s">
        <v>337</v>
      </c>
      <c r="F651" s="3" t="s">
        <v>337</v>
      </c>
      <c r="G651" s="70" t="s">
        <v>457</v>
      </c>
      <c r="H651" s="3" t="s">
        <v>458</v>
      </c>
      <c r="I651" s="3" t="s">
        <v>339</v>
      </c>
      <c r="J651" s="3">
        <v>0</v>
      </c>
      <c r="K651" s="3">
        <v>0</v>
      </c>
      <c r="L651" s="3">
        <v>141</v>
      </c>
      <c r="M651" s="3">
        <v>0</v>
      </c>
      <c r="N651" s="3">
        <v>-141</v>
      </c>
      <c r="O651" s="70">
        <v>141</v>
      </c>
      <c r="P651" s="3">
        <v>0</v>
      </c>
      <c r="Q651" s="3">
        <v>0</v>
      </c>
      <c r="R651" s="3">
        <v>5.2004000000000002E-2</v>
      </c>
      <c r="S651" s="3">
        <v>7.33</v>
      </c>
      <c r="T651" s="3">
        <v>0</v>
      </c>
      <c r="U651" s="3">
        <v>-7.33</v>
      </c>
      <c r="V651" s="70" t="s">
        <v>643</v>
      </c>
      <c r="W651" s="3" t="s">
        <v>343</v>
      </c>
      <c r="X651" s="3" t="s">
        <v>337</v>
      </c>
      <c r="Y651" s="3" t="s">
        <v>337</v>
      </c>
    </row>
    <row r="652" spans="1:25" hidden="1" x14ac:dyDescent="0.2">
      <c r="A652" s="83" t="str">
        <f t="shared" si="10"/>
        <v>新蔡水韵天街700PP杯球盖</v>
      </c>
      <c r="B652" s="3" t="s">
        <v>703</v>
      </c>
      <c r="C652" s="84">
        <v>44377</v>
      </c>
      <c r="D652" s="3" t="s">
        <v>456</v>
      </c>
      <c r="E652" s="3" t="s">
        <v>337</v>
      </c>
      <c r="F652" s="3" t="s">
        <v>337</v>
      </c>
      <c r="G652" s="70" t="s">
        <v>457</v>
      </c>
      <c r="H652" s="3" t="s">
        <v>458</v>
      </c>
      <c r="I652" s="3" t="s">
        <v>339</v>
      </c>
      <c r="J652" s="3">
        <v>0</v>
      </c>
      <c r="K652" s="3">
        <v>0</v>
      </c>
      <c r="L652" s="3">
        <v>149</v>
      </c>
      <c r="M652" s="3">
        <v>0</v>
      </c>
      <c r="N652" s="3">
        <v>-149</v>
      </c>
      <c r="O652" s="70">
        <v>149</v>
      </c>
      <c r="P652" s="3">
        <v>0</v>
      </c>
      <c r="Q652" s="3">
        <v>0</v>
      </c>
      <c r="R652" s="3">
        <v>5.2004000000000002E-2</v>
      </c>
      <c r="S652" s="3">
        <v>7.75</v>
      </c>
      <c r="T652" s="3">
        <v>0</v>
      </c>
      <c r="U652" s="3">
        <v>-7.75</v>
      </c>
      <c r="V652" s="70" t="s">
        <v>335</v>
      </c>
      <c r="W652" s="3" t="s">
        <v>343</v>
      </c>
      <c r="X652" s="3" t="s">
        <v>337</v>
      </c>
      <c r="Y652" s="3" t="s">
        <v>337</v>
      </c>
    </row>
    <row r="653" spans="1:25" hidden="1" x14ac:dyDescent="0.2">
      <c r="A653" s="83" t="str">
        <f t="shared" si="10"/>
        <v>郑州康复中街700PP杯球盖</v>
      </c>
      <c r="B653" s="3" t="s">
        <v>704</v>
      </c>
      <c r="C653" s="84">
        <v>44377</v>
      </c>
      <c r="D653" s="3" t="s">
        <v>456</v>
      </c>
      <c r="E653" s="3" t="s">
        <v>337</v>
      </c>
      <c r="F653" s="3" t="s">
        <v>337</v>
      </c>
      <c r="G653" s="70" t="s">
        <v>457</v>
      </c>
      <c r="H653" s="3" t="s">
        <v>458</v>
      </c>
      <c r="I653" s="3" t="s">
        <v>339</v>
      </c>
      <c r="J653" s="3">
        <v>0</v>
      </c>
      <c r="K653" s="3">
        <v>0</v>
      </c>
      <c r="L653" s="3">
        <v>198</v>
      </c>
      <c r="M653" s="3">
        <v>0</v>
      </c>
      <c r="N653" s="3">
        <v>-198</v>
      </c>
      <c r="O653" s="70">
        <v>198</v>
      </c>
      <c r="P653" s="3">
        <v>0</v>
      </c>
      <c r="Q653" s="3">
        <v>0</v>
      </c>
      <c r="R653" s="3">
        <v>5.2004000000000002E-2</v>
      </c>
      <c r="S653" s="3">
        <v>10.3</v>
      </c>
      <c r="T653" s="3">
        <v>0</v>
      </c>
      <c r="U653" s="3">
        <v>-10.3</v>
      </c>
      <c r="V653" s="70" t="s">
        <v>593</v>
      </c>
      <c r="W653" s="3" t="s">
        <v>343</v>
      </c>
      <c r="X653" s="3" t="s">
        <v>337</v>
      </c>
      <c r="Y653" s="3" t="s">
        <v>337</v>
      </c>
    </row>
    <row r="654" spans="1:25" hidden="1" x14ac:dyDescent="0.2">
      <c r="A654" s="83" t="str">
        <f t="shared" si="10"/>
        <v>郑州裕华700PP杯球盖</v>
      </c>
      <c r="B654" s="3" t="s">
        <v>711</v>
      </c>
      <c r="C654" s="84">
        <v>44377</v>
      </c>
      <c r="D654" s="3" t="s">
        <v>456</v>
      </c>
      <c r="E654" s="3" t="s">
        <v>337</v>
      </c>
      <c r="F654" s="3" t="s">
        <v>337</v>
      </c>
      <c r="G654" s="70" t="s">
        <v>457</v>
      </c>
      <c r="H654" s="3" t="s">
        <v>458</v>
      </c>
      <c r="I654" s="3" t="s">
        <v>339</v>
      </c>
      <c r="J654" s="3">
        <v>0</v>
      </c>
      <c r="K654" s="3">
        <v>0</v>
      </c>
      <c r="L654" s="3">
        <v>67</v>
      </c>
      <c r="M654" s="3">
        <v>0</v>
      </c>
      <c r="N654" s="3">
        <v>-67</v>
      </c>
      <c r="O654" s="70">
        <v>67</v>
      </c>
      <c r="P654" s="3">
        <v>0</v>
      </c>
      <c r="Q654" s="3">
        <v>0</v>
      </c>
      <c r="R654" s="3">
        <v>5.2004000000000002E-2</v>
      </c>
      <c r="S654" s="3">
        <v>3.48</v>
      </c>
      <c r="T654" s="3">
        <v>0</v>
      </c>
      <c r="U654" s="3">
        <v>-3.48</v>
      </c>
      <c r="V654" s="70" t="s">
        <v>641</v>
      </c>
      <c r="W654" s="3" t="s">
        <v>343</v>
      </c>
      <c r="X654" s="3" t="s">
        <v>337</v>
      </c>
      <c r="Y654" s="3" t="s">
        <v>337</v>
      </c>
    </row>
    <row r="655" spans="1:25" hidden="1" x14ac:dyDescent="0.2">
      <c r="A655" s="83" t="str">
        <f t="shared" si="10"/>
        <v>清丰凤鸣700PP杯球盖</v>
      </c>
      <c r="B655" s="3" t="s">
        <v>713</v>
      </c>
      <c r="C655" s="84">
        <v>44377</v>
      </c>
      <c r="D655" s="3" t="s">
        <v>456</v>
      </c>
      <c r="E655" s="3" t="s">
        <v>337</v>
      </c>
      <c r="F655" s="3" t="s">
        <v>337</v>
      </c>
      <c r="G655" s="70" t="s">
        <v>457</v>
      </c>
      <c r="H655" s="3" t="s">
        <v>458</v>
      </c>
      <c r="I655" s="3" t="s">
        <v>339</v>
      </c>
      <c r="J655" s="3">
        <v>0</v>
      </c>
      <c r="K655" s="3">
        <v>0</v>
      </c>
      <c r="L655" s="3">
        <v>93</v>
      </c>
      <c r="M655" s="3">
        <v>0</v>
      </c>
      <c r="N655" s="3">
        <v>-93</v>
      </c>
      <c r="O655" s="70">
        <v>93</v>
      </c>
      <c r="P655" s="3">
        <v>0</v>
      </c>
      <c r="Q655" s="3">
        <v>0</v>
      </c>
      <c r="R655" s="3">
        <v>5.2004000000000002E-2</v>
      </c>
      <c r="S655" s="3">
        <v>4.84</v>
      </c>
      <c r="T655" s="3">
        <v>0</v>
      </c>
      <c r="U655" s="3">
        <v>-4.84</v>
      </c>
      <c r="V655" s="70" t="s">
        <v>334</v>
      </c>
      <c r="W655" s="3" t="s">
        <v>343</v>
      </c>
      <c r="X655" s="3" t="s">
        <v>337</v>
      </c>
      <c r="Y655" s="3" t="s">
        <v>337</v>
      </c>
    </row>
    <row r="656" spans="1:25" hidden="1" x14ac:dyDescent="0.2">
      <c r="A656" s="83" t="str">
        <f t="shared" si="10"/>
        <v>方城锦城国际700PP杯球盖</v>
      </c>
      <c r="B656" s="3" t="s">
        <v>712</v>
      </c>
      <c r="C656" s="84">
        <v>44377</v>
      </c>
      <c r="D656" s="3" t="s">
        <v>456</v>
      </c>
      <c r="E656" s="3" t="s">
        <v>337</v>
      </c>
      <c r="F656" s="3" t="s">
        <v>337</v>
      </c>
      <c r="G656" s="70" t="s">
        <v>457</v>
      </c>
      <c r="H656" s="3" t="s">
        <v>458</v>
      </c>
      <c r="I656" s="3" t="s">
        <v>339</v>
      </c>
      <c r="J656" s="3">
        <v>0</v>
      </c>
      <c r="K656" s="3">
        <v>0</v>
      </c>
      <c r="L656" s="3">
        <v>357</v>
      </c>
      <c r="M656" s="3">
        <v>0</v>
      </c>
      <c r="N656" s="3">
        <v>-357</v>
      </c>
      <c r="O656" s="70">
        <v>357</v>
      </c>
      <c r="P656" s="3">
        <v>0</v>
      </c>
      <c r="Q656" s="3">
        <v>0</v>
      </c>
      <c r="R656" s="3">
        <v>5.2004000000000002E-2</v>
      </c>
      <c r="S656" s="3">
        <v>18.57</v>
      </c>
      <c r="T656" s="3">
        <v>0</v>
      </c>
      <c r="U656" s="3">
        <v>-18.57</v>
      </c>
      <c r="V656" s="70" t="s">
        <v>594</v>
      </c>
      <c r="W656" s="3" t="s">
        <v>343</v>
      </c>
      <c r="X656" s="3" t="s">
        <v>337</v>
      </c>
      <c r="Y656" s="3" t="s">
        <v>337</v>
      </c>
    </row>
    <row r="657" spans="1:25" hidden="1" x14ac:dyDescent="0.2">
      <c r="A657" s="83" t="str">
        <f t="shared" si="10"/>
        <v>滑县滑台700PP杯球盖</v>
      </c>
      <c r="B657" s="3" t="s">
        <v>710</v>
      </c>
      <c r="C657" s="84">
        <v>44377</v>
      </c>
      <c r="D657" s="3" t="s">
        <v>456</v>
      </c>
      <c r="E657" s="3" t="s">
        <v>337</v>
      </c>
      <c r="F657" s="3" t="s">
        <v>337</v>
      </c>
      <c r="G657" s="70" t="s">
        <v>457</v>
      </c>
      <c r="H657" s="3" t="s">
        <v>458</v>
      </c>
      <c r="I657" s="3" t="s">
        <v>339</v>
      </c>
      <c r="J657" s="3">
        <v>0</v>
      </c>
      <c r="K657" s="3">
        <v>0</v>
      </c>
      <c r="L657" s="3">
        <v>126</v>
      </c>
      <c r="M657" s="3">
        <v>0</v>
      </c>
      <c r="N657" s="3">
        <v>-126</v>
      </c>
      <c r="O657" s="70">
        <v>126</v>
      </c>
      <c r="P657" s="3">
        <v>0</v>
      </c>
      <c r="Q657" s="3">
        <v>0</v>
      </c>
      <c r="R657" s="3">
        <v>5.2004000000000002E-2</v>
      </c>
      <c r="S657" s="3">
        <v>6.55</v>
      </c>
      <c r="T657" s="3">
        <v>0</v>
      </c>
      <c r="U657" s="3">
        <v>-6.55</v>
      </c>
      <c r="V657" s="70" t="s">
        <v>639</v>
      </c>
      <c r="W657" s="3" t="s">
        <v>343</v>
      </c>
      <c r="X657" s="3" t="s">
        <v>337</v>
      </c>
      <c r="Y657" s="3" t="s">
        <v>337</v>
      </c>
    </row>
    <row r="658" spans="1:25" hidden="1" x14ac:dyDescent="0.2">
      <c r="A658" s="83" t="str">
        <f t="shared" si="10"/>
        <v>郑州盛华里700PP杯球盖</v>
      </c>
      <c r="B658" s="3" t="s">
        <v>709</v>
      </c>
      <c r="C658" s="84">
        <v>44377</v>
      </c>
      <c r="D658" s="3" t="s">
        <v>456</v>
      </c>
      <c r="E658" s="3" t="s">
        <v>337</v>
      </c>
      <c r="F658" s="3" t="s">
        <v>337</v>
      </c>
      <c r="G658" s="70" t="s">
        <v>457</v>
      </c>
      <c r="H658" s="3" t="s">
        <v>458</v>
      </c>
      <c r="I658" s="3" t="s">
        <v>339</v>
      </c>
      <c r="J658" s="3">
        <v>0</v>
      </c>
      <c r="K658" s="3">
        <v>0</v>
      </c>
      <c r="L658" s="3">
        <v>110</v>
      </c>
      <c r="M658" s="3">
        <v>0</v>
      </c>
      <c r="N658" s="3">
        <v>-110</v>
      </c>
      <c r="O658" s="70">
        <v>110</v>
      </c>
      <c r="P658" s="3">
        <v>0</v>
      </c>
      <c r="Q658" s="3">
        <v>0</v>
      </c>
      <c r="R658" s="3">
        <v>5.2004000000000002E-2</v>
      </c>
      <c r="S658" s="3">
        <v>5.72</v>
      </c>
      <c r="T658" s="3">
        <v>0</v>
      </c>
      <c r="U658" s="3">
        <v>-5.72</v>
      </c>
      <c r="V658" s="70" t="s">
        <v>637</v>
      </c>
      <c r="W658" s="3" t="s">
        <v>343</v>
      </c>
      <c r="X658" s="3" t="s">
        <v>337</v>
      </c>
      <c r="Y658" s="3" t="s">
        <v>337</v>
      </c>
    </row>
    <row r="659" spans="1:25" hidden="1" x14ac:dyDescent="0.2">
      <c r="A659" s="83" t="str">
        <f t="shared" si="10"/>
        <v>郑州政六街700PP杯球盖</v>
      </c>
      <c r="B659" s="3" t="s">
        <v>714</v>
      </c>
      <c r="C659" s="84">
        <v>44377</v>
      </c>
      <c r="D659" s="3" t="s">
        <v>456</v>
      </c>
      <c r="E659" s="3" t="s">
        <v>337</v>
      </c>
      <c r="F659" s="3" t="s">
        <v>337</v>
      </c>
      <c r="G659" s="70" t="s">
        <v>457</v>
      </c>
      <c r="H659" s="3" t="s">
        <v>458</v>
      </c>
      <c r="I659" s="3" t="s">
        <v>339</v>
      </c>
      <c r="J659" s="3">
        <v>0</v>
      </c>
      <c r="K659" s="3">
        <v>0</v>
      </c>
      <c r="L659" s="3">
        <v>83</v>
      </c>
      <c r="M659" s="3">
        <v>0</v>
      </c>
      <c r="N659" s="3">
        <v>-83</v>
      </c>
      <c r="O659" s="70">
        <v>83</v>
      </c>
      <c r="P659" s="3">
        <v>0</v>
      </c>
      <c r="Q659" s="3">
        <v>0</v>
      </c>
      <c r="R659" s="3">
        <v>5.2004000000000002E-2</v>
      </c>
      <c r="S659" s="3">
        <v>4.32</v>
      </c>
      <c r="T659" s="3">
        <v>0</v>
      </c>
      <c r="U659" s="3">
        <v>-4.32</v>
      </c>
      <c r="V659" s="70" t="s">
        <v>591</v>
      </c>
      <c r="W659" s="3" t="s">
        <v>343</v>
      </c>
      <c r="X659" s="3" t="s">
        <v>337</v>
      </c>
      <c r="Y659" s="3" t="s">
        <v>337</v>
      </c>
    </row>
    <row r="660" spans="1:25" hidden="1" x14ac:dyDescent="0.2">
      <c r="A660" s="83" t="str">
        <f t="shared" si="10"/>
        <v>清丰凤鸣240mm红色粗吸管</v>
      </c>
      <c r="B660" s="3" t="s">
        <v>713</v>
      </c>
      <c r="C660" s="84">
        <v>44377</v>
      </c>
      <c r="D660" s="3" t="s">
        <v>459</v>
      </c>
      <c r="E660" s="3" t="s">
        <v>337</v>
      </c>
      <c r="F660" s="3" t="s">
        <v>337</v>
      </c>
      <c r="G660" s="70" t="s">
        <v>460</v>
      </c>
      <c r="H660" s="3" t="s">
        <v>461</v>
      </c>
      <c r="I660" s="3" t="s">
        <v>109</v>
      </c>
      <c r="J660" s="3">
        <v>428</v>
      </c>
      <c r="K660" s="3">
        <v>0</v>
      </c>
      <c r="L660" s="3">
        <v>0</v>
      </c>
      <c r="M660" s="3">
        <v>425</v>
      </c>
      <c r="N660" s="3">
        <v>428</v>
      </c>
      <c r="O660" s="70">
        <v>-3</v>
      </c>
      <c r="P660" s="3">
        <v>0</v>
      </c>
      <c r="Q660" s="3">
        <v>0</v>
      </c>
      <c r="R660" s="3">
        <v>3.3012E-2</v>
      </c>
      <c r="S660" s="3">
        <v>-0.1</v>
      </c>
      <c r="T660" s="3">
        <v>14.03</v>
      </c>
      <c r="U660" s="3">
        <v>14.13</v>
      </c>
      <c r="V660" s="70" t="s">
        <v>334</v>
      </c>
      <c r="W660" s="3" t="s">
        <v>343</v>
      </c>
      <c r="X660" s="3" t="s">
        <v>337</v>
      </c>
      <c r="Y660" s="3" t="s">
        <v>337</v>
      </c>
    </row>
    <row r="661" spans="1:25" hidden="1" x14ac:dyDescent="0.2">
      <c r="A661" s="83" t="str">
        <f t="shared" si="10"/>
        <v>方城锦城国际餐盘纸（六一儿童节版）</v>
      </c>
      <c r="B661" s="3" t="s">
        <v>712</v>
      </c>
      <c r="C661" s="84">
        <v>44377</v>
      </c>
      <c r="D661" s="3" t="s">
        <v>648</v>
      </c>
      <c r="E661" s="3" t="s">
        <v>337</v>
      </c>
      <c r="F661" s="3" t="s">
        <v>337</v>
      </c>
      <c r="G661" s="70" t="s">
        <v>663</v>
      </c>
      <c r="H661" s="3" t="s">
        <v>343</v>
      </c>
      <c r="I661" s="3" t="s">
        <v>113</v>
      </c>
      <c r="J661" s="3">
        <v>900</v>
      </c>
      <c r="K661" s="3">
        <v>0</v>
      </c>
      <c r="L661" s="3">
        <v>0</v>
      </c>
      <c r="M661" s="3">
        <v>400</v>
      </c>
      <c r="N661" s="3">
        <v>900</v>
      </c>
      <c r="O661" s="70">
        <v>-500</v>
      </c>
      <c r="P661" s="3">
        <v>0</v>
      </c>
      <c r="Q661" s="3">
        <v>0</v>
      </c>
      <c r="R661" s="3">
        <v>4.5350000000000001E-2</v>
      </c>
      <c r="S661" s="3">
        <v>-22.68</v>
      </c>
      <c r="T661" s="3">
        <v>18.14</v>
      </c>
      <c r="U661" s="3">
        <v>40.82</v>
      </c>
      <c r="V661" s="70" t="s">
        <v>594</v>
      </c>
      <c r="W661" s="3" t="s">
        <v>343</v>
      </c>
      <c r="X661" s="3" t="s">
        <v>337</v>
      </c>
      <c r="Y661" s="3" t="s">
        <v>337</v>
      </c>
    </row>
    <row r="662" spans="1:25" hidden="1" x14ac:dyDescent="0.2">
      <c r="A662" s="83" t="str">
        <f t="shared" si="10"/>
        <v>清丰凤鸣餐盘纸（六一儿童节版）</v>
      </c>
      <c r="B662" s="3" t="s">
        <v>713</v>
      </c>
      <c r="C662" s="84">
        <v>44377</v>
      </c>
      <c r="D662" s="3" t="s">
        <v>648</v>
      </c>
      <c r="E662" s="3" t="s">
        <v>337</v>
      </c>
      <c r="F662" s="3" t="s">
        <v>337</v>
      </c>
      <c r="G662" s="70" t="s">
        <v>663</v>
      </c>
      <c r="H662" s="3" t="s">
        <v>343</v>
      </c>
      <c r="I662" s="3" t="s">
        <v>113</v>
      </c>
      <c r="J662" s="3">
        <v>910</v>
      </c>
      <c r="K662" s="3">
        <v>0</v>
      </c>
      <c r="L662" s="3">
        <v>0</v>
      </c>
      <c r="M662" s="3">
        <v>810</v>
      </c>
      <c r="N662" s="3">
        <v>910</v>
      </c>
      <c r="O662" s="70">
        <v>-100</v>
      </c>
      <c r="P662" s="3">
        <v>0</v>
      </c>
      <c r="Q662" s="3">
        <v>0</v>
      </c>
      <c r="R662" s="3">
        <v>4.5358000000000002E-2</v>
      </c>
      <c r="S662" s="3">
        <v>-4.54</v>
      </c>
      <c r="T662" s="3">
        <v>36.74</v>
      </c>
      <c r="U662" s="3">
        <v>41.28</v>
      </c>
      <c r="V662" s="70" t="s">
        <v>334</v>
      </c>
      <c r="W662" s="3" t="s">
        <v>343</v>
      </c>
      <c r="X662" s="3" t="s">
        <v>337</v>
      </c>
      <c r="Y662" s="3" t="s">
        <v>337</v>
      </c>
    </row>
    <row r="663" spans="1:25" hidden="1" x14ac:dyDescent="0.2">
      <c r="A663" s="83" t="str">
        <f t="shared" si="10"/>
        <v>郑州裕华餐盘纸（六一儿童节版）</v>
      </c>
      <c r="B663" s="3" t="s">
        <v>711</v>
      </c>
      <c r="C663" s="84">
        <v>44377</v>
      </c>
      <c r="D663" s="3" t="s">
        <v>648</v>
      </c>
      <c r="E663" s="3" t="s">
        <v>337</v>
      </c>
      <c r="F663" s="3" t="s">
        <v>337</v>
      </c>
      <c r="G663" s="70" t="s">
        <v>663</v>
      </c>
      <c r="H663" s="3" t="s">
        <v>343</v>
      </c>
      <c r="I663" s="3" t="s">
        <v>113</v>
      </c>
      <c r="J663" s="3">
        <v>1000</v>
      </c>
      <c r="K663" s="3">
        <v>0</v>
      </c>
      <c r="L663" s="3">
        <v>0</v>
      </c>
      <c r="M663" s="3">
        <v>500</v>
      </c>
      <c r="N663" s="3">
        <v>1000</v>
      </c>
      <c r="O663" s="70">
        <v>-500</v>
      </c>
      <c r="P663" s="3">
        <v>0</v>
      </c>
      <c r="Q663" s="3">
        <v>0</v>
      </c>
      <c r="R663" s="3">
        <v>4.5359999999999998E-2</v>
      </c>
      <c r="S663" s="3">
        <v>-22.68</v>
      </c>
      <c r="T663" s="3">
        <v>22.68</v>
      </c>
      <c r="U663" s="3">
        <v>45.36</v>
      </c>
      <c r="V663" s="70" t="s">
        <v>641</v>
      </c>
      <c r="W663" s="3" t="s">
        <v>343</v>
      </c>
      <c r="X663" s="3" t="s">
        <v>337</v>
      </c>
      <c r="Y663" s="3" t="s">
        <v>337</v>
      </c>
    </row>
    <row r="664" spans="1:25" hidden="1" x14ac:dyDescent="0.2">
      <c r="A664" s="83" t="str">
        <f t="shared" si="10"/>
        <v>滑县滑台餐盘纸（六一儿童节版）</v>
      </c>
      <c r="B664" s="3" t="s">
        <v>710</v>
      </c>
      <c r="C664" s="84">
        <v>44377</v>
      </c>
      <c r="D664" s="3" t="s">
        <v>648</v>
      </c>
      <c r="E664" s="3" t="s">
        <v>337</v>
      </c>
      <c r="F664" s="3" t="s">
        <v>337</v>
      </c>
      <c r="G664" s="70" t="s">
        <v>663</v>
      </c>
      <c r="H664" s="3" t="s">
        <v>343</v>
      </c>
      <c r="I664" s="3" t="s">
        <v>113</v>
      </c>
      <c r="J664" s="3">
        <v>700</v>
      </c>
      <c r="K664" s="3">
        <v>0</v>
      </c>
      <c r="L664" s="3">
        <v>0</v>
      </c>
      <c r="M664" s="3">
        <v>0</v>
      </c>
      <c r="N664" s="3">
        <v>700</v>
      </c>
      <c r="O664" s="70">
        <v>-700</v>
      </c>
      <c r="P664" s="3">
        <v>0</v>
      </c>
      <c r="Q664" s="3">
        <v>0</v>
      </c>
      <c r="R664" s="3">
        <v>4.5357000000000001E-2</v>
      </c>
      <c r="S664" s="3">
        <v>-31.75</v>
      </c>
      <c r="T664" s="3">
        <v>0</v>
      </c>
      <c r="U664" s="3">
        <v>31.75</v>
      </c>
      <c r="V664" s="70" t="s">
        <v>639</v>
      </c>
      <c r="W664" s="3" t="s">
        <v>343</v>
      </c>
      <c r="X664" s="3" t="s">
        <v>337</v>
      </c>
      <c r="Y664" s="3" t="s">
        <v>337</v>
      </c>
    </row>
    <row r="665" spans="1:25" hidden="1" x14ac:dyDescent="0.2">
      <c r="A665" s="83" t="str">
        <f t="shared" si="10"/>
        <v>郑州康复中街餐盘纸（六一儿童节版）</v>
      </c>
      <c r="B665" s="3" t="s">
        <v>704</v>
      </c>
      <c r="C665" s="84">
        <v>44377</v>
      </c>
      <c r="D665" s="3" t="s">
        <v>648</v>
      </c>
      <c r="E665" s="3" t="s">
        <v>337</v>
      </c>
      <c r="F665" s="3" t="s">
        <v>337</v>
      </c>
      <c r="G665" s="70" t="s">
        <v>663</v>
      </c>
      <c r="H665" s="3" t="s">
        <v>343</v>
      </c>
      <c r="I665" s="3" t="s">
        <v>113</v>
      </c>
      <c r="J665" s="3">
        <v>1000</v>
      </c>
      <c r="K665" s="3">
        <v>0</v>
      </c>
      <c r="L665" s="3">
        <v>0</v>
      </c>
      <c r="M665" s="3">
        <v>200</v>
      </c>
      <c r="N665" s="3">
        <v>1000</v>
      </c>
      <c r="O665" s="70">
        <v>-800</v>
      </c>
      <c r="P665" s="3">
        <v>0</v>
      </c>
      <c r="Q665" s="3">
        <v>0</v>
      </c>
      <c r="R665" s="3">
        <v>4.5350000000000001E-2</v>
      </c>
      <c r="S665" s="3">
        <v>-36.28</v>
      </c>
      <c r="T665" s="3">
        <v>9.07</v>
      </c>
      <c r="U665" s="3">
        <v>45.35</v>
      </c>
      <c r="V665" s="70" t="s">
        <v>593</v>
      </c>
      <c r="W665" s="3" t="s">
        <v>343</v>
      </c>
      <c r="X665" s="3" t="s">
        <v>337</v>
      </c>
      <c r="Y665" s="3" t="s">
        <v>337</v>
      </c>
    </row>
    <row r="666" spans="1:25" hidden="1" x14ac:dyDescent="0.2">
      <c r="A666" s="83" t="str">
        <f t="shared" si="10"/>
        <v>郑州瀚海海尚餐盘纸（六一儿童节版）</v>
      </c>
      <c r="B666" s="3" t="s">
        <v>706</v>
      </c>
      <c r="C666" s="84">
        <v>44377</v>
      </c>
      <c r="D666" s="3" t="s">
        <v>648</v>
      </c>
      <c r="E666" s="3" t="s">
        <v>337</v>
      </c>
      <c r="F666" s="3" t="s">
        <v>337</v>
      </c>
      <c r="G666" s="70" t="s">
        <v>663</v>
      </c>
      <c r="H666" s="3" t="s">
        <v>343</v>
      </c>
      <c r="I666" s="3" t="s">
        <v>113</v>
      </c>
      <c r="J666" s="3">
        <v>700</v>
      </c>
      <c r="K666" s="3">
        <v>0</v>
      </c>
      <c r="L666" s="3">
        <v>0</v>
      </c>
      <c r="M666" s="3">
        <v>0</v>
      </c>
      <c r="N666" s="3">
        <v>700</v>
      </c>
      <c r="O666" s="70">
        <v>-700</v>
      </c>
      <c r="P666" s="3">
        <v>0</v>
      </c>
      <c r="Q666" s="3">
        <v>0</v>
      </c>
      <c r="R666" s="3">
        <v>4.5357000000000001E-2</v>
      </c>
      <c r="S666" s="3">
        <v>-31.75</v>
      </c>
      <c r="T666" s="3">
        <v>0</v>
      </c>
      <c r="U666" s="3">
        <v>31.75</v>
      </c>
      <c r="V666" s="70" t="s">
        <v>333</v>
      </c>
      <c r="W666" s="3" t="s">
        <v>343</v>
      </c>
      <c r="X666" s="3" t="s">
        <v>337</v>
      </c>
      <c r="Y666" s="3" t="s">
        <v>337</v>
      </c>
    </row>
    <row r="667" spans="1:25" hidden="1" x14ac:dyDescent="0.2">
      <c r="A667" s="83" t="str">
        <f t="shared" si="10"/>
        <v>华山龙源餐盘纸（六一儿童节版）</v>
      </c>
      <c r="B667" s="3" t="s">
        <v>705</v>
      </c>
      <c r="C667" s="84">
        <v>44377</v>
      </c>
      <c r="D667" s="3" t="s">
        <v>648</v>
      </c>
      <c r="E667" s="3" t="s">
        <v>337</v>
      </c>
      <c r="F667" s="3" t="s">
        <v>337</v>
      </c>
      <c r="G667" s="70" t="s">
        <v>663</v>
      </c>
      <c r="H667" s="3" t="s">
        <v>343</v>
      </c>
      <c r="I667" s="3" t="s">
        <v>113</v>
      </c>
      <c r="J667" s="3">
        <v>774</v>
      </c>
      <c r="K667" s="3">
        <v>0</v>
      </c>
      <c r="L667" s="3">
        <v>0</v>
      </c>
      <c r="M667" s="3">
        <v>115</v>
      </c>
      <c r="N667" s="3">
        <v>774</v>
      </c>
      <c r="O667" s="70">
        <v>-659</v>
      </c>
      <c r="P667" s="3">
        <v>0</v>
      </c>
      <c r="Q667" s="3">
        <v>0</v>
      </c>
      <c r="R667" s="3">
        <v>4.5391000000000001E-2</v>
      </c>
      <c r="S667" s="3">
        <v>-29.91</v>
      </c>
      <c r="T667" s="3">
        <v>5.22</v>
      </c>
      <c r="U667" s="3">
        <v>35.130000000000003</v>
      </c>
      <c r="V667" s="70" t="s">
        <v>643</v>
      </c>
      <c r="W667" s="3" t="s">
        <v>343</v>
      </c>
      <c r="X667" s="3" t="s">
        <v>337</v>
      </c>
      <c r="Y667" s="3" t="s">
        <v>337</v>
      </c>
    </row>
    <row r="668" spans="1:25" hidden="1" x14ac:dyDescent="0.2">
      <c r="A668" s="83" t="str">
        <f t="shared" si="10"/>
        <v>郑州西悦城餐盘纸（六一儿童节版）</v>
      </c>
      <c r="B668" s="3" t="s">
        <v>708</v>
      </c>
      <c r="C668" s="84">
        <v>44377</v>
      </c>
      <c r="D668" s="3" t="s">
        <v>648</v>
      </c>
      <c r="E668" s="3" t="s">
        <v>337</v>
      </c>
      <c r="F668" s="3" t="s">
        <v>337</v>
      </c>
      <c r="G668" s="70" t="s">
        <v>663</v>
      </c>
      <c r="H668" s="3" t="s">
        <v>343</v>
      </c>
      <c r="I668" s="3" t="s">
        <v>113</v>
      </c>
      <c r="J668" s="3">
        <v>800</v>
      </c>
      <c r="K668" s="3">
        <v>1000</v>
      </c>
      <c r="L668" s="3">
        <v>0</v>
      </c>
      <c r="M668" s="3">
        <v>0</v>
      </c>
      <c r="N668" s="3">
        <v>1800</v>
      </c>
      <c r="O668" s="70">
        <v>-1800</v>
      </c>
      <c r="P668" s="3">
        <v>0</v>
      </c>
      <c r="Q668" s="3">
        <v>0</v>
      </c>
      <c r="R668" s="3">
        <v>4.5360999999999999E-2</v>
      </c>
      <c r="S668" s="3">
        <v>-81.650000000000006</v>
      </c>
      <c r="T668" s="3">
        <v>0</v>
      </c>
      <c r="U668" s="3">
        <v>81.650000000000006</v>
      </c>
      <c r="V668" s="70" t="s">
        <v>332</v>
      </c>
      <c r="W668" s="3" t="s">
        <v>343</v>
      </c>
      <c r="X668" s="3" t="s">
        <v>337</v>
      </c>
      <c r="Y668" s="3" t="s">
        <v>337</v>
      </c>
    </row>
    <row r="669" spans="1:25" hidden="1" x14ac:dyDescent="0.2">
      <c r="A669" s="83" t="str">
        <f t="shared" si="10"/>
        <v>郑州铁英街餐盘纸（六一儿童节版）</v>
      </c>
      <c r="B669" s="3" t="s">
        <v>707</v>
      </c>
      <c r="C669" s="84">
        <v>44377</v>
      </c>
      <c r="D669" s="3" t="s">
        <v>648</v>
      </c>
      <c r="E669" s="3" t="s">
        <v>337</v>
      </c>
      <c r="F669" s="3" t="s">
        <v>337</v>
      </c>
      <c r="G669" s="70" t="s">
        <v>663</v>
      </c>
      <c r="H669" s="3" t="s">
        <v>343</v>
      </c>
      <c r="I669" s="3" t="s">
        <v>113</v>
      </c>
      <c r="J669" s="3">
        <v>869</v>
      </c>
      <c r="K669" s="3">
        <v>0</v>
      </c>
      <c r="L669" s="3">
        <v>0</v>
      </c>
      <c r="M669" s="3">
        <v>0</v>
      </c>
      <c r="N669" s="3">
        <v>869</v>
      </c>
      <c r="O669" s="70">
        <v>-869</v>
      </c>
      <c r="P669" s="3">
        <v>0</v>
      </c>
      <c r="Q669" s="3">
        <v>0</v>
      </c>
      <c r="R669" s="3">
        <v>4.5362E-2</v>
      </c>
      <c r="S669" s="3">
        <v>-39.42</v>
      </c>
      <c r="T669" s="3">
        <v>0</v>
      </c>
      <c r="U669" s="3">
        <v>39.42</v>
      </c>
      <c r="V669" s="70" t="s">
        <v>592</v>
      </c>
      <c r="W669" s="3" t="s">
        <v>343</v>
      </c>
      <c r="X669" s="3" t="s">
        <v>337</v>
      </c>
      <c r="Y669" s="3" t="s">
        <v>337</v>
      </c>
    </row>
    <row r="670" spans="1:25" hidden="1" x14ac:dyDescent="0.2">
      <c r="A670" s="83" t="str">
        <f t="shared" si="10"/>
        <v>郑州政六街餐盘纸（六一儿童节版）</v>
      </c>
      <c r="B670" s="3" t="s">
        <v>714</v>
      </c>
      <c r="C670" s="84">
        <v>44377</v>
      </c>
      <c r="D670" s="3" t="s">
        <v>648</v>
      </c>
      <c r="E670" s="3" t="s">
        <v>337</v>
      </c>
      <c r="F670" s="3" t="s">
        <v>337</v>
      </c>
      <c r="G670" s="70" t="s">
        <v>663</v>
      </c>
      <c r="H670" s="3" t="s">
        <v>343</v>
      </c>
      <c r="I670" s="3" t="s">
        <v>113</v>
      </c>
      <c r="J670" s="3">
        <v>873</v>
      </c>
      <c r="K670" s="3">
        <v>0</v>
      </c>
      <c r="L670" s="3">
        <v>0</v>
      </c>
      <c r="M670" s="3">
        <v>0</v>
      </c>
      <c r="N670" s="3">
        <v>873</v>
      </c>
      <c r="O670" s="70">
        <v>-873</v>
      </c>
      <c r="P670" s="3">
        <v>0</v>
      </c>
      <c r="Q670" s="3">
        <v>0</v>
      </c>
      <c r="R670" s="3">
        <v>4.5360999999999999E-2</v>
      </c>
      <c r="S670" s="3">
        <v>-39.6</v>
      </c>
      <c r="T670" s="3">
        <v>0</v>
      </c>
      <c r="U670" s="3">
        <v>39.6</v>
      </c>
      <c r="V670" s="70" t="s">
        <v>591</v>
      </c>
      <c r="W670" s="3" t="s">
        <v>343</v>
      </c>
      <c r="X670" s="3" t="s">
        <v>337</v>
      </c>
      <c r="Y670" s="3" t="s">
        <v>337</v>
      </c>
    </row>
    <row r="671" spans="1:25" hidden="1" x14ac:dyDescent="0.2">
      <c r="A671" s="83" t="str">
        <f t="shared" si="10"/>
        <v>郑州政六街830ML桶</v>
      </c>
      <c r="B671" s="3" t="s">
        <v>714</v>
      </c>
      <c r="C671" s="84">
        <v>44377</v>
      </c>
      <c r="D671" s="3" t="s">
        <v>611</v>
      </c>
      <c r="E671" s="3" t="s">
        <v>337</v>
      </c>
      <c r="F671" s="3" t="s">
        <v>337</v>
      </c>
      <c r="G671" s="70" t="s">
        <v>612</v>
      </c>
      <c r="H671" s="3" t="s">
        <v>343</v>
      </c>
      <c r="I671" s="3" t="s">
        <v>449</v>
      </c>
      <c r="J671" s="3">
        <v>11</v>
      </c>
      <c r="K671" s="3">
        <v>50</v>
      </c>
      <c r="L671" s="3">
        <v>129</v>
      </c>
      <c r="M671" s="3">
        <v>0</v>
      </c>
      <c r="N671" s="3">
        <v>-68</v>
      </c>
      <c r="O671" s="70">
        <v>68</v>
      </c>
      <c r="P671" s="3">
        <v>0</v>
      </c>
      <c r="Q671" s="3">
        <v>0</v>
      </c>
      <c r="R671" s="3">
        <v>0.31</v>
      </c>
      <c r="S671" s="3">
        <v>21.08</v>
      </c>
      <c r="T671" s="3">
        <v>0</v>
      </c>
      <c r="U671" s="3">
        <v>-21.08</v>
      </c>
      <c r="V671" s="70" t="s">
        <v>591</v>
      </c>
      <c r="W671" s="3" t="s">
        <v>343</v>
      </c>
      <c r="X671" s="3" t="s">
        <v>337</v>
      </c>
      <c r="Y671" s="3" t="s">
        <v>337</v>
      </c>
    </row>
    <row r="672" spans="1:25" hidden="1" x14ac:dyDescent="0.2">
      <c r="A672" s="83" t="str">
        <f t="shared" si="10"/>
        <v>郑州铁英街830ML桶</v>
      </c>
      <c r="B672" s="3" t="s">
        <v>707</v>
      </c>
      <c r="C672" s="84">
        <v>44377</v>
      </c>
      <c r="D672" s="3" t="s">
        <v>611</v>
      </c>
      <c r="E672" s="3" t="s">
        <v>337</v>
      </c>
      <c r="F672" s="3" t="s">
        <v>337</v>
      </c>
      <c r="G672" s="70" t="s">
        <v>612</v>
      </c>
      <c r="H672" s="3" t="s">
        <v>343</v>
      </c>
      <c r="I672" s="3" t="s">
        <v>449</v>
      </c>
      <c r="J672" s="3">
        <v>10</v>
      </c>
      <c r="K672" s="3">
        <v>150</v>
      </c>
      <c r="L672" s="3">
        <v>104</v>
      </c>
      <c r="M672" s="3">
        <v>57</v>
      </c>
      <c r="N672" s="3">
        <v>56</v>
      </c>
      <c r="O672" s="70">
        <v>1</v>
      </c>
      <c r="P672" s="3">
        <v>0</v>
      </c>
      <c r="Q672" s="3">
        <v>0</v>
      </c>
      <c r="R672" s="3">
        <v>0.31</v>
      </c>
      <c r="S672" s="3">
        <v>0.31</v>
      </c>
      <c r="T672" s="3">
        <v>17.670000000000002</v>
      </c>
      <c r="U672" s="3">
        <v>17.36</v>
      </c>
      <c r="V672" s="70" t="s">
        <v>592</v>
      </c>
      <c r="W672" s="3" t="s">
        <v>343</v>
      </c>
      <c r="X672" s="3" t="s">
        <v>337</v>
      </c>
      <c r="Y672" s="3" t="s">
        <v>337</v>
      </c>
    </row>
    <row r="673" spans="1:25" hidden="1" x14ac:dyDescent="0.2">
      <c r="A673" s="83" t="str">
        <f t="shared" si="10"/>
        <v>郑州西悦城830ML桶</v>
      </c>
      <c r="B673" s="3" t="s">
        <v>708</v>
      </c>
      <c r="C673" s="84">
        <v>44377</v>
      </c>
      <c r="D673" s="3" t="s">
        <v>611</v>
      </c>
      <c r="E673" s="3" t="s">
        <v>337</v>
      </c>
      <c r="F673" s="3" t="s">
        <v>337</v>
      </c>
      <c r="G673" s="70" t="s">
        <v>612</v>
      </c>
      <c r="H673" s="3" t="s">
        <v>343</v>
      </c>
      <c r="I673" s="3" t="s">
        <v>449</v>
      </c>
      <c r="J673" s="3">
        <v>62</v>
      </c>
      <c r="K673" s="3">
        <v>350</v>
      </c>
      <c r="L673" s="3">
        <v>255</v>
      </c>
      <c r="M673" s="3">
        <v>157</v>
      </c>
      <c r="N673" s="3">
        <v>157</v>
      </c>
      <c r="O673" s="70">
        <v>0</v>
      </c>
      <c r="P673" s="3">
        <v>0</v>
      </c>
      <c r="Q673" s="3">
        <v>0</v>
      </c>
      <c r="R673" s="3">
        <v>0.31</v>
      </c>
      <c r="S673" s="3">
        <v>0</v>
      </c>
      <c r="T673" s="3">
        <v>48.67</v>
      </c>
      <c r="U673" s="3">
        <v>48.67</v>
      </c>
      <c r="V673" s="70" t="s">
        <v>332</v>
      </c>
      <c r="W673" s="3" t="s">
        <v>343</v>
      </c>
      <c r="X673" s="3" t="s">
        <v>337</v>
      </c>
      <c r="Y673" s="3" t="s">
        <v>337</v>
      </c>
    </row>
    <row r="674" spans="1:25" hidden="1" x14ac:dyDescent="0.2">
      <c r="A674" s="83" t="str">
        <f t="shared" si="10"/>
        <v>华山龙源830ML桶</v>
      </c>
      <c r="B674" s="3" t="s">
        <v>705</v>
      </c>
      <c r="C674" s="84">
        <v>44377</v>
      </c>
      <c r="D674" s="3" t="s">
        <v>611</v>
      </c>
      <c r="E674" s="3" t="s">
        <v>337</v>
      </c>
      <c r="F674" s="3" t="s">
        <v>337</v>
      </c>
      <c r="G674" s="70" t="s">
        <v>612</v>
      </c>
      <c r="H674" s="3" t="s">
        <v>343</v>
      </c>
      <c r="I674" s="3" t="s">
        <v>449</v>
      </c>
      <c r="J674" s="3">
        <v>0</v>
      </c>
      <c r="K674" s="3">
        <v>150</v>
      </c>
      <c r="L674" s="3">
        <v>72</v>
      </c>
      <c r="M674" s="3">
        <v>80</v>
      </c>
      <c r="N674" s="3">
        <v>78</v>
      </c>
      <c r="O674" s="70">
        <v>2</v>
      </c>
      <c r="P674" s="3">
        <v>0</v>
      </c>
      <c r="Q674" s="3">
        <v>0</v>
      </c>
      <c r="R674" s="3">
        <v>0.31</v>
      </c>
      <c r="S674" s="3">
        <v>0.62</v>
      </c>
      <c r="T674" s="3">
        <v>24.8</v>
      </c>
      <c r="U674" s="3">
        <v>24.18</v>
      </c>
      <c r="V674" s="70" t="s">
        <v>643</v>
      </c>
      <c r="W674" s="3" t="s">
        <v>343</v>
      </c>
      <c r="X674" s="3" t="s">
        <v>337</v>
      </c>
      <c r="Y674" s="3" t="s">
        <v>337</v>
      </c>
    </row>
    <row r="675" spans="1:25" hidden="1" x14ac:dyDescent="0.2">
      <c r="A675" s="83" t="str">
        <f t="shared" si="10"/>
        <v>郑州瀚海海尚830ML桶</v>
      </c>
      <c r="B675" s="3" t="s">
        <v>706</v>
      </c>
      <c r="C675" s="84">
        <v>44377</v>
      </c>
      <c r="D675" s="3" t="s">
        <v>611</v>
      </c>
      <c r="E675" s="3" t="s">
        <v>337</v>
      </c>
      <c r="F675" s="3" t="s">
        <v>337</v>
      </c>
      <c r="G675" s="70" t="s">
        <v>612</v>
      </c>
      <c r="H675" s="3" t="s">
        <v>343</v>
      </c>
      <c r="I675" s="3" t="s">
        <v>449</v>
      </c>
      <c r="J675" s="3">
        <v>21</v>
      </c>
      <c r="K675" s="3">
        <v>300</v>
      </c>
      <c r="L675" s="3">
        <v>154</v>
      </c>
      <c r="M675" s="3">
        <v>177</v>
      </c>
      <c r="N675" s="3">
        <v>167</v>
      </c>
      <c r="O675" s="70">
        <v>10</v>
      </c>
      <c r="P675" s="3">
        <v>0</v>
      </c>
      <c r="Q675" s="3">
        <v>0</v>
      </c>
      <c r="R675" s="3">
        <v>0.31033899999999998</v>
      </c>
      <c r="S675" s="3">
        <v>3.1</v>
      </c>
      <c r="T675" s="3">
        <v>54.93</v>
      </c>
      <c r="U675" s="3">
        <v>51.83</v>
      </c>
      <c r="V675" s="70" t="s">
        <v>333</v>
      </c>
      <c r="W675" s="3" t="s">
        <v>343</v>
      </c>
      <c r="X675" s="3" t="s">
        <v>337</v>
      </c>
      <c r="Y675" s="3" t="s">
        <v>337</v>
      </c>
    </row>
    <row r="676" spans="1:25" hidden="1" x14ac:dyDescent="0.2">
      <c r="A676" s="83" t="str">
        <f t="shared" si="10"/>
        <v>郑州康复中街830ML桶</v>
      </c>
      <c r="B676" s="3" t="s">
        <v>704</v>
      </c>
      <c r="C676" s="84">
        <v>44377</v>
      </c>
      <c r="D676" s="3" t="s">
        <v>611</v>
      </c>
      <c r="E676" s="3" t="s">
        <v>337</v>
      </c>
      <c r="F676" s="3" t="s">
        <v>337</v>
      </c>
      <c r="G676" s="70" t="s">
        <v>612</v>
      </c>
      <c r="H676" s="3" t="s">
        <v>343</v>
      </c>
      <c r="I676" s="3" t="s">
        <v>449</v>
      </c>
      <c r="J676" s="3">
        <v>50</v>
      </c>
      <c r="K676" s="3">
        <v>100</v>
      </c>
      <c r="L676" s="3">
        <v>138</v>
      </c>
      <c r="M676" s="3">
        <v>12</v>
      </c>
      <c r="N676" s="3">
        <v>12</v>
      </c>
      <c r="O676" s="70">
        <v>0</v>
      </c>
      <c r="P676" s="3">
        <v>0</v>
      </c>
      <c r="Q676" s="3">
        <v>0</v>
      </c>
      <c r="R676" s="3">
        <v>0.31</v>
      </c>
      <c r="S676" s="3">
        <v>0</v>
      </c>
      <c r="T676" s="3">
        <v>3.72</v>
      </c>
      <c r="U676" s="3">
        <v>3.72</v>
      </c>
      <c r="V676" s="70" t="s">
        <v>593</v>
      </c>
      <c r="W676" s="3" t="s">
        <v>343</v>
      </c>
      <c r="X676" s="3" t="s">
        <v>337</v>
      </c>
      <c r="Y676" s="3" t="s">
        <v>337</v>
      </c>
    </row>
    <row r="677" spans="1:25" hidden="1" x14ac:dyDescent="0.2">
      <c r="A677" s="83" t="str">
        <f t="shared" si="10"/>
        <v>新蔡水韵天街830ML桶</v>
      </c>
      <c r="B677" s="3" t="s">
        <v>703</v>
      </c>
      <c r="C677" s="84">
        <v>44377</v>
      </c>
      <c r="D677" s="3" t="s">
        <v>611</v>
      </c>
      <c r="E677" s="3" t="s">
        <v>337</v>
      </c>
      <c r="F677" s="3" t="s">
        <v>337</v>
      </c>
      <c r="G677" s="70" t="s">
        <v>612</v>
      </c>
      <c r="H677" s="3" t="s">
        <v>343</v>
      </c>
      <c r="I677" s="3" t="s">
        <v>449</v>
      </c>
      <c r="J677" s="3">
        <v>0</v>
      </c>
      <c r="K677" s="3">
        <v>150</v>
      </c>
      <c r="L677" s="3">
        <v>113</v>
      </c>
      <c r="M677" s="3">
        <v>37</v>
      </c>
      <c r="N677" s="3">
        <v>37</v>
      </c>
      <c r="O677" s="70">
        <v>0</v>
      </c>
      <c r="P677" s="3">
        <v>0</v>
      </c>
      <c r="Q677" s="3">
        <v>0</v>
      </c>
      <c r="R677" s="3">
        <v>0.31</v>
      </c>
      <c r="S677" s="3">
        <v>0</v>
      </c>
      <c r="T677" s="3">
        <v>11.47</v>
      </c>
      <c r="U677" s="3">
        <v>11.47</v>
      </c>
      <c r="V677" s="70" t="s">
        <v>335</v>
      </c>
      <c r="W677" s="3" t="s">
        <v>343</v>
      </c>
      <c r="X677" s="3" t="s">
        <v>337</v>
      </c>
      <c r="Y677" s="3" t="s">
        <v>337</v>
      </c>
    </row>
    <row r="678" spans="1:25" hidden="1" x14ac:dyDescent="0.2">
      <c r="A678" s="83" t="str">
        <f t="shared" si="10"/>
        <v>滑县滑台830ML桶</v>
      </c>
      <c r="B678" s="3" t="s">
        <v>710</v>
      </c>
      <c r="C678" s="84">
        <v>44377</v>
      </c>
      <c r="D678" s="3" t="s">
        <v>611</v>
      </c>
      <c r="E678" s="3" t="s">
        <v>337</v>
      </c>
      <c r="F678" s="3" t="s">
        <v>337</v>
      </c>
      <c r="G678" s="70" t="s">
        <v>612</v>
      </c>
      <c r="H678" s="3" t="s">
        <v>343</v>
      </c>
      <c r="I678" s="3" t="s">
        <v>449</v>
      </c>
      <c r="J678" s="3">
        <v>9</v>
      </c>
      <c r="K678" s="3">
        <v>100</v>
      </c>
      <c r="L678" s="3">
        <v>96</v>
      </c>
      <c r="M678" s="3">
        <v>40</v>
      </c>
      <c r="N678" s="3">
        <v>13</v>
      </c>
      <c r="O678" s="70">
        <v>27</v>
      </c>
      <c r="P678" s="3">
        <v>0</v>
      </c>
      <c r="Q678" s="3">
        <v>0</v>
      </c>
      <c r="R678" s="3">
        <v>0.311</v>
      </c>
      <c r="S678" s="3">
        <v>8.4</v>
      </c>
      <c r="T678" s="3">
        <v>12.44</v>
      </c>
      <c r="U678" s="3">
        <v>4.04</v>
      </c>
      <c r="V678" s="70" t="s">
        <v>639</v>
      </c>
      <c r="W678" s="3" t="s">
        <v>343</v>
      </c>
      <c r="X678" s="3" t="s">
        <v>337</v>
      </c>
      <c r="Y678" s="3" t="s">
        <v>337</v>
      </c>
    </row>
    <row r="679" spans="1:25" hidden="1" x14ac:dyDescent="0.2">
      <c r="A679" s="83" t="str">
        <f t="shared" si="10"/>
        <v>郑州盛华里830ML桶</v>
      </c>
      <c r="B679" s="3" t="s">
        <v>709</v>
      </c>
      <c r="C679" s="84">
        <v>44377</v>
      </c>
      <c r="D679" s="3" t="s">
        <v>611</v>
      </c>
      <c r="E679" s="3" t="s">
        <v>337</v>
      </c>
      <c r="F679" s="3" t="s">
        <v>337</v>
      </c>
      <c r="G679" s="70" t="s">
        <v>612</v>
      </c>
      <c r="H679" s="3" t="s">
        <v>343</v>
      </c>
      <c r="I679" s="3" t="s">
        <v>449</v>
      </c>
      <c r="J679" s="3">
        <v>71</v>
      </c>
      <c r="K679" s="3">
        <v>0</v>
      </c>
      <c r="L679" s="3">
        <v>46</v>
      </c>
      <c r="M679" s="3">
        <v>25</v>
      </c>
      <c r="N679" s="3">
        <v>25</v>
      </c>
      <c r="O679" s="70">
        <v>0</v>
      </c>
      <c r="P679" s="3">
        <v>0</v>
      </c>
      <c r="Q679" s="3">
        <v>0</v>
      </c>
      <c r="R679" s="3">
        <v>0.31</v>
      </c>
      <c r="S679" s="3">
        <v>0</v>
      </c>
      <c r="T679" s="3">
        <v>7.75</v>
      </c>
      <c r="U679" s="3">
        <v>7.75</v>
      </c>
      <c r="V679" s="70" t="s">
        <v>637</v>
      </c>
      <c r="W679" s="3" t="s">
        <v>343</v>
      </c>
      <c r="X679" s="3" t="s">
        <v>337</v>
      </c>
      <c r="Y679" s="3" t="s">
        <v>337</v>
      </c>
    </row>
    <row r="680" spans="1:25" hidden="1" x14ac:dyDescent="0.2">
      <c r="A680" s="83" t="str">
        <f t="shared" si="10"/>
        <v>郑州裕华830ML桶</v>
      </c>
      <c r="B680" s="3" t="s">
        <v>711</v>
      </c>
      <c r="C680" s="84">
        <v>44377</v>
      </c>
      <c r="D680" s="3" t="s">
        <v>611</v>
      </c>
      <c r="E680" s="3" t="s">
        <v>337</v>
      </c>
      <c r="F680" s="3" t="s">
        <v>337</v>
      </c>
      <c r="G680" s="70" t="s">
        <v>612</v>
      </c>
      <c r="H680" s="3" t="s">
        <v>343</v>
      </c>
      <c r="I680" s="3" t="s">
        <v>449</v>
      </c>
      <c r="J680" s="3">
        <v>0</v>
      </c>
      <c r="K680" s="3">
        <v>50</v>
      </c>
      <c r="L680" s="3">
        <v>49</v>
      </c>
      <c r="M680" s="3">
        <v>0</v>
      </c>
      <c r="N680" s="3">
        <v>1</v>
      </c>
      <c r="O680" s="70">
        <v>-1</v>
      </c>
      <c r="P680" s="3">
        <v>0</v>
      </c>
      <c r="Q680" s="3">
        <v>0</v>
      </c>
      <c r="R680" s="3">
        <v>0.31</v>
      </c>
      <c r="S680" s="3">
        <v>-0.31</v>
      </c>
      <c r="T680" s="3">
        <v>0</v>
      </c>
      <c r="U680" s="3">
        <v>0.31</v>
      </c>
      <c r="V680" s="70" t="s">
        <v>641</v>
      </c>
      <c r="W680" s="3" t="s">
        <v>343</v>
      </c>
      <c r="X680" s="3" t="s">
        <v>337</v>
      </c>
      <c r="Y680" s="3" t="s">
        <v>337</v>
      </c>
    </row>
    <row r="681" spans="1:25" hidden="1" x14ac:dyDescent="0.2">
      <c r="A681" s="83" t="str">
        <f t="shared" si="10"/>
        <v>清丰凤鸣830ML桶</v>
      </c>
      <c r="B681" s="3" t="s">
        <v>713</v>
      </c>
      <c r="C681" s="84">
        <v>44377</v>
      </c>
      <c r="D681" s="3" t="s">
        <v>611</v>
      </c>
      <c r="E681" s="3" t="s">
        <v>337</v>
      </c>
      <c r="F681" s="3" t="s">
        <v>337</v>
      </c>
      <c r="G681" s="70" t="s">
        <v>612</v>
      </c>
      <c r="H681" s="3" t="s">
        <v>343</v>
      </c>
      <c r="I681" s="3" t="s">
        <v>449</v>
      </c>
      <c r="J681" s="3">
        <v>33</v>
      </c>
      <c r="K681" s="3">
        <v>20</v>
      </c>
      <c r="L681" s="3">
        <v>51</v>
      </c>
      <c r="M681" s="3">
        <v>2</v>
      </c>
      <c r="N681" s="3">
        <v>2</v>
      </c>
      <c r="O681" s="70">
        <v>0</v>
      </c>
      <c r="P681" s="3">
        <v>0</v>
      </c>
      <c r="Q681" s="3">
        <v>0</v>
      </c>
      <c r="R681" s="3">
        <v>0.31</v>
      </c>
      <c r="S681" s="3">
        <v>0</v>
      </c>
      <c r="T681" s="3">
        <v>0.62</v>
      </c>
      <c r="U681" s="3">
        <v>0.62</v>
      </c>
      <c r="V681" s="70" t="s">
        <v>334</v>
      </c>
      <c r="W681" s="3" t="s">
        <v>343</v>
      </c>
      <c r="X681" s="3" t="s">
        <v>337</v>
      </c>
      <c r="Y681" s="3" t="s">
        <v>337</v>
      </c>
    </row>
    <row r="682" spans="1:25" hidden="1" x14ac:dyDescent="0.2">
      <c r="A682" s="83" t="str">
        <f t="shared" si="10"/>
        <v>方城锦城国际830ML桶</v>
      </c>
      <c r="B682" s="3" t="s">
        <v>712</v>
      </c>
      <c r="C682" s="84">
        <v>44377</v>
      </c>
      <c r="D682" s="3" t="s">
        <v>611</v>
      </c>
      <c r="E682" s="3" t="s">
        <v>337</v>
      </c>
      <c r="F682" s="3" t="s">
        <v>337</v>
      </c>
      <c r="G682" s="70" t="s">
        <v>612</v>
      </c>
      <c r="H682" s="3" t="s">
        <v>343</v>
      </c>
      <c r="I682" s="3" t="s">
        <v>449</v>
      </c>
      <c r="J682" s="3">
        <v>0</v>
      </c>
      <c r="K682" s="3">
        <v>200</v>
      </c>
      <c r="L682" s="3">
        <v>153</v>
      </c>
      <c r="M682" s="3">
        <v>47</v>
      </c>
      <c r="N682" s="3">
        <v>47</v>
      </c>
      <c r="O682" s="70">
        <v>0</v>
      </c>
      <c r="P682" s="3">
        <v>0</v>
      </c>
      <c r="Q682" s="3">
        <v>0</v>
      </c>
      <c r="R682" s="3">
        <v>0.31</v>
      </c>
      <c r="S682" s="3">
        <v>0</v>
      </c>
      <c r="T682" s="3">
        <v>14.57</v>
      </c>
      <c r="U682" s="3">
        <v>14.57</v>
      </c>
      <c r="V682" s="70" t="s">
        <v>594</v>
      </c>
      <c r="W682" s="3" t="s">
        <v>343</v>
      </c>
      <c r="X682" s="3" t="s">
        <v>337</v>
      </c>
      <c r="Y682" s="3" t="s">
        <v>337</v>
      </c>
    </row>
    <row r="683" spans="1:25" hidden="1" x14ac:dyDescent="0.2">
      <c r="A683" s="83" t="str">
        <f t="shared" si="10"/>
        <v>方城锦城国际韩式琥珀酱</v>
      </c>
      <c r="B683" s="3" t="s">
        <v>712</v>
      </c>
      <c r="C683" s="84">
        <v>44377</v>
      </c>
      <c r="D683" s="3" t="s">
        <v>613</v>
      </c>
      <c r="E683" s="3" t="s">
        <v>337</v>
      </c>
      <c r="F683" s="3" t="s">
        <v>337</v>
      </c>
      <c r="G683" s="70" t="s">
        <v>614</v>
      </c>
      <c r="H683" s="3" t="s">
        <v>615</v>
      </c>
      <c r="I683" s="3" t="s">
        <v>105</v>
      </c>
      <c r="J683" s="3">
        <v>0</v>
      </c>
      <c r="K683" s="3">
        <v>150</v>
      </c>
      <c r="L683" s="3">
        <v>153</v>
      </c>
      <c r="M683" s="3">
        <v>50</v>
      </c>
      <c r="N683" s="3">
        <v>-3</v>
      </c>
      <c r="O683" s="70">
        <v>53</v>
      </c>
      <c r="P683" s="3">
        <v>0</v>
      </c>
      <c r="Q683" s="3">
        <v>0</v>
      </c>
      <c r="R683" s="3">
        <v>0.48</v>
      </c>
      <c r="S683" s="3">
        <v>25.44</v>
      </c>
      <c r="T683" s="3">
        <v>24</v>
      </c>
      <c r="U683" s="3">
        <v>-1.44</v>
      </c>
      <c r="V683" s="70" t="s">
        <v>594</v>
      </c>
      <c r="W683" s="3" t="s">
        <v>343</v>
      </c>
      <c r="X683" s="3" t="s">
        <v>337</v>
      </c>
      <c r="Y683" s="3" t="s">
        <v>337</v>
      </c>
    </row>
    <row r="684" spans="1:25" hidden="1" x14ac:dyDescent="0.2">
      <c r="A684" s="83" t="str">
        <f t="shared" si="10"/>
        <v>清丰凤鸣韩式琥珀酱</v>
      </c>
      <c r="B684" s="3" t="s">
        <v>713</v>
      </c>
      <c r="C684" s="84">
        <v>44377</v>
      </c>
      <c r="D684" s="3" t="s">
        <v>613</v>
      </c>
      <c r="E684" s="3" t="s">
        <v>337</v>
      </c>
      <c r="F684" s="3" t="s">
        <v>337</v>
      </c>
      <c r="G684" s="70" t="s">
        <v>614</v>
      </c>
      <c r="H684" s="3" t="s">
        <v>615</v>
      </c>
      <c r="I684" s="3" t="s">
        <v>105</v>
      </c>
      <c r="J684" s="3">
        <v>33</v>
      </c>
      <c r="K684" s="3">
        <v>20</v>
      </c>
      <c r="L684" s="3">
        <v>51</v>
      </c>
      <c r="M684" s="3">
        <v>2</v>
      </c>
      <c r="N684" s="3">
        <v>2</v>
      </c>
      <c r="O684" s="70">
        <v>0</v>
      </c>
      <c r="P684" s="3">
        <v>0</v>
      </c>
      <c r="Q684" s="3">
        <v>0</v>
      </c>
      <c r="R684" s="3">
        <v>0.48</v>
      </c>
      <c r="S684" s="3">
        <v>0</v>
      </c>
      <c r="T684" s="3">
        <v>0.96</v>
      </c>
      <c r="U684" s="3">
        <v>0.96</v>
      </c>
      <c r="V684" s="70" t="s">
        <v>334</v>
      </c>
      <c r="W684" s="3" t="s">
        <v>343</v>
      </c>
      <c r="X684" s="3" t="s">
        <v>337</v>
      </c>
      <c r="Y684" s="3" t="s">
        <v>337</v>
      </c>
    </row>
    <row r="685" spans="1:25" hidden="1" x14ac:dyDescent="0.2">
      <c r="A685" s="83" t="str">
        <f t="shared" si="10"/>
        <v>郑州裕华韩式琥珀酱</v>
      </c>
      <c r="B685" s="3" t="s">
        <v>711</v>
      </c>
      <c r="C685" s="84">
        <v>44377</v>
      </c>
      <c r="D685" s="3" t="s">
        <v>613</v>
      </c>
      <c r="E685" s="3" t="s">
        <v>337</v>
      </c>
      <c r="F685" s="3" t="s">
        <v>337</v>
      </c>
      <c r="G685" s="70" t="s">
        <v>614</v>
      </c>
      <c r="H685" s="3" t="s">
        <v>615</v>
      </c>
      <c r="I685" s="3" t="s">
        <v>105</v>
      </c>
      <c r="J685" s="3">
        <v>0</v>
      </c>
      <c r="K685" s="3">
        <v>0</v>
      </c>
      <c r="L685" s="3">
        <v>49</v>
      </c>
      <c r="M685" s="3">
        <v>0</v>
      </c>
      <c r="N685" s="3">
        <v>-49</v>
      </c>
      <c r="O685" s="70">
        <v>49</v>
      </c>
      <c r="P685" s="3">
        <v>0</v>
      </c>
      <c r="Q685" s="3">
        <v>0</v>
      </c>
      <c r="R685" s="3">
        <v>0.36</v>
      </c>
      <c r="S685" s="3">
        <v>17.64</v>
      </c>
      <c r="T685" s="3">
        <v>0</v>
      </c>
      <c r="U685" s="3">
        <v>-17.64</v>
      </c>
      <c r="V685" s="70" t="s">
        <v>641</v>
      </c>
      <c r="W685" s="3" t="s">
        <v>343</v>
      </c>
      <c r="X685" s="3" t="s">
        <v>337</v>
      </c>
      <c r="Y685" s="3" t="s">
        <v>337</v>
      </c>
    </row>
    <row r="686" spans="1:25" hidden="1" x14ac:dyDescent="0.2">
      <c r="A686" s="83" t="str">
        <f t="shared" si="10"/>
        <v>郑州盛华里韩式琥珀酱</v>
      </c>
      <c r="B686" s="3" t="s">
        <v>709</v>
      </c>
      <c r="C686" s="84">
        <v>44377</v>
      </c>
      <c r="D686" s="3" t="s">
        <v>613</v>
      </c>
      <c r="E686" s="3" t="s">
        <v>337</v>
      </c>
      <c r="F686" s="3" t="s">
        <v>337</v>
      </c>
      <c r="G686" s="70" t="s">
        <v>614</v>
      </c>
      <c r="H686" s="3" t="s">
        <v>615</v>
      </c>
      <c r="I686" s="3" t="s">
        <v>105</v>
      </c>
      <c r="J686" s="3">
        <v>0</v>
      </c>
      <c r="K686" s="3">
        <v>50</v>
      </c>
      <c r="L686" s="3">
        <v>46</v>
      </c>
      <c r="M686" s="3">
        <v>8</v>
      </c>
      <c r="N686" s="3">
        <v>4</v>
      </c>
      <c r="O686" s="70">
        <v>4</v>
      </c>
      <c r="P686" s="3">
        <v>0</v>
      </c>
      <c r="Q686" s="3">
        <v>0</v>
      </c>
      <c r="R686" s="3">
        <v>0.48</v>
      </c>
      <c r="S686" s="3">
        <v>1.92</v>
      </c>
      <c r="T686" s="3">
        <v>3.84</v>
      </c>
      <c r="U686" s="3">
        <v>1.92</v>
      </c>
      <c r="V686" s="70" t="s">
        <v>637</v>
      </c>
      <c r="W686" s="3" t="s">
        <v>343</v>
      </c>
      <c r="X686" s="3" t="s">
        <v>337</v>
      </c>
      <c r="Y686" s="3" t="s">
        <v>337</v>
      </c>
    </row>
    <row r="687" spans="1:25" hidden="1" x14ac:dyDescent="0.2">
      <c r="A687" s="83" t="str">
        <f t="shared" si="10"/>
        <v>滑县滑台韩式琥珀酱</v>
      </c>
      <c r="B687" s="3" t="s">
        <v>710</v>
      </c>
      <c r="C687" s="84">
        <v>44377</v>
      </c>
      <c r="D687" s="3" t="s">
        <v>613</v>
      </c>
      <c r="E687" s="3" t="s">
        <v>337</v>
      </c>
      <c r="F687" s="3" t="s">
        <v>337</v>
      </c>
      <c r="G687" s="70" t="s">
        <v>614</v>
      </c>
      <c r="H687" s="3" t="s">
        <v>615</v>
      </c>
      <c r="I687" s="3" t="s">
        <v>105</v>
      </c>
      <c r="J687" s="3">
        <v>20</v>
      </c>
      <c r="K687" s="3">
        <v>0</v>
      </c>
      <c r="L687" s="3">
        <v>96</v>
      </c>
      <c r="M687" s="3">
        <v>0</v>
      </c>
      <c r="N687" s="3">
        <v>-76</v>
      </c>
      <c r="O687" s="70">
        <v>76</v>
      </c>
      <c r="P687" s="3">
        <v>0</v>
      </c>
      <c r="Q687" s="3">
        <v>0</v>
      </c>
      <c r="R687" s="3">
        <v>0.48</v>
      </c>
      <c r="S687" s="3">
        <v>36.479999999999997</v>
      </c>
      <c r="T687" s="3">
        <v>0</v>
      </c>
      <c r="U687" s="3">
        <v>-36.479999999999997</v>
      </c>
      <c r="V687" s="70" t="s">
        <v>639</v>
      </c>
      <c r="W687" s="3" t="s">
        <v>343</v>
      </c>
      <c r="X687" s="3" t="s">
        <v>337</v>
      </c>
      <c r="Y687" s="3" t="s">
        <v>337</v>
      </c>
    </row>
    <row r="688" spans="1:25" hidden="1" x14ac:dyDescent="0.2">
      <c r="A688" s="83" t="str">
        <f t="shared" si="10"/>
        <v>新蔡水韵天街韩式琥珀酱</v>
      </c>
      <c r="B688" s="3" t="s">
        <v>703</v>
      </c>
      <c r="C688" s="84">
        <v>44377</v>
      </c>
      <c r="D688" s="3" t="s">
        <v>613</v>
      </c>
      <c r="E688" s="3" t="s">
        <v>337</v>
      </c>
      <c r="F688" s="3" t="s">
        <v>337</v>
      </c>
      <c r="G688" s="70" t="s">
        <v>614</v>
      </c>
      <c r="H688" s="3" t="s">
        <v>615</v>
      </c>
      <c r="I688" s="3" t="s">
        <v>105</v>
      </c>
      <c r="J688" s="3">
        <v>0</v>
      </c>
      <c r="K688" s="3">
        <v>150</v>
      </c>
      <c r="L688" s="3">
        <v>113</v>
      </c>
      <c r="M688" s="3">
        <v>37</v>
      </c>
      <c r="N688" s="3">
        <v>37</v>
      </c>
      <c r="O688" s="70">
        <v>0</v>
      </c>
      <c r="P688" s="3">
        <v>0</v>
      </c>
      <c r="Q688" s="3">
        <v>0</v>
      </c>
      <c r="R688" s="3">
        <v>0.48</v>
      </c>
      <c r="S688" s="3">
        <v>0</v>
      </c>
      <c r="T688" s="3">
        <v>17.760000000000002</v>
      </c>
      <c r="U688" s="3">
        <v>17.760000000000002</v>
      </c>
      <c r="V688" s="70" t="s">
        <v>335</v>
      </c>
      <c r="W688" s="3" t="s">
        <v>343</v>
      </c>
      <c r="X688" s="3" t="s">
        <v>337</v>
      </c>
      <c r="Y688" s="3" t="s">
        <v>337</v>
      </c>
    </row>
    <row r="689" spans="1:25" hidden="1" x14ac:dyDescent="0.2">
      <c r="A689" s="83" t="str">
        <f t="shared" si="10"/>
        <v>郑州康复中街韩式琥珀酱</v>
      </c>
      <c r="B689" s="3" t="s">
        <v>704</v>
      </c>
      <c r="C689" s="84">
        <v>44377</v>
      </c>
      <c r="D689" s="3" t="s">
        <v>613</v>
      </c>
      <c r="E689" s="3" t="s">
        <v>337</v>
      </c>
      <c r="F689" s="3" t="s">
        <v>337</v>
      </c>
      <c r="G689" s="70" t="s">
        <v>614</v>
      </c>
      <c r="H689" s="3" t="s">
        <v>615</v>
      </c>
      <c r="I689" s="3" t="s">
        <v>105</v>
      </c>
      <c r="J689" s="3">
        <v>114</v>
      </c>
      <c r="K689" s="3">
        <v>0</v>
      </c>
      <c r="L689" s="3">
        <v>138</v>
      </c>
      <c r="M689" s="3">
        <v>0</v>
      </c>
      <c r="N689" s="3">
        <v>-24</v>
      </c>
      <c r="O689" s="70">
        <v>24</v>
      </c>
      <c r="P689" s="3">
        <v>0</v>
      </c>
      <c r="Q689" s="3">
        <v>0</v>
      </c>
      <c r="R689" s="3">
        <v>0.48</v>
      </c>
      <c r="S689" s="3">
        <v>11.52</v>
      </c>
      <c r="T689" s="3">
        <v>0</v>
      </c>
      <c r="U689" s="3">
        <v>-11.52</v>
      </c>
      <c r="V689" s="70" t="s">
        <v>593</v>
      </c>
      <c r="W689" s="3" t="s">
        <v>343</v>
      </c>
      <c r="X689" s="3" t="s">
        <v>337</v>
      </c>
      <c r="Y689" s="3" t="s">
        <v>337</v>
      </c>
    </row>
    <row r="690" spans="1:25" hidden="1" x14ac:dyDescent="0.2">
      <c r="A690" s="83" t="str">
        <f t="shared" si="10"/>
        <v>郑州瀚海海尚韩式琥珀酱</v>
      </c>
      <c r="B690" s="3" t="s">
        <v>706</v>
      </c>
      <c r="C690" s="84">
        <v>44377</v>
      </c>
      <c r="D690" s="3" t="s">
        <v>613</v>
      </c>
      <c r="E690" s="3" t="s">
        <v>337</v>
      </c>
      <c r="F690" s="3" t="s">
        <v>337</v>
      </c>
      <c r="G690" s="70" t="s">
        <v>614</v>
      </c>
      <c r="H690" s="3" t="s">
        <v>615</v>
      </c>
      <c r="I690" s="3" t="s">
        <v>105</v>
      </c>
      <c r="J690" s="3">
        <v>0</v>
      </c>
      <c r="K690" s="3">
        <v>200</v>
      </c>
      <c r="L690" s="3">
        <v>154</v>
      </c>
      <c r="M690" s="3">
        <v>61</v>
      </c>
      <c r="N690" s="3">
        <v>46</v>
      </c>
      <c r="O690" s="70">
        <v>15</v>
      </c>
      <c r="P690" s="3">
        <v>0</v>
      </c>
      <c r="Q690" s="3">
        <v>0</v>
      </c>
      <c r="R690" s="3">
        <v>0.48</v>
      </c>
      <c r="S690" s="3">
        <v>7.2</v>
      </c>
      <c r="T690" s="3">
        <v>29.28</v>
      </c>
      <c r="U690" s="3">
        <v>22.08</v>
      </c>
      <c r="V690" s="70" t="s">
        <v>333</v>
      </c>
      <c r="W690" s="3" t="s">
        <v>343</v>
      </c>
      <c r="X690" s="3" t="s">
        <v>337</v>
      </c>
      <c r="Y690" s="3" t="s">
        <v>337</v>
      </c>
    </row>
    <row r="691" spans="1:25" hidden="1" x14ac:dyDescent="0.2">
      <c r="A691" s="83" t="str">
        <f t="shared" si="10"/>
        <v>华山龙源韩式琥珀酱</v>
      </c>
      <c r="B691" s="3" t="s">
        <v>705</v>
      </c>
      <c r="C691" s="84">
        <v>44377</v>
      </c>
      <c r="D691" s="3" t="s">
        <v>613</v>
      </c>
      <c r="E691" s="3" t="s">
        <v>337</v>
      </c>
      <c r="F691" s="3" t="s">
        <v>337</v>
      </c>
      <c r="G691" s="70" t="s">
        <v>614</v>
      </c>
      <c r="H691" s="3" t="s">
        <v>615</v>
      </c>
      <c r="I691" s="3" t="s">
        <v>105</v>
      </c>
      <c r="J691" s="3">
        <v>0</v>
      </c>
      <c r="K691" s="3">
        <v>100</v>
      </c>
      <c r="L691" s="3">
        <v>72</v>
      </c>
      <c r="M691" s="3">
        <v>28</v>
      </c>
      <c r="N691" s="3">
        <v>28</v>
      </c>
      <c r="O691" s="70">
        <v>0</v>
      </c>
      <c r="P691" s="3">
        <v>0</v>
      </c>
      <c r="Q691" s="3">
        <v>0</v>
      </c>
      <c r="R691" s="3">
        <v>0.48</v>
      </c>
      <c r="S691" s="3">
        <v>0</v>
      </c>
      <c r="T691" s="3">
        <v>13.44</v>
      </c>
      <c r="U691" s="3">
        <v>13.44</v>
      </c>
      <c r="V691" s="70" t="s">
        <v>643</v>
      </c>
      <c r="W691" s="3" t="s">
        <v>343</v>
      </c>
      <c r="X691" s="3" t="s">
        <v>337</v>
      </c>
      <c r="Y691" s="3" t="s">
        <v>337</v>
      </c>
    </row>
    <row r="692" spans="1:25" hidden="1" x14ac:dyDescent="0.2">
      <c r="A692" s="83" t="str">
        <f t="shared" si="10"/>
        <v>郑州西悦城韩式琥珀酱</v>
      </c>
      <c r="B692" s="3" t="s">
        <v>708</v>
      </c>
      <c r="C692" s="84">
        <v>44377</v>
      </c>
      <c r="D692" s="3" t="s">
        <v>613</v>
      </c>
      <c r="E692" s="3" t="s">
        <v>337</v>
      </c>
      <c r="F692" s="3" t="s">
        <v>337</v>
      </c>
      <c r="G692" s="70" t="s">
        <v>614</v>
      </c>
      <c r="H692" s="3" t="s">
        <v>615</v>
      </c>
      <c r="I692" s="3" t="s">
        <v>105</v>
      </c>
      <c r="J692" s="3">
        <v>12</v>
      </c>
      <c r="K692" s="3">
        <v>100</v>
      </c>
      <c r="L692" s="3">
        <v>255</v>
      </c>
      <c r="M692" s="3">
        <v>0</v>
      </c>
      <c r="N692" s="3">
        <v>-143</v>
      </c>
      <c r="O692" s="70">
        <v>143</v>
      </c>
      <c r="P692" s="3">
        <v>0</v>
      </c>
      <c r="Q692" s="3">
        <v>0</v>
      </c>
      <c r="R692" s="3">
        <v>0.48</v>
      </c>
      <c r="S692" s="3">
        <v>68.64</v>
      </c>
      <c r="T692" s="3">
        <v>0</v>
      </c>
      <c r="U692" s="3">
        <v>-68.64</v>
      </c>
      <c r="V692" s="70" t="s">
        <v>332</v>
      </c>
      <c r="W692" s="3" t="s">
        <v>343</v>
      </c>
      <c r="X692" s="3" t="s">
        <v>337</v>
      </c>
      <c r="Y692" s="3" t="s">
        <v>337</v>
      </c>
    </row>
    <row r="693" spans="1:25" hidden="1" x14ac:dyDescent="0.2">
      <c r="A693" s="83" t="str">
        <f t="shared" si="10"/>
        <v>郑州铁英街韩式琥珀酱</v>
      </c>
      <c r="B693" s="3" t="s">
        <v>707</v>
      </c>
      <c r="C693" s="84">
        <v>44377</v>
      </c>
      <c r="D693" s="3" t="s">
        <v>613</v>
      </c>
      <c r="E693" s="3" t="s">
        <v>337</v>
      </c>
      <c r="F693" s="3" t="s">
        <v>337</v>
      </c>
      <c r="G693" s="70" t="s">
        <v>614</v>
      </c>
      <c r="H693" s="3" t="s">
        <v>615</v>
      </c>
      <c r="I693" s="3" t="s">
        <v>105</v>
      </c>
      <c r="J693" s="3">
        <v>11</v>
      </c>
      <c r="K693" s="3">
        <v>50</v>
      </c>
      <c r="L693" s="3">
        <v>104</v>
      </c>
      <c r="M693" s="3">
        <v>0</v>
      </c>
      <c r="N693" s="3">
        <v>-43</v>
      </c>
      <c r="O693" s="70">
        <v>43</v>
      </c>
      <c r="P693" s="3">
        <v>0</v>
      </c>
      <c r="Q693" s="3">
        <v>0</v>
      </c>
      <c r="R693" s="3">
        <v>0.48</v>
      </c>
      <c r="S693" s="3">
        <v>20.64</v>
      </c>
      <c r="T693" s="3">
        <v>0</v>
      </c>
      <c r="U693" s="3">
        <v>-20.64</v>
      </c>
      <c r="V693" s="70" t="s">
        <v>592</v>
      </c>
      <c r="W693" s="3" t="s">
        <v>343</v>
      </c>
      <c r="X693" s="3" t="s">
        <v>337</v>
      </c>
      <c r="Y693" s="3" t="s">
        <v>337</v>
      </c>
    </row>
    <row r="694" spans="1:25" hidden="1" x14ac:dyDescent="0.2">
      <c r="A694" s="83" t="str">
        <f t="shared" si="10"/>
        <v>郑州政六街韩式琥珀酱</v>
      </c>
      <c r="B694" s="3" t="s">
        <v>714</v>
      </c>
      <c r="C694" s="84">
        <v>44377</v>
      </c>
      <c r="D694" s="3" t="s">
        <v>613</v>
      </c>
      <c r="E694" s="3" t="s">
        <v>337</v>
      </c>
      <c r="F694" s="3" t="s">
        <v>337</v>
      </c>
      <c r="G694" s="70" t="s">
        <v>614</v>
      </c>
      <c r="H694" s="3" t="s">
        <v>615</v>
      </c>
      <c r="I694" s="3" t="s">
        <v>105</v>
      </c>
      <c r="J694" s="3">
        <v>0</v>
      </c>
      <c r="K694" s="3">
        <v>0</v>
      </c>
      <c r="L694" s="3">
        <v>129</v>
      </c>
      <c r="M694" s="3">
        <v>0</v>
      </c>
      <c r="N694" s="3">
        <v>-129</v>
      </c>
      <c r="O694" s="70">
        <v>129</v>
      </c>
      <c r="P694" s="3">
        <v>0</v>
      </c>
      <c r="Q694" s="3">
        <v>0</v>
      </c>
      <c r="R694" s="3">
        <v>0.36</v>
      </c>
      <c r="S694" s="3">
        <v>46.44</v>
      </c>
      <c r="T694" s="3">
        <v>0</v>
      </c>
      <c r="U694" s="3">
        <v>-46.44</v>
      </c>
      <c r="V694" s="70" t="s">
        <v>591</v>
      </c>
      <c r="W694" s="3" t="s">
        <v>343</v>
      </c>
      <c r="X694" s="3" t="s">
        <v>337</v>
      </c>
      <c r="Y694" s="3" t="s">
        <v>337</v>
      </c>
    </row>
    <row r="695" spans="1:25" hidden="1" x14ac:dyDescent="0.2">
      <c r="A695" s="83" t="str">
        <f t="shared" si="10"/>
        <v>郑州政六街王道辣子鸡风味腌制粉</v>
      </c>
      <c r="B695" s="3" t="s">
        <v>714</v>
      </c>
      <c r="C695" s="84">
        <v>44377</v>
      </c>
      <c r="D695" s="3" t="s">
        <v>462</v>
      </c>
      <c r="E695" s="3" t="s">
        <v>337</v>
      </c>
      <c r="F695" s="3" t="s">
        <v>337</v>
      </c>
      <c r="G695" s="70" t="s">
        <v>463</v>
      </c>
      <c r="H695" s="3" t="s">
        <v>343</v>
      </c>
      <c r="I695" s="3" t="s">
        <v>89</v>
      </c>
      <c r="J695" s="3">
        <v>0</v>
      </c>
      <c r="K695" s="3">
        <v>8000</v>
      </c>
      <c r="L695" s="3">
        <v>644.6</v>
      </c>
      <c r="M695" s="3">
        <v>8000</v>
      </c>
      <c r="N695" s="3">
        <v>7355.4</v>
      </c>
      <c r="O695" s="70">
        <v>644.6</v>
      </c>
      <c r="P695" s="3">
        <v>0</v>
      </c>
      <c r="Q695" s="3">
        <v>0</v>
      </c>
      <c r="R695" s="3">
        <v>2.4E-2</v>
      </c>
      <c r="S695" s="3">
        <v>15.47</v>
      </c>
      <c r="T695" s="3">
        <v>192</v>
      </c>
      <c r="U695" s="3">
        <v>176.53</v>
      </c>
      <c r="V695" s="70" t="s">
        <v>591</v>
      </c>
      <c r="W695" s="3" t="s">
        <v>343</v>
      </c>
      <c r="X695" s="3" t="s">
        <v>337</v>
      </c>
      <c r="Y695" s="3" t="s">
        <v>337</v>
      </c>
    </row>
    <row r="696" spans="1:25" hidden="1" x14ac:dyDescent="0.2">
      <c r="A696" s="83" t="str">
        <f t="shared" si="10"/>
        <v>郑州铁英街王道辣子鸡风味腌制粉</v>
      </c>
      <c r="B696" s="3" t="s">
        <v>707</v>
      </c>
      <c r="C696" s="84">
        <v>44377</v>
      </c>
      <c r="D696" s="3" t="s">
        <v>462</v>
      </c>
      <c r="E696" s="3" t="s">
        <v>337</v>
      </c>
      <c r="F696" s="3" t="s">
        <v>337</v>
      </c>
      <c r="G696" s="70" t="s">
        <v>463</v>
      </c>
      <c r="H696" s="3" t="s">
        <v>343</v>
      </c>
      <c r="I696" s="3" t="s">
        <v>89</v>
      </c>
      <c r="J696" s="3">
        <v>20</v>
      </c>
      <c r="K696" s="3">
        <v>9000</v>
      </c>
      <c r="L696" s="3">
        <v>1235.49</v>
      </c>
      <c r="M696" s="3">
        <v>7430</v>
      </c>
      <c r="N696" s="3">
        <v>7784.51</v>
      </c>
      <c r="O696" s="70">
        <v>-354.51</v>
      </c>
      <c r="P696" s="3">
        <v>0</v>
      </c>
      <c r="Q696" s="3">
        <v>0</v>
      </c>
      <c r="R696" s="3">
        <v>2.4001000000000001E-2</v>
      </c>
      <c r="S696" s="3">
        <v>-8.51</v>
      </c>
      <c r="T696" s="3">
        <v>178.33</v>
      </c>
      <c r="U696" s="3">
        <v>186.84</v>
      </c>
      <c r="V696" s="70" t="s">
        <v>592</v>
      </c>
      <c r="W696" s="3" t="s">
        <v>343</v>
      </c>
      <c r="X696" s="3" t="s">
        <v>337</v>
      </c>
      <c r="Y696" s="3" t="s">
        <v>337</v>
      </c>
    </row>
    <row r="697" spans="1:25" hidden="1" x14ac:dyDescent="0.2">
      <c r="A697" s="83" t="str">
        <f t="shared" si="10"/>
        <v>郑州西悦城王道辣子鸡风味腌制粉</v>
      </c>
      <c r="B697" s="3" t="s">
        <v>708</v>
      </c>
      <c r="C697" s="84">
        <v>44377</v>
      </c>
      <c r="D697" s="3" t="s">
        <v>462</v>
      </c>
      <c r="E697" s="3" t="s">
        <v>337</v>
      </c>
      <c r="F697" s="3" t="s">
        <v>337</v>
      </c>
      <c r="G697" s="70" t="s">
        <v>463</v>
      </c>
      <c r="H697" s="3" t="s">
        <v>343</v>
      </c>
      <c r="I697" s="3" t="s">
        <v>89</v>
      </c>
      <c r="J697" s="3">
        <v>2800</v>
      </c>
      <c r="K697" s="3">
        <v>8000</v>
      </c>
      <c r="L697" s="3">
        <v>1449.61</v>
      </c>
      <c r="M697" s="3">
        <v>9300</v>
      </c>
      <c r="N697" s="3">
        <v>9350.39</v>
      </c>
      <c r="O697" s="70">
        <v>-50.39</v>
      </c>
      <c r="P697" s="3">
        <v>0</v>
      </c>
      <c r="Q697" s="3">
        <v>0</v>
      </c>
      <c r="R697" s="3">
        <v>2.4001000000000001E-2</v>
      </c>
      <c r="S697" s="3">
        <v>-1.21</v>
      </c>
      <c r="T697" s="3">
        <v>223.21</v>
      </c>
      <c r="U697" s="3">
        <v>224.42</v>
      </c>
      <c r="V697" s="70" t="s">
        <v>332</v>
      </c>
      <c r="W697" s="3" t="s">
        <v>343</v>
      </c>
      <c r="X697" s="3" t="s">
        <v>337</v>
      </c>
      <c r="Y697" s="3" t="s">
        <v>337</v>
      </c>
    </row>
    <row r="698" spans="1:25" hidden="1" x14ac:dyDescent="0.2">
      <c r="A698" s="83" t="str">
        <f t="shared" si="10"/>
        <v>华山龙源王道辣子鸡风味腌制粉</v>
      </c>
      <c r="B698" s="3" t="s">
        <v>705</v>
      </c>
      <c r="C698" s="84">
        <v>44377</v>
      </c>
      <c r="D698" s="3" t="s">
        <v>462</v>
      </c>
      <c r="E698" s="3" t="s">
        <v>337</v>
      </c>
      <c r="F698" s="3" t="s">
        <v>337</v>
      </c>
      <c r="G698" s="70" t="s">
        <v>463</v>
      </c>
      <c r="H698" s="3" t="s">
        <v>343</v>
      </c>
      <c r="I698" s="3" t="s">
        <v>89</v>
      </c>
      <c r="J698" s="3">
        <v>764</v>
      </c>
      <c r="K698" s="3">
        <v>8000</v>
      </c>
      <c r="L698" s="3">
        <v>713.76</v>
      </c>
      <c r="M698" s="3">
        <v>8000</v>
      </c>
      <c r="N698" s="3">
        <v>8050.24</v>
      </c>
      <c r="O698" s="70">
        <v>-50.24</v>
      </c>
      <c r="P698" s="3">
        <v>0</v>
      </c>
      <c r="Q698" s="3">
        <v>0</v>
      </c>
      <c r="R698" s="3">
        <v>2.3998999999999999E-2</v>
      </c>
      <c r="S698" s="3">
        <v>-1.21</v>
      </c>
      <c r="T698" s="3">
        <v>191.99</v>
      </c>
      <c r="U698" s="3">
        <v>193.2</v>
      </c>
      <c r="V698" s="70" t="s">
        <v>643</v>
      </c>
      <c r="W698" s="3" t="s">
        <v>343</v>
      </c>
      <c r="X698" s="3" t="s">
        <v>337</v>
      </c>
      <c r="Y698" s="3" t="s">
        <v>337</v>
      </c>
    </row>
    <row r="699" spans="1:25" hidden="1" x14ac:dyDescent="0.2">
      <c r="A699" s="83" t="str">
        <f t="shared" si="10"/>
        <v>郑州瀚海海尚王道辣子鸡风味腌制粉</v>
      </c>
      <c r="B699" s="3" t="s">
        <v>706</v>
      </c>
      <c r="C699" s="84">
        <v>44377</v>
      </c>
      <c r="D699" s="3" t="s">
        <v>462</v>
      </c>
      <c r="E699" s="3" t="s">
        <v>337</v>
      </c>
      <c r="F699" s="3" t="s">
        <v>337</v>
      </c>
      <c r="G699" s="70" t="s">
        <v>463</v>
      </c>
      <c r="H699" s="3" t="s">
        <v>343</v>
      </c>
      <c r="I699" s="3" t="s">
        <v>89</v>
      </c>
      <c r="J699" s="3">
        <v>1800</v>
      </c>
      <c r="K699" s="3">
        <v>13000</v>
      </c>
      <c r="L699" s="3">
        <v>1659.4</v>
      </c>
      <c r="M699" s="3">
        <v>6000</v>
      </c>
      <c r="N699" s="3">
        <v>13140.6</v>
      </c>
      <c r="O699" s="70">
        <v>-7140.6</v>
      </c>
      <c r="P699" s="3">
        <v>0</v>
      </c>
      <c r="Q699" s="3">
        <v>0</v>
      </c>
      <c r="R699" s="3">
        <v>2.4001999999999999E-2</v>
      </c>
      <c r="S699" s="3">
        <v>-171.39</v>
      </c>
      <c r="T699" s="3">
        <v>144.01</v>
      </c>
      <c r="U699" s="3">
        <v>315.39999999999998</v>
      </c>
      <c r="V699" s="70" t="s">
        <v>333</v>
      </c>
      <c r="W699" s="3" t="s">
        <v>343</v>
      </c>
      <c r="X699" s="3" t="s">
        <v>337</v>
      </c>
      <c r="Y699" s="3" t="s">
        <v>337</v>
      </c>
    </row>
    <row r="700" spans="1:25" hidden="1" x14ac:dyDescent="0.2">
      <c r="A700" s="83" t="str">
        <f t="shared" si="10"/>
        <v>郑州康复中街王道辣子鸡风味腌制粉</v>
      </c>
      <c r="B700" s="3" t="s">
        <v>704</v>
      </c>
      <c r="C700" s="84">
        <v>44377</v>
      </c>
      <c r="D700" s="3" t="s">
        <v>462</v>
      </c>
      <c r="E700" s="3" t="s">
        <v>337</v>
      </c>
      <c r="F700" s="3" t="s">
        <v>337</v>
      </c>
      <c r="G700" s="70" t="s">
        <v>463</v>
      </c>
      <c r="H700" s="3" t="s">
        <v>343</v>
      </c>
      <c r="I700" s="3" t="s">
        <v>89</v>
      </c>
      <c r="J700" s="3">
        <v>1400</v>
      </c>
      <c r="K700" s="3">
        <v>9000</v>
      </c>
      <c r="L700" s="3">
        <v>1218.3800000000001</v>
      </c>
      <c r="M700" s="3">
        <v>9181</v>
      </c>
      <c r="N700" s="3">
        <v>9181.6200000000008</v>
      </c>
      <c r="O700" s="70">
        <v>-0.62</v>
      </c>
      <c r="P700" s="3">
        <v>0</v>
      </c>
      <c r="Q700" s="3">
        <v>0</v>
      </c>
      <c r="R700" s="3">
        <v>2.4001999999999999E-2</v>
      </c>
      <c r="S700" s="3">
        <v>-0.01</v>
      </c>
      <c r="T700" s="3">
        <v>220.36</v>
      </c>
      <c r="U700" s="3">
        <v>220.38</v>
      </c>
      <c r="V700" s="70" t="s">
        <v>593</v>
      </c>
      <c r="W700" s="3" t="s">
        <v>343</v>
      </c>
      <c r="X700" s="3" t="s">
        <v>337</v>
      </c>
      <c r="Y700" s="3" t="s">
        <v>337</v>
      </c>
    </row>
    <row r="701" spans="1:25" hidden="1" x14ac:dyDescent="0.2">
      <c r="A701" s="83" t="str">
        <f t="shared" si="10"/>
        <v>新蔡水韵天街王道辣子鸡风味腌制粉</v>
      </c>
      <c r="B701" s="3" t="s">
        <v>703</v>
      </c>
      <c r="C701" s="84">
        <v>44377</v>
      </c>
      <c r="D701" s="3" t="s">
        <v>462</v>
      </c>
      <c r="E701" s="3" t="s">
        <v>337</v>
      </c>
      <c r="F701" s="3" t="s">
        <v>337</v>
      </c>
      <c r="G701" s="70" t="s">
        <v>463</v>
      </c>
      <c r="H701" s="3" t="s">
        <v>343</v>
      </c>
      <c r="I701" s="3" t="s">
        <v>89</v>
      </c>
      <c r="J701" s="3">
        <v>0</v>
      </c>
      <c r="K701" s="3">
        <v>5000</v>
      </c>
      <c r="L701" s="3">
        <v>935.93</v>
      </c>
      <c r="M701" s="3">
        <v>4000</v>
      </c>
      <c r="N701" s="3">
        <v>4064.07</v>
      </c>
      <c r="O701" s="70">
        <v>-64.069999999999993</v>
      </c>
      <c r="P701" s="3">
        <v>0</v>
      </c>
      <c r="Q701" s="3">
        <v>0</v>
      </c>
      <c r="R701" s="3">
        <v>2.3997999999999998E-2</v>
      </c>
      <c r="S701" s="3">
        <v>-1.54</v>
      </c>
      <c r="T701" s="3">
        <v>95.99</v>
      </c>
      <c r="U701" s="3">
        <v>97.53</v>
      </c>
      <c r="V701" s="70" t="s">
        <v>335</v>
      </c>
      <c r="W701" s="3" t="s">
        <v>343</v>
      </c>
      <c r="X701" s="3" t="s">
        <v>337</v>
      </c>
      <c r="Y701" s="3" t="s">
        <v>337</v>
      </c>
    </row>
    <row r="702" spans="1:25" hidden="1" x14ac:dyDescent="0.2">
      <c r="A702" s="83" t="str">
        <f t="shared" si="10"/>
        <v>滑县滑台王道辣子鸡风味腌制粉</v>
      </c>
      <c r="B702" s="3" t="s">
        <v>710</v>
      </c>
      <c r="C702" s="84">
        <v>44377</v>
      </c>
      <c r="D702" s="3" t="s">
        <v>462</v>
      </c>
      <c r="E702" s="3" t="s">
        <v>337</v>
      </c>
      <c r="F702" s="3" t="s">
        <v>337</v>
      </c>
      <c r="G702" s="70" t="s">
        <v>463</v>
      </c>
      <c r="H702" s="3" t="s">
        <v>343</v>
      </c>
      <c r="I702" s="3" t="s">
        <v>89</v>
      </c>
      <c r="J702" s="3">
        <v>1500</v>
      </c>
      <c r="K702" s="3">
        <v>8000</v>
      </c>
      <c r="L702" s="3">
        <v>675.39</v>
      </c>
      <c r="M702" s="3">
        <v>8000</v>
      </c>
      <c r="N702" s="3">
        <v>8824.61</v>
      </c>
      <c r="O702" s="70">
        <v>-824.61</v>
      </c>
      <c r="P702" s="3">
        <v>0</v>
      </c>
      <c r="Q702" s="3">
        <v>0</v>
      </c>
      <c r="R702" s="3">
        <v>2.4001000000000001E-2</v>
      </c>
      <c r="S702" s="3">
        <v>-19.79</v>
      </c>
      <c r="T702" s="3">
        <v>192.01</v>
      </c>
      <c r="U702" s="3">
        <v>211.8</v>
      </c>
      <c r="V702" s="70" t="s">
        <v>639</v>
      </c>
      <c r="W702" s="3" t="s">
        <v>343</v>
      </c>
      <c r="X702" s="3" t="s">
        <v>337</v>
      </c>
      <c r="Y702" s="3" t="s">
        <v>337</v>
      </c>
    </row>
    <row r="703" spans="1:25" hidden="1" x14ac:dyDescent="0.2">
      <c r="A703" s="83" t="str">
        <f t="shared" si="10"/>
        <v>郑州盛华里王道辣子鸡风味腌制粉</v>
      </c>
      <c r="B703" s="3" t="s">
        <v>709</v>
      </c>
      <c r="C703" s="84">
        <v>44377</v>
      </c>
      <c r="D703" s="3" t="s">
        <v>462</v>
      </c>
      <c r="E703" s="3" t="s">
        <v>337</v>
      </c>
      <c r="F703" s="3" t="s">
        <v>337</v>
      </c>
      <c r="G703" s="70" t="s">
        <v>463</v>
      </c>
      <c r="H703" s="3" t="s">
        <v>343</v>
      </c>
      <c r="I703" s="3" t="s">
        <v>89</v>
      </c>
      <c r="J703" s="3">
        <v>4650</v>
      </c>
      <c r="K703" s="3">
        <v>8000</v>
      </c>
      <c r="L703" s="3">
        <v>513.5</v>
      </c>
      <c r="M703" s="3">
        <v>12200</v>
      </c>
      <c r="N703" s="3">
        <v>12136.5</v>
      </c>
      <c r="O703" s="70">
        <v>63.5</v>
      </c>
      <c r="P703" s="3">
        <v>0</v>
      </c>
      <c r="Q703" s="3">
        <v>0</v>
      </c>
      <c r="R703" s="3">
        <v>2.3997999999999998E-2</v>
      </c>
      <c r="S703" s="3">
        <v>1.52</v>
      </c>
      <c r="T703" s="3">
        <v>292.77999999999997</v>
      </c>
      <c r="U703" s="3">
        <v>291.25</v>
      </c>
      <c r="V703" s="70" t="s">
        <v>637</v>
      </c>
      <c r="W703" s="3" t="s">
        <v>343</v>
      </c>
      <c r="X703" s="3" t="s">
        <v>337</v>
      </c>
      <c r="Y703" s="3" t="s">
        <v>337</v>
      </c>
    </row>
    <row r="704" spans="1:25" hidden="1" x14ac:dyDescent="0.2">
      <c r="A704" s="83" t="str">
        <f t="shared" si="10"/>
        <v>郑州裕华王道辣子鸡风味腌制粉</v>
      </c>
      <c r="B704" s="3" t="s">
        <v>711</v>
      </c>
      <c r="C704" s="84">
        <v>44377</v>
      </c>
      <c r="D704" s="3" t="s">
        <v>462</v>
      </c>
      <c r="E704" s="3" t="s">
        <v>337</v>
      </c>
      <c r="F704" s="3" t="s">
        <v>337</v>
      </c>
      <c r="G704" s="70" t="s">
        <v>463</v>
      </c>
      <c r="H704" s="3" t="s">
        <v>343</v>
      </c>
      <c r="I704" s="3" t="s">
        <v>89</v>
      </c>
      <c r="J704" s="3">
        <v>920</v>
      </c>
      <c r="K704" s="3">
        <v>8000</v>
      </c>
      <c r="L704" s="3">
        <v>364.46</v>
      </c>
      <c r="M704" s="3">
        <v>8000</v>
      </c>
      <c r="N704" s="3">
        <v>8555.5400000000009</v>
      </c>
      <c r="O704" s="70">
        <v>-555.54</v>
      </c>
      <c r="P704" s="3">
        <v>0</v>
      </c>
      <c r="Q704" s="3">
        <v>0</v>
      </c>
      <c r="R704" s="3">
        <v>2.3998999999999999E-2</v>
      </c>
      <c r="S704" s="3">
        <v>-13.33</v>
      </c>
      <c r="T704" s="3">
        <v>191.99</v>
      </c>
      <c r="U704" s="3">
        <v>205.32</v>
      </c>
      <c r="V704" s="70" t="s">
        <v>641</v>
      </c>
      <c r="W704" s="3" t="s">
        <v>343</v>
      </c>
      <c r="X704" s="3" t="s">
        <v>337</v>
      </c>
      <c r="Y704" s="3" t="s">
        <v>337</v>
      </c>
    </row>
    <row r="705" spans="1:25" hidden="1" x14ac:dyDescent="0.2">
      <c r="A705" s="83" t="str">
        <f t="shared" si="10"/>
        <v>清丰凤鸣王道辣子鸡风味腌制粉</v>
      </c>
      <c r="B705" s="3" t="s">
        <v>713</v>
      </c>
      <c r="C705" s="84">
        <v>44377</v>
      </c>
      <c r="D705" s="3" t="s">
        <v>462</v>
      </c>
      <c r="E705" s="3" t="s">
        <v>337</v>
      </c>
      <c r="F705" s="3" t="s">
        <v>337</v>
      </c>
      <c r="G705" s="70" t="s">
        <v>463</v>
      </c>
      <c r="H705" s="3" t="s">
        <v>343</v>
      </c>
      <c r="I705" s="3" t="s">
        <v>89</v>
      </c>
      <c r="J705" s="3">
        <v>0</v>
      </c>
      <c r="K705" s="3">
        <v>8000</v>
      </c>
      <c r="L705" s="3">
        <v>625.65</v>
      </c>
      <c r="M705" s="3">
        <v>7300</v>
      </c>
      <c r="N705" s="3">
        <v>7374.35</v>
      </c>
      <c r="O705" s="70">
        <v>-74.349999999999994</v>
      </c>
      <c r="P705" s="3">
        <v>0</v>
      </c>
      <c r="Q705" s="3">
        <v>0</v>
      </c>
      <c r="R705" s="3">
        <v>2.4E-2</v>
      </c>
      <c r="S705" s="3">
        <v>-1.78</v>
      </c>
      <c r="T705" s="3">
        <v>175.2</v>
      </c>
      <c r="U705" s="3">
        <v>176.98</v>
      </c>
      <c r="V705" s="70" t="s">
        <v>334</v>
      </c>
      <c r="W705" s="3" t="s">
        <v>343</v>
      </c>
      <c r="X705" s="3" t="s">
        <v>337</v>
      </c>
      <c r="Y705" s="3" t="s">
        <v>337</v>
      </c>
    </row>
    <row r="706" spans="1:25" hidden="1" x14ac:dyDescent="0.2">
      <c r="A706" s="83" t="str">
        <f t="shared" si="10"/>
        <v>方城锦城国际王道辣子鸡风味腌制粉</v>
      </c>
      <c r="B706" s="3" t="s">
        <v>712</v>
      </c>
      <c r="C706" s="84">
        <v>44377</v>
      </c>
      <c r="D706" s="3" t="s">
        <v>462</v>
      </c>
      <c r="E706" s="3" t="s">
        <v>337</v>
      </c>
      <c r="F706" s="3" t="s">
        <v>337</v>
      </c>
      <c r="G706" s="70" t="s">
        <v>463</v>
      </c>
      <c r="H706" s="3" t="s">
        <v>343</v>
      </c>
      <c r="I706" s="3" t="s">
        <v>89</v>
      </c>
      <c r="J706" s="3">
        <v>1000</v>
      </c>
      <c r="K706" s="3">
        <v>6000</v>
      </c>
      <c r="L706" s="3">
        <v>1715.89</v>
      </c>
      <c r="M706" s="3">
        <v>5200</v>
      </c>
      <c r="N706" s="3">
        <v>5284.11</v>
      </c>
      <c r="O706" s="70">
        <v>-84.11</v>
      </c>
      <c r="P706" s="3">
        <v>0</v>
      </c>
      <c r="Q706" s="3">
        <v>0</v>
      </c>
      <c r="R706" s="3">
        <v>2.3997999999999998E-2</v>
      </c>
      <c r="S706" s="3">
        <v>-2.02</v>
      </c>
      <c r="T706" s="3">
        <v>124.79</v>
      </c>
      <c r="U706" s="3">
        <v>126.81</v>
      </c>
      <c r="V706" s="70" t="s">
        <v>594</v>
      </c>
      <c r="W706" s="3" t="s">
        <v>343</v>
      </c>
      <c r="X706" s="3" t="s">
        <v>337</v>
      </c>
      <c r="Y706" s="3" t="s">
        <v>337</v>
      </c>
    </row>
    <row r="707" spans="1:25" hidden="1" x14ac:dyDescent="0.2">
      <c r="A707" s="83" t="str">
        <f t="shared" ref="A707:A770" si="11">V707&amp;G707</f>
        <v>方城锦城国际百事可乐定制罐</v>
      </c>
      <c r="B707" s="3" t="s">
        <v>712</v>
      </c>
      <c r="C707" s="84">
        <v>44377</v>
      </c>
      <c r="D707" s="3" t="s">
        <v>464</v>
      </c>
      <c r="E707" s="3" t="s">
        <v>337</v>
      </c>
      <c r="F707" s="3" t="s">
        <v>337</v>
      </c>
      <c r="G707" s="70" t="s">
        <v>465</v>
      </c>
      <c r="H707" s="3" t="s">
        <v>343</v>
      </c>
      <c r="I707" s="3" t="s">
        <v>466</v>
      </c>
      <c r="J707" s="3">
        <v>0</v>
      </c>
      <c r="K707" s="3">
        <v>0</v>
      </c>
      <c r="L707" s="3">
        <v>2</v>
      </c>
      <c r="M707" s="3">
        <v>0</v>
      </c>
      <c r="N707" s="3">
        <v>-2</v>
      </c>
      <c r="O707" s="70">
        <v>2</v>
      </c>
      <c r="P707" s="3">
        <v>0</v>
      </c>
      <c r="Q707" s="3">
        <v>0</v>
      </c>
      <c r="R707" s="3">
        <v>1.8</v>
      </c>
      <c r="S707" s="3">
        <v>3.6</v>
      </c>
      <c r="T707" s="3">
        <v>0</v>
      </c>
      <c r="U707" s="3">
        <v>-3.6</v>
      </c>
      <c r="V707" s="70" t="s">
        <v>594</v>
      </c>
      <c r="W707" s="3" t="s">
        <v>343</v>
      </c>
      <c r="X707" s="3" t="s">
        <v>337</v>
      </c>
      <c r="Y707" s="3" t="s">
        <v>337</v>
      </c>
    </row>
    <row r="708" spans="1:25" hidden="1" x14ac:dyDescent="0.2">
      <c r="A708" s="83" t="str">
        <f t="shared" si="11"/>
        <v>清丰凤鸣百事可乐定制罐</v>
      </c>
      <c r="B708" s="3" t="s">
        <v>713</v>
      </c>
      <c r="C708" s="84">
        <v>44377</v>
      </c>
      <c r="D708" s="3" t="s">
        <v>464</v>
      </c>
      <c r="E708" s="3" t="s">
        <v>337</v>
      </c>
      <c r="F708" s="3" t="s">
        <v>337</v>
      </c>
      <c r="G708" s="70" t="s">
        <v>465</v>
      </c>
      <c r="H708" s="3" t="s">
        <v>343</v>
      </c>
      <c r="I708" s="3" t="s">
        <v>466</v>
      </c>
      <c r="J708" s="3">
        <v>0</v>
      </c>
      <c r="K708" s="3">
        <v>0</v>
      </c>
      <c r="L708" s="3">
        <v>2</v>
      </c>
      <c r="M708" s="3">
        <v>0</v>
      </c>
      <c r="N708" s="3">
        <v>-2</v>
      </c>
      <c r="O708" s="70">
        <v>2</v>
      </c>
      <c r="P708" s="3">
        <v>0</v>
      </c>
      <c r="Q708" s="3">
        <v>0</v>
      </c>
      <c r="R708" s="3">
        <v>1.8</v>
      </c>
      <c r="S708" s="3">
        <v>3.6</v>
      </c>
      <c r="T708" s="3">
        <v>0</v>
      </c>
      <c r="U708" s="3">
        <v>-3.6</v>
      </c>
      <c r="V708" s="70" t="s">
        <v>334</v>
      </c>
      <c r="W708" s="3" t="s">
        <v>343</v>
      </c>
      <c r="X708" s="3" t="s">
        <v>337</v>
      </c>
      <c r="Y708" s="3" t="s">
        <v>337</v>
      </c>
    </row>
    <row r="709" spans="1:25" hidden="1" x14ac:dyDescent="0.2">
      <c r="A709" s="83" t="str">
        <f t="shared" si="11"/>
        <v>郑州盛华里百事可乐定制罐</v>
      </c>
      <c r="B709" s="3" t="s">
        <v>709</v>
      </c>
      <c r="C709" s="84">
        <v>44377</v>
      </c>
      <c r="D709" s="3" t="s">
        <v>464</v>
      </c>
      <c r="E709" s="3" t="s">
        <v>337</v>
      </c>
      <c r="F709" s="3" t="s">
        <v>337</v>
      </c>
      <c r="G709" s="70" t="s">
        <v>465</v>
      </c>
      <c r="H709" s="3" t="s">
        <v>343</v>
      </c>
      <c r="I709" s="3" t="s">
        <v>466</v>
      </c>
      <c r="J709" s="3">
        <v>0</v>
      </c>
      <c r="K709" s="3">
        <v>0</v>
      </c>
      <c r="L709" s="3">
        <v>2</v>
      </c>
      <c r="M709" s="3">
        <v>0</v>
      </c>
      <c r="N709" s="3">
        <v>-2</v>
      </c>
      <c r="O709" s="70">
        <v>2</v>
      </c>
      <c r="P709" s="3">
        <v>0</v>
      </c>
      <c r="Q709" s="3">
        <v>0</v>
      </c>
      <c r="R709" s="3">
        <v>1.8</v>
      </c>
      <c r="S709" s="3">
        <v>3.6</v>
      </c>
      <c r="T709" s="3">
        <v>0</v>
      </c>
      <c r="U709" s="3">
        <v>-3.6</v>
      </c>
      <c r="V709" s="70" t="s">
        <v>637</v>
      </c>
      <c r="W709" s="3" t="s">
        <v>343</v>
      </c>
      <c r="X709" s="3" t="s">
        <v>337</v>
      </c>
      <c r="Y709" s="3" t="s">
        <v>337</v>
      </c>
    </row>
    <row r="710" spans="1:25" hidden="1" x14ac:dyDescent="0.2">
      <c r="A710" s="83" t="str">
        <f t="shared" si="11"/>
        <v>新蔡水韵天街百事可乐定制罐</v>
      </c>
      <c r="B710" s="3" t="s">
        <v>703</v>
      </c>
      <c r="C710" s="84">
        <v>44377</v>
      </c>
      <c r="D710" s="3" t="s">
        <v>464</v>
      </c>
      <c r="E710" s="3" t="s">
        <v>337</v>
      </c>
      <c r="F710" s="3" t="s">
        <v>337</v>
      </c>
      <c r="G710" s="70" t="s">
        <v>465</v>
      </c>
      <c r="H710" s="3" t="s">
        <v>343</v>
      </c>
      <c r="I710" s="3" t="s">
        <v>466</v>
      </c>
      <c r="J710" s="3">
        <v>0</v>
      </c>
      <c r="K710" s="3">
        <v>0</v>
      </c>
      <c r="L710" s="3">
        <v>10</v>
      </c>
      <c r="M710" s="3">
        <v>0</v>
      </c>
      <c r="N710" s="3">
        <v>-10</v>
      </c>
      <c r="O710" s="70">
        <v>10</v>
      </c>
      <c r="P710" s="3">
        <v>0</v>
      </c>
      <c r="Q710" s="3">
        <v>0</v>
      </c>
      <c r="R710" s="3">
        <v>1.8</v>
      </c>
      <c r="S710" s="3">
        <v>18</v>
      </c>
      <c r="T710" s="3">
        <v>0</v>
      </c>
      <c r="U710" s="3">
        <v>-18</v>
      </c>
      <c r="V710" s="70" t="s">
        <v>335</v>
      </c>
      <c r="W710" s="3" t="s">
        <v>738</v>
      </c>
      <c r="X710" s="3" t="s">
        <v>337</v>
      </c>
      <c r="Y710" s="3" t="s">
        <v>337</v>
      </c>
    </row>
    <row r="711" spans="1:25" hidden="1" x14ac:dyDescent="0.2">
      <c r="A711" s="83" t="str">
        <f t="shared" si="11"/>
        <v>郑州康复中街百事可乐定制罐</v>
      </c>
      <c r="B711" s="3" t="s">
        <v>704</v>
      </c>
      <c r="C711" s="84">
        <v>44377</v>
      </c>
      <c r="D711" s="3" t="s">
        <v>464</v>
      </c>
      <c r="E711" s="3" t="s">
        <v>337</v>
      </c>
      <c r="F711" s="3" t="s">
        <v>337</v>
      </c>
      <c r="G711" s="70" t="s">
        <v>465</v>
      </c>
      <c r="H711" s="3" t="s">
        <v>343</v>
      </c>
      <c r="I711" s="3" t="s">
        <v>466</v>
      </c>
      <c r="J711" s="3">
        <v>0</v>
      </c>
      <c r="K711" s="3">
        <v>0</v>
      </c>
      <c r="L711" s="3">
        <v>12</v>
      </c>
      <c r="M711" s="3">
        <v>0</v>
      </c>
      <c r="N711" s="3">
        <v>-12</v>
      </c>
      <c r="O711" s="70">
        <v>12</v>
      </c>
      <c r="P711" s="3">
        <v>0</v>
      </c>
      <c r="Q711" s="3">
        <v>0</v>
      </c>
      <c r="R711" s="3">
        <v>1.8</v>
      </c>
      <c r="S711" s="3">
        <v>21.6</v>
      </c>
      <c r="T711" s="3">
        <v>0</v>
      </c>
      <c r="U711" s="3">
        <v>-21.6</v>
      </c>
      <c r="V711" s="70" t="s">
        <v>593</v>
      </c>
      <c r="W711" s="3" t="s">
        <v>343</v>
      </c>
      <c r="X711" s="3" t="s">
        <v>337</v>
      </c>
      <c r="Y711" s="3" t="s">
        <v>337</v>
      </c>
    </row>
    <row r="712" spans="1:25" hidden="1" x14ac:dyDescent="0.2">
      <c r="A712" s="83" t="str">
        <f t="shared" si="11"/>
        <v>华山龙源百事可乐定制罐</v>
      </c>
      <c r="B712" s="3" t="s">
        <v>705</v>
      </c>
      <c r="C712" s="84">
        <v>44377</v>
      </c>
      <c r="D712" s="3" t="s">
        <v>464</v>
      </c>
      <c r="E712" s="3" t="s">
        <v>337</v>
      </c>
      <c r="F712" s="3" t="s">
        <v>337</v>
      </c>
      <c r="G712" s="70" t="s">
        <v>465</v>
      </c>
      <c r="H712" s="3" t="s">
        <v>343</v>
      </c>
      <c r="I712" s="3" t="s">
        <v>466</v>
      </c>
      <c r="J712" s="3">
        <v>0</v>
      </c>
      <c r="K712" s="3">
        <v>0</v>
      </c>
      <c r="L712" s="3">
        <v>2</v>
      </c>
      <c r="M712" s="3">
        <v>0</v>
      </c>
      <c r="N712" s="3">
        <v>-2</v>
      </c>
      <c r="O712" s="70">
        <v>2</v>
      </c>
      <c r="P712" s="3">
        <v>0</v>
      </c>
      <c r="Q712" s="3">
        <v>0</v>
      </c>
      <c r="R712" s="3">
        <v>1.8</v>
      </c>
      <c r="S712" s="3">
        <v>3.6</v>
      </c>
      <c r="T712" s="3">
        <v>0</v>
      </c>
      <c r="U712" s="3">
        <v>-3.6</v>
      </c>
      <c r="V712" s="70" t="s">
        <v>643</v>
      </c>
      <c r="W712" s="3" t="s">
        <v>343</v>
      </c>
      <c r="X712" s="3" t="s">
        <v>337</v>
      </c>
      <c r="Y712" s="3" t="s">
        <v>337</v>
      </c>
    </row>
    <row r="713" spans="1:25" hidden="1" x14ac:dyDescent="0.2">
      <c r="A713" s="83" t="str">
        <f t="shared" si="11"/>
        <v>郑州瀚海海尚百事可乐定制罐</v>
      </c>
      <c r="B713" s="3" t="s">
        <v>706</v>
      </c>
      <c r="C713" s="84">
        <v>44377</v>
      </c>
      <c r="D713" s="3" t="s">
        <v>464</v>
      </c>
      <c r="E713" s="3" t="s">
        <v>337</v>
      </c>
      <c r="F713" s="3" t="s">
        <v>337</v>
      </c>
      <c r="G713" s="70" t="s">
        <v>465</v>
      </c>
      <c r="H713" s="3" t="s">
        <v>343</v>
      </c>
      <c r="I713" s="3" t="s">
        <v>466</v>
      </c>
      <c r="J713" s="3">
        <v>0</v>
      </c>
      <c r="K713" s="3">
        <v>0</v>
      </c>
      <c r="L713" s="3">
        <v>8</v>
      </c>
      <c r="M713" s="3">
        <v>0</v>
      </c>
      <c r="N713" s="3">
        <v>-8</v>
      </c>
      <c r="O713" s="70">
        <v>8</v>
      </c>
      <c r="P713" s="3">
        <v>0</v>
      </c>
      <c r="Q713" s="3">
        <v>0</v>
      </c>
      <c r="R713" s="3">
        <v>1.8</v>
      </c>
      <c r="S713" s="3">
        <v>14.4</v>
      </c>
      <c r="T713" s="3">
        <v>0</v>
      </c>
      <c r="U713" s="3">
        <v>-14.4</v>
      </c>
      <c r="V713" s="70" t="s">
        <v>333</v>
      </c>
      <c r="W713" s="3" t="s">
        <v>343</v>
      </c>
      <c r="X713" s="3" t="s">
        <v>337</v>
      </c>
      <c r="Y713" s="3" t="s">
        <v>337</v>
      </c>
    </row>
    <row r="714" spans="1:25" hidden="1" x14ac:dyDescent="0.2">
      <c r="A714" s="83" t="str">
        <f t="shared" si="11"/>
        <v>郑州铁英街百事可乐定制罐</v>
      </c>
      <c r="B714" s="3" t="s">
        <v>707</v>
      </c>
      <c r="C714" s="84">
        <v>44377</v>
      </c>
      <c r="D714" s="3" t="s">
        <v>464</v>
      </c>
      <c r="E714" s="3" t="s">
        <v>337</v>
      </c>
      <c r="F714" s="3" t="s">
        <v>337</v>
      </c>
      <c r="G714" s="70" t="s">
        <v>465</v>
      </c>
      <c r="H714" s="3" t="s">
        <v>343</v>
      </c>
      <c r="I714" s="3" t="s">
        <v>466</v>
      </c>
      <c r="J714" s="3">
        <v>0</v>
      </c>
      <c r="K714" s="3">
        <v>0</v>
      </c>
      <c r="L714" s="3">
        <v>2</v>
      </c>
      <c r="M714" s="3">
        <v>0</v>
      </c>
      <c r="N714" s="3">
        <v>-2</v>
      </c>
      <c r="O714" s="70">
        <v>2</v>
      </c>
      <c r="P714" s="3">
        <v>0</v>
      </c>
      <c r="Q714" s="3">
        <v>0</v>
      </c>
      <c r="R714" s="3">
        <v>1.8</v>
      </c>
      <c r="S714" s="3">
        <v>3.6</v>
      </c>
      <c r="T714" s="3">
        <v>0</v>
      </c>
      <c r="U714" s="3">
        <v>-3.6</v>
      </c>
      <c r="V714" s="70" t="s">
        <v>592</v>
      </c>
      <c r="W714" s="3" t="s">
        <v>343</v>
      </c>
      <c r="X714" s="3" t="s">
        <v>337</v>
      </c>
      <c r="Y714" s="3" t="s">
        <v>337</v>
      </c>
    </row>
    <row r="715" spans="1:25" hidden="1" x14ac:dyDescent="0.2">
      <c r="A715" s="83" t="str">
        <f t="shared" si="11"/>
        <v>郑州西悦城百事可乐定制罐</v>
      </c>
      <c r="B715" s="3" t="s">
        <v>708</v>
      </c>
      <c r="C715" s="84">
        <v>44377</v>
      </c>
      <c r="D715" s="3" t="s">
        <v>464</v>
      </c>
      <c r="E715" s="3" t="s">
        <v>337</v>
      </c>
      <c r="F715" s="3" t="s">
        <v>337</v>
      </c>
      <c r="G715" s="70" t="s">
        <v>465</v>
      </c>
      <c r="H715" s="3" t="s">
        <v>343</v>
      </c>
      <c r="I715" s="3" t="s">
        <v>466</v>
      </c>
      <c r="J715" s="3">
        <v>0</v>
      </c>
      <c r="K715" s="3">
        <v>0</v>
      </c>
      <c r="L715" s="3">
        <v>12</v>
      </c>
      <c r="M715" s="3">
        <v>0</v>
      </c>
      <c r="N715" s="3">
        <v>-12</v>
      </c>
      <c r="O715" s="70">
        <v>12</v>
      </c>
      <c r="P715" s="3">
        <v>0</v>
      </c>
      <c r="Q715" s="3">
        <v>0</v>
      </c>
      <c r="R715" s="3">
        <v>1.8</v>
      </c>
      <c r="S715" s="3">
        <v>21.6</v>
      </c>
      <c r="T715" s="3">
        <v>0</v>
      </c>
      <c r="U715" s="3">
        <v>-21.6</v>
      </c>
      <c r="V715" s="70" t="s">
        <v>332</v>
      </c>
      <c r="W715" s="3" t="s">
        <v>739</v>
      </c>
      <c r="X715" s="3" t="s">
        <v>337</v>
      </c>
      <c r="Y715" s="3" t="s">
        <v>337</v>
      </c>
    </row>
    <row r="716" spans="1:25" hidden="1" x14ac:dyDescent="0.2">
      <c r="A716" s="83" t="str">
        <f t="shared" si="11"/>
        <v>郑州政六街百事可乐定制罐</v>
      </c>
      <c r="B716" s="3" t="s">
        <v>714</v>
      </c>
      <c r="C716" s="84">
        <v>44377</v>
      </c>
      <c r="D716" s="3" t="s">
        <v>464</v>
      </c>
      <c r="E716" s="3" t="s">
        <v>337</v>
      </c>
      <c r="F716" s="3" t="s">
        <v>337</v>
      </c>
      <c r="G716" s="70" t="s">
        <v>465</v>
      </c>
      <c r="H716" s="3" t="s">
        <v>343</v>
      </c>
      <c r="I716" s="3" t="s">
        <v>466</v>
      </c>
      <c r="J716" s="3">
        <v>0</v>
      </c>
      <c r="K716" s="3">
        <v>0</v>
      </c>
      <c r="L716" s="3">
        <v>4</v>
      </c>
      <c r="M716" s="3">
        <v>0</v>
      </c>
      <c r="N716" s="3">
        <v>-4</v>
      </c>
      <c r="O716" s="70">
        <v>4</v>
      </c>
      <c r="P716" s="3">
        <v>0</v>
      </c>
      <c r="Q716" s="3">
        <v>0</v>
      </c>
      <c r="R716" s="3">
        <v>1.8</v>
      </c>
      <c r="S716" s="3">
        <v>7.2</v>
      </c>
      <c r="T716" s="3">
        <v>0</v>
      </c>
      <c r="U716" s="3">
        <v>-7.2</v>
      </c>
      <c r="V716" s="70" t="s">
        <v>591</v>
      </c>
      <c r="W716" s="3" t="s">
        <v>343</v>
      </c>
      <c r="X716" s="3" t="s">
        <v>337</v>
      </c>
      <c r="Y716" s="3" t="s">
        <v>337</v>
      </c>
    </row>
    <row r="717" spans="1:25" hidden="1" x14ac:dyDescent="0.2">
      <c r="A717" s="83" t="str">
        <f t="shared" si="11"/>
        <v>新蔡水韵天街浓醇奶味茶</v>
      </c>
      <c r="B717" s="3" t="s">
        <v>703</v>
      </c>
      <c r="C717" s="84">
        <v>44377</v>
      </c>
      <c r="D717" s="3" t="s">
        <v>467</v>
      </c>
      <c r="E717" s="3" t="s">
        <v>337</v>
      </c>
      <c r="F717" s="3" t="s">
        <v>337</v>
      </c>
      <c r="G717" s="70" t="s">
        <v>468</v>
      </c>
      <c r="H717" s="3" t="s">
        <v>469</v>
      </c>
      <c r="I717" s="3" t="s">
        <v>89</v>
      </c>
      <c r="J717" s="3">
        <v>3000</v>
      </c>
      <c r="K717" s="3">
        <v>0</v>
      </c>
      <c r="L717" s="3">
        <v>0</v>
      </c>
      <c r="M717" s="3">
        <v>3000</v>
      </c>
      <c r="N717" s="3">
        <v>3000</v>
      </c>
      <c r="O717" s="70">
        <v>0</v>
      </c>
      <c r="P717" s="3">
        <v>0</v>
      </c>
      <c r="Q717" s="3">
        <v>0</v>
      </c>
      <c r="R717" s="3">
        <v>2.3300000000000001E-2</v>
      </c>
      <c r="S717" s="3">
        <v>0</v>
      </c>
      <c r="T717" s="3">
        <v>69.900000000000006</v>
      </c>
      <c r="U717" s="3">
        <v>69.900000000000006</v>
      </c>
      <c r="V717" s="70" t="s">
        <v>335</v>
      </c>
      <c r="W717" s="3" t="s">
        <v>343</v>
      </c>
      <c r="X717" s="3" t="s">
        <v>337</v>
      </c>
      <c r="Y717" s="3" t="s">
        <v>337</v>
      </c>
    </row>
    <row r="718" spans="1:25" hidden="1" x14ac:dyDescent="0.2">
      <c r="A718" s="83" t="str">
        <f t="shared" si="11"/>
        <v>郑州盛华里浓醇奶味茶</v>
      </c>
      <c r="B718" s="3" t="s">
        <v>709</v>
      </c>
      <c r="C718" s="84">
        <v>44377</v>
      </c>
      <c r="D718" s="3" t="s">
        <v>467</v>
      </c>
      <c r="E718" s="3" t="s">
        <v>337</v>
      </c>
      <c r="F718" s="3" t="s">
        <v>337</v>
      </c>
      <c r="G718" s="70" t="s">
        <v>468</v>
      </c>
      <c r="H718" s="3" t="s">
        <v>469</v>
      </c>
      <c r="I718" s="3" t="s">
        <v>89</v>
      </c>
      <c r="J718" s="3">
        <v>0</v>
      </c>
      <c r="K718" s="3">
        <v>0</v>
      </c>
      <c r="L718" s="3">
        <v>333.2</v>
      </c>
      <c r="M718" s="3">
        <v>0</v>
      </c>
      <c r="N718" s="3">
        <v>-333.2</v>
      </c>
      <c r="O718" s="70">
        <v>333.2</v>
      </c>
      <c r="P718" s="3">
        <v>0</v>
      </c>
      <c r="Q718" s="3">
        <v>0</v>
      </c>
      <c r="R718" s="3">
        <v>2.3300000000000001E-2</v>
      </c>
      <c r="S718" s="3">
        <v>7.76</v>
      </c>
      <c r="T718" s="3">
        <v>0</v>
      </c>
      <c r="U718" s="3">
        <v>-7.76</v>
      </c>
      <c r="V718" s="70" t="s">
        <v>637</v>
      </c>
      <c r="W718" s="3" t="s">
        <v>343</v>
      </c>
      <c r="X718" s="3" t="s">
        <v>337</v>
      </c>
      <c r="Y718" s="3" t="s">
        <v>337</v>
      </c>
    </row>
    <row r="719" spans="1:25" hidden="1" x14ac:dyDescent="0.2">
      <c r="A719" s="83" t="str">
        <f t="shared" si="11"/>
        <v>方城锦城国际浓醇奶味茶</v>
      </c>
      <c r="B719" s="3" t="s">
        <v>712</v>
      </c>
      <c r="C719" s="84">
        <v>44377</v>
      </c>
      <c r="D719" s="3" t="s">
        <v>467</v>
      </c>
      <c r="E719" s="3" t="s">
        <v>337</v>
      </c>
      <c r="F719" s="3" t="s">
        <v>337</v>
      </c>
      <c r="G719" s="70" t="s">
        <v>468</v>
      </c>
      <c r="H719" s="3" t="s">
        <v>469</v>
      </c>
      <c r="I719" s="3" t="s">
        <v>89</v>
      </c>
      <c r="J719" s="3">
        <v>500</v>
      </c>
      <c r="K719" s="3">
        <v>0</v>
      </c>
      <c r="L719" s="3">
        <v>2082.5</v>
      </c>
      <c r="M719" s="3">
        <v>0</v>
      </c>
      <c r="N719" s="3">
        <v>-1582.5</v>
      </c>
      <c r="O719" s="70">
        <v>1582.5</v>
      </c>
      <c r="P719" s="3">
        <v>0</v>
      </c>
      <c r="Q719" s="3">
        <v>0</v>
      </c>
      <c r="R719" s="3">
        <v>2.3300000000000001E-2</v>
      </c>
      <c r="S719" s="3">
        <v>36.869999999999997</v>
      </c>
      <c r="T719" s="3">
        <v>0</v>
      </c>
      <c r="U719" s="3">
        <v>-36.869999999999997</v>
      </c>
      <c r="V719" s="70" t="s">
        <v>594</v>
      </c>
      <c r="W719" s="3" t="s">
        <v>343</v>
      </c>
      <c r="X719" s="3" t="s">
        <v>337</v>
      </c>
      <c r="Y719" s="3" t="s">
        <v>337</v>
      </c>
    </row>
    <row r="720" spans="1:25" hidden="1" x14ac:dyDescent="0.2">
      <c r="A720" s="83" t="str">
        <f t="shared" si="11"/>
        <v>方城锦城国际尖头细纸吸管</v>
      </c>
      <c r="B720" s="3" t="s">
        <v>712</v>
      </c>
      <c r="C720" s="84">
        <v>44377</v>
      </c>
      <c r="D720" s="3" t="s">
        <v>470</v>
      </c>
      <c r="E720" s="3" t="s">
        <v>337</v>
      </c>
      <c r="F720" s="3" t="s">
        <v>337</v>
      </c>
      <c r="G720" s="70" t="s">
        <v>471</v>
      </c>
      <c r="H720" s="3" t="s">
        <v>472</v>
      </c>
      <c r="I720" s="3" t="s">
        <v>109</v>
      </c>
      <c r="J720" s="3">
        <v>4800</v>
      </c>
      <c r="K720" s="3">
        <v>0</v>
      </c>
      <c r="L720" s="3">
        <v>2592</v>
      </c>
      <c r="M720" s="3">
        <v>2006</v>
      </c>
      <c r="N720" s="3">
        <v>2208</v>
      </c>
      <c r="O720" s="70">
        <v>-202</v>
      </c>
      <c r="P720" s="3">
        <v>0</v>
      </c>
      <c r="Q720" s="3">
        <v>0</v>
      </c>
      <c r="R720" s="3">
        <v>3.1470999999999999E-2</v>
      </c>
      <c r="S720" s="3">
        <v>-6.36</v>
      </c>
      <c r="T720" s="3">
        <v>63.13</v>
      </c>
      <c r="U720" s="3">
        <v>69.489999999999995</v>
      </c>
      <c r="V720" s="70" t="s">
        <v>594</v>
      </c>
      <c r="W720" s="3" t="s">
        <v>343</v>
      </c>
      <c r="X720" s="3" t="s">
        <v>337</v>
      </c>
      <c r="Y720" s="3" t="s">
        <v>337</v>
      </c>
    </row>
    <row r="721" spans="1:25" hidden="1" x14ac:dyDescent="0.2">
      <c r="A721" s="83" t="str">
        <f t="shared" si="11"/>
        <v>清丰凤鸣尖头细纸吸管</v>
      </c>
      <c r="B721" s="3" t="s">
        <v>713</v>
      </c>
      <c r="C721" s="84">
        <v>44377</v>
      </c>
      <c r="D721" s="3" t="s">
        <v>470</v>
      </c>
      <c r="E721" s="3" t="s">
        <v>337</v>
      </c>
      <c r="F721" s="3" t="s">
        <v>337</v>
      </c>
      <c r="G721" s="70" t="s">
        <v>471</v>
      </c>
      <c r="H721" s="3" t="s">
        <v>472</v>
      </c>
      <c r="I721" s="3" t="s">
        <v>109</v>
      </c>
      <c r="J721" s="3">
        <v>550</v>
      </c>
      <c r="K721" s="3">
        <v>5000</v>
      </c>
      <c r="L721" s="3">
        <v>1493</v>
      </c>
      <c r="M721" s="3">
        <v>3750</v>
      </c>
      <c r="N721" s="3">
        <v>4057</v>
      </c>
      <c r="O721" s="70">
        <v>-307</v>
      </c>
      <c r="P721" s="3">
        <v>0</v>
      </c>
      <c r="Q721" s="3">
        <v>0</v>
      </c>
      <c r="R721" s="3">
        <v>0.03</v>
      </c>
      <c r="S721" s="3">
        <v>-9.2100000000000009</v>
      </c>
      <c r="T721" s="3">
        <v>112.5</v>
      </c>
      <c r="U721" s="3">
        <v>121.71</v>
      </c>
      <c r="V721" s="70" t="s">
        <v>334</v>
      </c>
      <c r="W721" s="3" t="s">
        <v>343</v>
      </c>
      <c r="X721" s="3" t="s">
        <v>337</v>
      </c>
      <c r="Y721" s="3" t="s">
        <v>337</v>
      </c>
    </row>
    <row r="722" spans="1:25" hidden="1" x14ac:dyDescent="0.2">
      <c r="A722" s="83" t="str">
        <f t="shared" si="11"/>
        <v>郑州裕华尖头细纸吸管</v>
      </c>
      <c r="B722" s="3" t="s">
        <v>711</v>
      </c>
      <c r="C722" s="84">
        <v>44377</v>
      </c>
      <c r="D722" s="3" t="s">
        <v>470</v>
      </c>
      <c r="E722" s="3" t="s">
        <v>337</v>
      </c>
      <c r="F722" s="3" t="s">
        <v>337</v>
      </c>
      <c r="G722" s="70" t="s">
        <v>471</v>
      </c>
      <c r="H722" s="3" t="s">
        <v>472</v>
      </c>
      <c r="I722" s="3" t="s">
        <v>109</v>
      </c>
      <c r="J722" s="3">
        <v>3150</v>
      </c>
      <c r="K722" s="3">
        <v>0</v>
      </c>
      <c r="L722" s="3">
        <v>1921</v>
      </c>
      <c r="M722" s="3">
        <v>1000</v>
      </c>
      <c r="N722" s="3">
        <v>1229</v>
      </c>
      <c r="O722" s="70">
        <v>-229</v>
      </c>
      <c r="P722" s="3">
        <v>0</v>
      </c>
      <c r="Q722" s="3">
        <v>0</v>
      </c>
      <c r="R722" s="3">
        <v>0.03</v>
      </c>
      <c r="S722" s="3">
        <v>-6.87</v>
      </c>
      <c r="T722" s="3">
        <v>30</v>
      </c>
      <c r="U722" s="3">
        <v>36.869999999999997</v>
      </c>
      <c r="V722" s="70" t="s">
        <v>641</v>
      </c>
      <c r="W722" s="3" t="s">
        <v>343</v>
      </c>
      <c r="X722" s="3" t="s">
        <v>337</v>
      </c>
      <c r="Y722" s="3" t="s">
        <v>337</v>
      </c>
    </row>
    <row r="723" spans="1:25" hidden="1" x14ac:dyDescent="0.2">
      <c r="A723" s="83" t="str">
        <f t="shared" si="11"/>
        <v>郑州盛华里尖头细纸吸管</v>
      </c>
      <c r="B723" s="3" t="s">
        <v>709</v>
      </c>
      <c r="C723" s="84">
        <v>44377</v>
      </c>
      <c r="D723" s="3" t="s">
        <v>470</v>
      </c>
      <c r="E723" s="3" t="s">
        <v>337</v>
      </c>
      <c r="F723" s="3" t="s">
        <v>337</v>
      </c>
      <c r="G723" s="70" t="s">
        <v>471</v>
      </c>
      <c r="H723" s="3" t="s">
        <v>472</v>
      </c>
      <c r="I723" s="3" t="s">
        <v>109</v>
      </c>
      <c r="J723" s="3">
        <v>4000</v>
      </c>
      <c r="K723" s="3">
        <v>0</v>
      </c>
      <c r="L723" s="3">
        <v>1483</v>
      </c>
      <c r="M723" s="3">
        <v>2500</v>
      </c>
      <c r="N723" s="3">
        <v>2517</v>
      </c>
      <c r="O723" s="70">
        <v>-17</v>
      </c>
      <c r="P723" s="3">
        <v>0</v>
      </c>
      <c r="Q723" s="3">
        <v>0</v>
      </c>
      <c r="R723" s="3">
        <v>2.7968E-2</v>
      </c>
      <c r="S723" s="3">
        <v>-0.48</v>
      </c>
      <c r="T723" s="3">
        <v>69.92</v>
      </c>
      <c r="U723" s="3">
        <v>70.400000000000006</v>
      </c>
      <c r="V723" s="70" t="s">
        <v>637</v>
      </c>
      <c r="W723" s="3" t="s">
        <v>343</v>
      </c>
      <c r="X723" s="3" t="s">
        <v>337</v>
      </c>
      <c r="Y723" s="3" t="s">
        <v>337</v>
      </c>
    </row>
    <row r="724" spans="1:25" hidden="1" x14ac:dyDescent="0.2">
      <c r="A724" s="83" t="str">
        <f t="shared" si="11"/>
        <v>滑县滑台尖头细纸吸管</v>
      </c>
      <c r="B724" s="3" t="s">
        <v>710</v>
      </c>
      <c r="C724" s="84">
        <v>44377</v>
      </c>
      <c r="D724" s="3" t="s">
        <v>470</v>
      </c>
      <c r="E724" s="3" t="s">
        <v>337</v>
      </c>
      <c r="F724" s="3" t="s">
        <v>337</v>
      </c>
      <c r="G724" s="70" t="s">
        <v>471</v>
      </c>
      <c r="H724" s="3" t="s">
        <v>472</v>
      </c>
      <c r="I724" s="3" t="s">
        <v>109</v>
      </c>
      <c r="J724" s="3">
        <v>2940</v>
      </c>
      <c r="K724" s="3">
        <v>5000</v>
      </c>
      <c r="L724" s="3">
        <v>2830</v>
      </c>
      <c r="M724" s="3">
        <v>4850</v>
      </c>
      <c r="N724" s="3">
        <v>5110</v>
      </c>
      <c r="O724" s="70">
        <v>-260</v>
      </c>
      <c r="P724" s="3">
        <v>0</v>
      </c>
      <c r="Q724" s="3">
        <v>0</v>
      </c>
      <c r="R724" s="3">
        <v>2.8746000000000001E-2</v>
      </c>
      <c r="S724" s="3">
        <v>-7.47</v>
      </c>
      <c r="T724" s="3">
        <v>139.41999999999999</v>
      </c>
      <c r="U724" s="3">
        <v>146.88999999999999</v>
      </c>
      <c r="V724" s="70" t="s">
        <v>639</v>
      </c>
      <c r="W724" s="3" t="s">
        <v>343</v>
      </c>
      <c r="X724" s="3" t="s">
        <v>337</v>
      </c>
      <c r="Y724" s="3" t="s">
        <v>337</v>
      </c>
    </row>
    <row r="725" spans="1:25" hidden="1" x14ac:dyDescent="0.2">
      <c r="A725" s="83" t="str">
        <f t="shared" si="11"/>
        <v>新蔡水韵天街尖头细纸吸管</v>
      </c>
      <c r="B725" s="3" t="s">
        <v>703</v>
      </c>
      <c r="C725" s="84">
        <v>44377</v>
      </c>
      <c r="D725" s="3" t="s">
        <v>470</v>
      </c>
      <c r="E725" s="3" t="s">
        <v>337</v>
      </c>
      <c r="F725" s="3" t="s">
        <v>337</v>
      </c>
      <c r="G725" s="70" t="s">
        <v>471</v>
      </c>
      <c r="H725" s="3" t="s">
        <v>472</v>
      </c>
      <c r="I725" s="3" t="s">
        <v>109</v>
      </c>
      <c r="J725" s="3">
        <v>1200</v>
      </c>
      <c r="K725" s="3">
        <v>5000</v>
      </c>
      <c r="L725" s="3">
        <v>2085</v>
      </c>
      <c r="M725" s="3">
        <v>4100</v>
      </c>
      <c r="N725" s="3">
        <v>4115</v>
      </c>
      <c r="O725" s="70">
        <v>-15</v>
      </c>
      <c r="P725" s="3">
        <v>0</v>
      </c>
      <c r="Q725" s="3">
        <v>0</v>
      </c>
      <c r="R725" s="3">
        <v>2.9579999999999999E-2</v>
      </c>
      <c r="S725" s="3">
        <v>-0.44</v>
      </c>
      <c r="T725" s="3">
        <v>121.28</v>
      </c>
      <c r="U725" s="3">
        <v>121.72</v>
      </c>
      <c r="V725" s="70" t="s">
        <v>335</v>
      </c>
      <c r="W725" s="3" t="s">
        <v>343</v>
      </c>
      <c r="X725" s="3" t="s">
        <v>337</v>
      </c>
      <c r="Y725" s="3" t="s">
        <v>337</v>
      </c>
    </row>
    <row r="726" spans="1:25" hidden="1" x14ac:dyDescent="0.2">
      <c r="A726" s="83" t="str">
        <f t="shared" si="11"/>
        <v>郑州康复中街尖头细纸吸管</v>
      </c>
      <c r="B726" s="3" t="s">
        <v>704</v>
      </c>
      <c r="C726" s="84">
        <v>44377</v>
      </c>
      <c r="D726" s="3" t="s">
        <v>470</v>
      </c>
      <c r="E726" s="3" t="s">
        <v>337</v>
      </c>
      <c r="F726" s="3" t="s">
        <v>337</v>
      </c>
      <c r="G726" s="70" t="s">
        <v>471</v>
      </c>
      <c r="H726" s="3" t="s">
        <v>472</v>
      </c>
      <c r="I726" s="3" t="s">
        <v>109</v>
      </c>
      <c r="J726" s="3">
        <v>5000</v>
      </c>
      <c r="K726" s="3">
        <v>5000</v>
      </c>
      <c r="L726" s="3">
        <v>4235</v>
      </c>
      <c r="M726" s="3">
        <v>5700</v>
      </c>
      <c r="N726" s="3">
        <v>5765</v>
      </c>
      <c r="O726" s="70">
        <v>-65</v>
      </c>
      <c r="P726" s="3">
        <v>0</v>
      </c>
      <c r="Q726" s="3">
        <v>0</v>
      </c>
      <c r="R726" s="3">
        <v>2.8979000000000001E-2</v>
      </c>
      <c r="S726" s="3">
        <v>-1.88</v>
      </c>
      <c r="T726" s="3">
        <v>165.18</v>
      </c>
      <c r="U726" s="3">
        <v>167.06</v>
      </c>
      <c r="V726" s="70" t="s">
        <v>593</v>
      </c>
      <c r="W726" s="3" t="s">
        <v>343</v>
      </c>
      <c r="X726" s="3" t="s">
        <v>337</v>
      </c>
      <c r="Y726" s="3" t="s">
        <v>337</v>
      </c>
    </row>
    <row r="727" spans="1:25" hidden="1" x14ac:dyDescent="0.2">
      <c r="A727" s="83" t="str">
        <f t="shared" si="11"/>
        <v>郑州西悦城尖头细纸吸管</v>
      </c>
      <c r="B727" s="3" t="s">
        <v>708</v>
      </c>
      <c r="C727" s="84">
        <v>44377</v>
      </c>
      <c r="D727" s="3" t="s">
        <v>470</v>
      </c>
      <c r="E727" s="3" t="s">
        <v>337</v>
      </c>
      <c r="F727" s="3" t="s">
        <v>337</v>
      </c>
      <c r="G727" s="70" t="s">
        <v>471</v>
      </c>
      <c r="H727" s="3" t="s">
        <v>472</v>
      </c>
      <c r="I727" s="3" t="s">
        <v>109</v>
      </c>
      <c r="J727" s="3">
        <v>2600</v>
      </c>
      <c r="K727" s="3">
        <v>5000</v>
      </c>
      <c r="L727" s="3">
        <v>4375</v>
      </c>
      <c r="M727" s="3">
        <v>3160</v>
      </c>
      <c r="N727" s="3">
        <v>3225</v>
      </c>
      <c r="O727" s="70">
        <v>-65</v>
      </c>
      <c r="P727" s="3">
        <v>0</v>
      </c>
      <c r="Q727" s="3">
        <v>0</v>
      </c>
      <c r="R727" s="3">
        <v>2.8518999999999999E-2</v>
      </c>
      <c r="S727" s="3">
        <v>-1.85</v>
      </c>
      <c r="T727" s="3">
        <v>90.12</v>
      </c>
      <c r="U727" s="3">
        <v>91.97</v>
      </c>
      <c r="V727" s="70" t="s">
        <v>332</v>
      </c>
      <c r="W727" s="3" t="s">
        <v>343</v>
      </c>
      <c r="X727" s="3" t="s">
        <v>337</v>
      </c>
      <c r="Y727" s="3" t="s">
        <v>337</v>
      </c>
    </row>
    <row r="728" spans="1:25" hidden="1" x14ac:dyDescent="0.2">
      <c r="A728" s="83" t="str">
        <f t="shared" si="11"/>
        <v>郑州铁英街尖头细纸吸管</v>
      </c>
      <c r="B728" s="3" t="s">
        <v>707</v>
      </c>
      <c r="C728" s="84">
        <v>44377</v>
      </c>
      <c r="D728" s="3" t="s">
        <v>470</v>
      </c>
      <c r="E728" s="3" t="s">
        <v>337</v>
      </c>
      <c r="F728" s="3" t="s">
        <v>337</v>
      </c>
      <c r="G728" s="70" t="s">
        <v>471</v>
      </c>
      <c r="H728" s="3" t="s">
        <v>472</v>
      </c>
      <c r="I728" s="3" t="s">
        <v>109</v>
      </c>
      <c r="J728" s="3">
        <v>820</v>
      </c>
      <c r="K728" s="3">
        <v>5000</v>
      </c>
      <c r="L728" s="3">
        <v>2124</v>
      </c>
      <c r="M728" s="3">
        <v>3453</v>
      </c>
      <c r="N728" s="3">
        <v>3696</v>
      </c>
      <c r="O728" s="70">
        <v>-243</v>
      </c>
      <c r="P728" s="3">
        <v>0</v>
      </c>
      <c r="Q728" s="3">
        <v>0</v>
      </c>
      <c r="R728" s="3">
        <v>2.8261999999999999E-2</v>
      </c>
      <c r="S728" s="3">
        <v>-6.87</v>
      </c>
      <c r="T728" s="3">
        <v>97.59</v>
      </c>
      <c r="U728" s="3">
        <v>104.46</v>
      </c>
      <c r="V728" s="70" t="s">
        <v>592</v>
      </c>
      <c r="W728" s="3" t="s">
        <v>343</v>
      </c>
      <c r="X728" s="3" t="s">
        <v>337</v>
      </c>
      <c r="Y728" s="3" t="s">
        <v>337</v>
      </c>
    </row>
    <row r="729" spans="1:25" hidden="1" x14ac:dyDescent="0.2">
      <c r="A729" s="83" t="str">
        <f t="shared" si="11"/>
        <v>郑州瀚海海尚尖头细纸吸管</v>
      </c>
      <c r="B729" s="3" t="s">
        <v>706</v>
      </c>
      <c r="C729" s="84">
        <v>44377</v>
      </c>
      <c r="D729" s="3" t="s">
        <v>470</v>
      </c>
      <c r="E729" s="3" t="s">
        <v>337</v>
      </c>
      <c r="F729" s="3" t="s">
        <v>337</v>
      </c>
      <c r="G729" s="70" t="s">
        <v>471</v>
      </c>
      <c r="H729" s="3" t="s">
        <v>472</v>
      </c>
      <c r="I729" s="3" t="s">
        <v>109</v>
      </c>
      <c r="J729" s="3">
        <v>3830</v>
      </c>
      <c r="K729" s="3">
        <v>0</v>
      </c>
      <c r="L729" s="3">
        <v>3060</v>
      </c>
      <c r="M729" s="3">
        <v>480</v>
      </c>
      <c r="N729" s="3">
        <v>770</v>
      </c>
      <c r="O729" s="70">
        <v>-290</v>
      </c>
      <c r="P729" s="3">
        <v>0</v>
      </c>
      <c r="Q729" s="3">
        <v>0</v>
      </c>
      <c r="R729" s="3">
        <v>2.7813000000000001E-2</v>
      </c>
      <c r="S729" s="3">
        <v>-8.07</v>
      </c>
      <c r="T729" s="3">
        <v>13.35</v>
      </c>
      <c r="U729" s="3">
        <v>21.42</v>
      </c>
      <c r="V729" s="70" t="s">
        <v>333</v>
      </c>
      <c r="W729" s="3" t="s">
        <v>343</v>
      </c>
      <c r="X729" s="3" t="s">
        <v>337</v>
      </c>
      <c r="Y729" s="3" t="s">
        <v>337</v>
      </c>
    </row>
    <row r="730" spans="1:25" hidden="1" x14ac:dyDescent="0.2">
      <c r="A730" s="83" t="str">
        <f t="shared" si="11"/>
        <v>华山龙源尖头细纸吸管</v>
      </c>
      <c r="B730" s="3" t="s">
        <v>705</v>
      </c>
      <c r="C730" s="84">
        <v>44377</v>
      </c>
      <c r="D730" s="3" t="s">
        <v>470</v>
      </c>
      <c r="E730" s="3" t="s">
        <v>337</v>
      </c>
      <c r="F730" s="3" t="s">
        <v>337</v>
      </c>
      <c r="G730" s="70" t="s">
        <v>471</v>
      </c>
      <c r="H730" s="3" t="s">
        <v>472</v>
      </c>
      <c r="I730" s="3" t="s">
        <v>109</v>
      </c>
      <c r="J730" s="3">
        <v>4159</v>
      </c>
      <c r="K730" s="3">
        <v>0</v>
      </c>
      <c r="L730" s="3">
        <v>1553</v>
      </c>
      <c r="M730" s="3">
        <v>2250</v>
      </c>
      <c r="N730" s="3">
        <v>2606</v>
      </c>
      <c r="O730" s="70">
        <v>-356</v>
      </c>
      <c r="P730" s="3">
        <v>0</v>
      </c>
      <c r="Q730" s="3">
        <v>0</v>
      </c>
      <c r="R730" s="3">
        <v>3.1036000000000001E-2</v>
      </c>
      <c r="S730" s="3">
        <v>-11.05</v>
      </c>
      <c r="T730" s="3">
        <v>69.83</v>
      </c>
      <c r="U730" s="3">
        <v>80.88</v>
      </c>
      <c r="V730" s="70" t="s">
        <v>643</v>
      </c>
      <c r="W730" s="3" t="s">
        <v>343</v>
      </c>
      <c r="X730" s="3" t="s">
        <v>337</v>
      </c>
      <c r="Y730" s="3" t="s">
        <v>337</v>
      </c>
    </row>
    <row r="731" spans="1:25" hidden="1" x14ac:dyDescent="0.2">
      <c r="A731" s="83" t="str">
        <f t="shared" si="11"/>
        <v>郑州政六街尖头细纸吸管</v>
      </c>
      <c r="B731" s="3" t="s">
        <v>714</v>
      </c>
      <c r="C731" s="84">
        <v>44377</v>
      </c>
      <c r="D731" s="3" t="s">
        <v>470</v>
      </c>
      <c r="E731" s="3" t="s">
        <v>337</v>
      </c>
      <c r="F731" s="3" t="s">
        <v>337</v>
      </c>
      <c r="G731" s="70" t="s">
        <v>471</v>
      </c>
      <c r="H731" s="3" t="s">
        <v>472</v>
      </c>
      <c r="I731" s="3" t="s">
        <v>109</v>
      </c>
      <c r="J731" s="3">
        <v>867</v>
      </c>
      <c r="K731" s="3">
        <v>10000</v>
      </c>
      <c r="L731" s="3">
        <v>5305</v>
      </c>
      <c r="M731" s="3">
        <v>5430</v>
      </c>
      <c r="N731" s="3">
        <v>5562</v>
      </c>
      <c r="O731" s="70">
        <v>-132</v>
      </c>
      <c r="P731" s="3">
        <v>0</v>
      </c>
      <c r="Q731" s="3">
        <v>0</v>
      </c>
      <c r="R731" s="3">
        <v>2.8164000000000002E-2</v>
      </c>
      <c r="S731" s="3">
        <v>-3.72</v>
      </c>
      <c r="T731" s="3">
        <v>152.93</v>
      </c>
      <c r="U731" s="3">
        <v>156.65</v>
      </c>
      <c r="V731" s="70" t="s">
        <v>591</v>
      </c>
      <c r="W731" s="3" t="s">
        <v>343</v>
      </c>
      <c r="X731" s="3" t="s">
        <v>337</v>
      </c>
      <c r="Y731" s="3" t="s">
        <v>337</v>
      </c>
    </row>
    <row r="732" spans="1:25" hidden="1" x14ac:dyDescent="0.2">
      <c r="A732" s="83" t="str">
        <f t="shared" si="11"/>
        <v>郑州政六街尖头粗纸吸管</v>
      </c>
      <c r="B732" s="3" t="s">
        <v>714</v>
      </c>
      <c r="C732" s="84">
        <v>44377</v>
      </c>
      <c r="D732" s="3" t="s">
        <v>473</v>
      </c>
      <c r="E732" s="3" t="s">
        <v>337</v>
      </c>
      <c r="F732" s="3" t="s">
        <v>337</v>
      </c>
      <c r="G732" s="70" t="s">
        <v>474</v>
      </c>
      <c r="H732" s="3" t="s">
        <v>343</v>
      </c>
      <c r="I732" s="3" t="s">
        <v>109</v>
      </c>
      <c r="J732" s="3">
        <v>61</v>
      </c>
      <c r="K732" s="3">
        <v>200</v>
      </c>
      <c r="L732" s="3">
        <v>83</v>
      </c>
      <c r="M732" s="3">
        <v>175</v>
      </c>
      <c r="N732" s="3">
        <v>178</v>
      </c>
      <c r="O732" s="70">
        <v>-3</v>
      </c>
      <c r="P732" s="3">
        <v>0</v>
      </c>
      <c r="Q732" s="3">
        <v>0</v>
      </c>
      <c r="R732" s="3">
        <v>7.9600000000000004E-2</v>
      </c>
      <c r="S732" s="3">
        <v>-0.24</v>
      </c>
      <c r="T732" s="3">
        <v>13.93</v>
      </c>
      <c r="U732" s="3">
        <v>14.17</v>
      </c>
      <c r="V732" s="70" t="s">
        <v>591</v>
      </c>
      <c r="W732" s="3" t="s">
        <v>343</v>
      </c>
      <c r="X732" s="3" t="s">
        <v>337</v>
      </c>
      <c r="Y732" s="3" t="s">
        <v>337</v>
      </c>
    </row>
    <row r="733" spans="1:25" hidden="1" x14ac:dyDescent="0.2">
      <c r="A733" s="83" t="str">
        <f t="shared" si="11"/>
        <v>华山龙源尖头粗纸吸管</v>
      </c>
      <c r="B733" s="3" t="s">
        <v>705</v>
      </c>
      <c r="C733" s="84">
        <v>44377</v>
      </c>
      <c r="D733" s="3" t="s">
        <v>473</v>
      </c>
      <c r="E733" s="3" t="s">
        <v>337</v>
      </c>
      <c r="F733" s="3" t="s">
        <v>337</v>
      </c>
      <c r="G733" s="70" t="s">
        <v>474</v>
      </c>
      <c r="H733" s="3" t="s">
        <v>343</v>
      </c>
      <c r="I733" s="3" t="s">
        <v>109</v>
      </c>
      <c r="J733" s="3">
        <v>0</v>
      </c>
      <c r="K733" s="3">
        <v>200</v>
      </c>
      <c r="L733" s="3">
        <v>141</v>
      </c>
      <c r="M733" s="3">
        <v>200</v>
      </c>
      <c r="N733" s="3">
        <v>59</v>
      </c>
      <c r="O733" s="70">
        <v>141</v>
      </c>
      <c r="P733" s="3">
        <v>0</v>
      </c>
      <c r="Q733" s="3">
        <v>0</v>
      </c>
      <c r="R733" s="3">
        <v>7.8100000000000003E-2</v>
      </c>
      <c r="S733" s="3">
        <v>11.01</v>
      </c>
      <c r="T733" s="3">
        <v>15.62</v>
      </c>
      <c r="U733" s="3">
        <v>4.6100000000000003</v>
      </c>
      <c r="V733" s="70" t="s">
        <v>643</v>
      </c>
      <c r="W733" s="3" t="s">
        <v>343</v>
      </c>
      <c r="X733" s="3" t="s">
        <v>337</v>
      </c>
      <c r="Y733" s="3" t="s">
        <v>337</v>
      </c>
    </row>
    <row r="734" spans="1:25" hidden="1" x14ac:dyDescent="0.2">
      <c r="A734" s="83" t="str">
        <f t="shared" si="11"/>
        <v>郑州瀚海海尚尖头粗纸吸管</v>
      </c>
      <c r="B734" s="3" t="s">
        <v>706</v>
      </c>
      <c r="C734" s="84">
        <v>44377</v>
      </c>
      <c r="D734" s="3" t="s">
        <v>473</v>
      </c>
      <c r="E734" s="3" t="s">
        <v>337</v>
      </c>
      <c r="F734" s="3" t="s">
        <v>337</v>
      </c>
      <c r="G734" s="70" t="s">
        <v>474</v>
      </c>
      <c r="H734" s="3" t="s">
        <v>343</v>
      </c>
      <c r="I734" s="3" t="s">
        <v>109</v>
      </c>
      <c r="J734" s="3">
        <v>253</v>
      </c>
      <c r="K734" s="3">
        <v>200</v>
      </c>
      <c r="L734" s="3">
        <v>279</v>
      </c>
      <c r="M734" s="3">
        <v>275</v>
      </c>
      <c r="N734" s="3">
        <v>174</v>
      </c>
      <c r="O734" s="70">
        <v>101</v>
      </c>
      <c r="P734" s="3">
        <v>0</v>
      </c>
      <c r="Q734" s="3">
        <v>0</v>
      </c>
      <c r="R734" s="3">
        <v>8.1963999999999995E-2</v>
      </c>
      <c r="S734" s="3">
        <v>8.2799999999999994</v>
      </c>
      <c r="T734" s="3">
        <v>22.54</v>
      </c>
      <c r="U734" s="3">
        <v>14.26</v>
      </c>
      <c r="V734" s="70" t="s">
        <v>333</v>
      </c>
      <c r="W734" s="3" t="s">
        <v>343</v>
      </c>
      <c r="X734" s="3" t="s">
        <v>337</v>
      </c>
      <c r="Y734" s="3" t="s">
        <v>337</v>
      </c>
    </row>
    <row r="735" spans="1:25" hidden="1" x14ac:dyDescent="0.2">
      <c r="A735" s="83" t="str">
        <f t="shared" si="11"/>
        <v>郑州铁英街尖头粗纸吸管</v>
      </c>
      <c r="B735" s="3" t="s">
        <v>707</v>
      </c>
      <c r="C735" s="84">
        <v>44377</v>
      </c>
      <c r="D735" s="3" t="s">
        <v>473</v>
      </c>
      <c r="E735" s="3" t="s">
        <v>337</v>
      </c>
      <c r="F735" s="3" t="s">
        <v>337</v>
      </c>
      <c r="G735" s="70" t="s">
        <v>474</v>
      </c>
      <c r="H735" s="3" t="s">
        <v>343</v>
      </c>
      <c r="I735" s="3" t="s">
        <v>109</v>
      </c>
      <c r="J735" s="3">
        <v>340</v>
      </c>
      <c r="K735" s="3">
        <v>200</v>
      </c>
      <c r="L735" s="3">
        <v>214</v>
      </c>
      <c r="M735" s="3">
        <v>316</v>
      </c>
      <c r="N735" s="3">
        <v>326</v>
      </c>
      <c r="O735" s="70">
        <v>-10</v>
      </c>
      <c r="P735" s="3">
        <v>0</v>
      </c>
      <c r="Q735" s="3">
        <v>0</v>
      </c>
      <c r="R735" s="3">
        <v>8.2595000000000002E-2</v>
      </c>
      <c r="S735" s="3">
        <v>-0.83</v>
      </c>
      <c r="T735" s="3">
        <v>26.1</v>
      </c>
      <c r="U735" s="3">
        <v>26.93</v>
      </c>
      <c r="V735" s="70" t="s">
        <v>592</v>
      </c>
      <c r="W735" s="3" t="s">
        <v>343</v>
      </c>
      <c r="X735" s="3" t="s">
        <v>337</v>
      </c>
      <c r="Y735" s="3" t="s">
        <v>337</v>
      </c>
    </row>
    <row r="736" spans="1:25" hidden="1" x14ac:dyDescent="0.2">
      <c r="A736" s="83" t="str">
        <f t="shared" si="11"/>
        <v>郑州西悦城尖头粗纸吸管</v>
      </c>
      <c r="B736" s="3" t="s">
        <v>708</v>
      </c>
      <c r="C736" s="84">
        <v>44377</v>
      </c>
      <c r="D736" s="3" t="s">
        <v>473</v>
      </c>
      <c r="E736" s="3" t="s">
        <v>337</v>
      </c>
      <c r="F736" s="3" t="s">
        <v>337</v>
      </c>
      <c r="G736" s="70" t="s">
        <v>474</v>
      </c>
      <c r="H736" s="3" t="s">
        <v>343</v>
      </c>
      <c r="I736" s="3" t="s">
        <v>109</v>
      </c>
      <c r="J736" s="3">
        <v>0</v>
      </c>
      <c r="K736" s="3">
        <v>200</v>
      </c>
      <c r="L736" s="3">
        <v>261</v>
      </c>
      <c r="M736" s="3">
        <v>0</v>
      </c>
      <c r="N736" s="3">
        <v>-61</v>
      </c>
      <c r="O736" s="70">
        <v>61</v>
      </c>
      <c r="P736" s="3">
        <v>0</v>
      </c>
      <c r="Q736" s="3">
        <v>0</v>
      </c>
      <c r="R736" s="3">
        <v>7.8E-2</v>
      </c>
      <c r="S736" s="3">
        <v>4.76</v>
      </c>
      <c r="T736" s="3">
        <v>0</v>
      </c>
      <c r="U736" s="3">
        <v>-4.76</v>
      </c>
      <c r="V736" s="70" t="s">
        <v>332</v>
      </c>
      <c r="W736" s="3" t="s">
        <v>343</v>
      </c>
      <c r="X736" s="3" t="s">
        <v>337</v>
      </c>
      <c r="Y736" s="3" t="s">
        <v>337</v>
      </c>
    </row>
    <row r="737" spans="1:25" hidden="1" x14ac:dyDescent="0.2">
      <c r="A737" s="83" t="str">
        <f t="shared" si="11"/>
        <v>郑州康复中街尖头粗纸吸管</v>
      </c>
      <c r="B737" s="3" t="s">
        <v>704</v>
      </c>
      <c r="C737" s="84">
        <v>44377</v>
      </c>
      <c r="D737" s="3" t="s">
        <v>473</v>
      </c>
      <c r="E737" s="3" t="s">
        <v>337</v>
      </c>
      <c r="F737" s="3" t="s">
        <v>337</v>
      </c>
      <c r="G737" s="70" t="s">
        <v>474</v>
      </c>
      <c r="H737" s="3" t="s">
        <v>343</v>
      </c>
      <c r="I737" s="3" t="s">
        <v>109</v>
      </c>
      <c r="J737" s="3">
        <v>260</v>
      </c>
      <c r="K737" s="3">
        <v>200</v>
      </c>
      <c r="L737" s="3">
        <v>198</v>
      </c>
      <c r="M737" s="3">
        <v>200</v>
      </c>
      <c r="N737" s="3">
        <v>262</v>
      </c>
      <c r="O737" s="70">
        <v>-62</v>
      </c>
      <c r="P737" s="3">
        <v>0</v>
      </c>
      <c r="Q737" s="3">
        <v>0</v>
      </c>
      <c r="R737" s="3">
        <v>8.1949999999999995E-2</v>
      </c>
      <c r="S737" s="3">
        <v>-5.08</v>
      </c>
      <c r="T737" s="3">
        <v>16.39</v>
      </c>
      <c r="U737" s="3">
        <v>21.47</v>
      </c>
      <c r="V737" s="70" t="s">
        <v>593</v>
      </c>
      <c r="W737" s="3" t="s">
        <v>343</v>
      </c>
      <c r="X737" s="3" t="s">
        <v>337</v>
      </c>
      <c r="Y737" s="3" t="s">
        <v>337</v>
      </c>
    </row>
    <row r="738" spans="1:25" hidden="1" x14ac:dyDescent="0.2">
      <c r="A738" s="83" t="str">
        <f t="shared" si="11"/>
        <v>新蔡水韵天街尖头粗纸吸管</v>
      </c>
      <c r="B738" s="3" t="s">
        <v>703</v>
      </c>
      <c r="C738" s="84">
        <v>44377</v>
      </c>
      <c r="D738" s="3" t="s">
        <v>473</v>
      </c>
      <c r="E738" s="3" t="s">
        <v>337</v>
      </c>
      <c r="F738" s="3" t="s">
        <v>337</v>
      </c>
      <c r="G738" s="70" t="s">
        <v>474</v>
      </c>
      <c r="H738" s="3" t="s">
        <v>343</v>
      </c>
      <c r="I738" s="3" t="s">
        <v>109</v>
      </c>
      <c r="J738" s="3">
        <v>180</v>
      </c>
      <c r="K738" s="3">
        <v>400</v>
      </c>
      <c r="L738" s="3">
        <v>149</v>
      </c>
      <c r="M738" s="3">
        <v>430</v>
      </c>
      <c r="N738" s="3">
        <v>431</v>
      </c>
      <c r="O738" s="70">
        <v>-1</v>
      </c>
      <c r="P738" s="3">
        <v>0</v>
      </c>
      <c r="Q738" s="3">
        <v>0</v>
      </c>
      <c r="R738" s="3">
        <v>8.1743999999999997E-2</v>
      </c>
      <c r="S738" s="3">
        <v>-0.08</v>
      </c>
      <c r="T738" s="3">
        <v>35.15</v>
      </c>
      <c r="U738" s="3">
        <v>35.229999999999997</v>
      </c>
      <c r="V738" s="70" t="s">
        <v>335</v>
      </c>
      <c r="W738" s="3" t="s">
        <v>343</v>
      </c>
      <c r="X738" s="3" t="s">
        <v>337</v>
      </c>
      <c r="Y738" s="3" t="s">
        <v>337</v>
      </c>
    </row>
    <row r="739" spans="1:25" hidden="1" x14ac:dyDescent="0.2">
      <c r="A739" s="83" t="str">
        <f t="shared" si="11"/>
        <v>滑县滑台尖头粗纸吸管</v>
      </c>
      <c r="B739" s="3" t="s">
        <v>710</v>
      </c>
      <c r="C739" s="84">
        <v>44377</v>
      </c>
      <c r="D739" s="3" t="s">
        <v>473</v>
      </c>
      <c r="E739" s="3" t="s">
        <v>337</v>
      </c>
      <c r="F739" s="3" t="s">
        <v>337</v>
      </c>
      <c r="G739" s="70" t="s">
        <v>474</v>
      </c>
      <c r="H739" s="3" t="s">
        <v>343</v>
      </c>
      <c r="I739" s="3" t="s">
        <v>109</v>
      </c>
      <c r="J739" s="3">
        <v>0</v>
      </c>
      <c r="K739" s="3">
        <v>200</v>
      </c>
      <c r="L739" s="3">
        <v>126</v>
      </c>
      <c r="M739" s="3">
        <v>200</v>
      </c>
      <c r="N739" s="3">
        <v>74</v>
      </c>
      <c r="O739" s="70">
        <v>126</v>
      </c>
      <c r="P739" s="3">
        <v>0</v>
      </c>
      <c r="Q739" s="3">
        <v>0</v>
      </c>
      <c r="R739" s="3">
        <v>7.8E-2</v>
      </c>
      <c r="S739" s="3">
        <v>9.83</v>
      </c>
      <c r="T739" s="3">
        <v>15.6</v>
      </c>
      <c r="U739" s="3">
        <v>5.77</v>
      </c>
      <c r="V739" s="70" t="s">
        <v>639</v>
      </c>
      <c r="W739" s="3" t="s">
        <v>343</v>
      </c>
      <c r="X739" s="3" t="s">
        <v>337</v>
      </c>
      <c r="Y739" s="3" t="s">
        <v>337</v>
      </c>
    </row>
    <row r="740" spans="1:25" hidden="1" x14ac:dyDescent="0.2">
      <c r="A740" s="83" t="str">
        <f t="shared" si="11"/>
        <v>郑州盛华里尖头粗纸吸管</v>
      </c>
      <c r="B740" s="3" t="s">
        <v>709</v>
      </c>
      <c r="C740" s="84">
        <v>44377</v>
      </c>
      <c r="D740" s="3" t="s">
        <v>473</v>
      </c>
      <c r="E740" s="3" t="s">
        <v>337</v>
      </c>
      <c r="F740" s="3" t="s">
        <v>337</v>
      </c>
      <c r="G740" s="70" t="s">
        <v>474</v>
      </c>
      <c r="H740" s="3" t="s">
        <v>343</v>
      </c>
      <c r="I740" s="3" t="s">
        <v>109</v>
      </c>
      <c r="J740" s="3">
        <v>1150</v>
      </c>
      <c r="K740" s="3">
        <v>200</v>
      </c>
      <c r="L740" s="3">
        <v>110</v>
      </c>
      <c r="M740" s="3">
        <v>1500</v>
      </c>
      <c r="N740" s="3">
        <v>1240</v>
      </c>
      <c r="O740" s="70">
        <v>260</v>
      </c>
      <c r="P740" s="3">
        <v>0</v>
      </c>
      <c r="Q740" s="3">
        <v>0</v>
      </c>
      <c r="R740" s="3">
        <v>8.3927000000000002E-2</v>
      </c>
      <c r="S740" s="3">
        <v>21.82</v>
      </c>
      <c r="T740" s="3">
        <v>125.89</v>
      </c>
      <c r="U740" s="3">
        <v>104.07</v>
      </c>
      <c r="V740" s="70" t="s">
        <v>637</v>
      </c>
      <c r="W740" s="3" t="s">
        <v>343</v>
      </c>
      <c r="X740" s="3" t="s">
        <v>337</v>
      </c>
      <c r="Y740" s="3" t="s">
        <v>337</v>
      </c>
    </row>
    <row r="741" spans="1:25" hidden="1" x14ac:dyDescent="0.2">
      <c r="A741" s="83" t="str">
        <f t="shared" si="11"/>
        <v>郑州裕华尖头粗纸吸管</v>
      </c>
      <c r="B741" s="3" t="s">
        <v>711</v>
      </c>
      <c r="C741" s="84">
        <v>44377</v>
      </c>
      <c r="D741" s="3" t="s">
        <v>473</v>
      </c>
      <c r="E741" s="3" t="s">
        <v>337</v>
      </c>
      <c r="F741" s="3" t="s">
        <v>337</v>
      </c>
      <c r="G741" s="70" t="s">
        <v>474</v>
      </c>
      <c r="H741" s="3" t="s">
        <v>343</v>
      </c>
      <c r="I741" s="3" t="s">
        <v>109</v>
      </c>
      <c r="J741" s="3">
        <v>200</v>
      </c>
      <c r="K741" s="3">
        <v>200</v>
      </c>
      <c r="L741" s="3">
        <v>67</v>
      </c>
      <c r="M741" s="3">
        <v>300</v>
      </c>
      <c r="N741" s="3">
        <v>333</v>
      </c>
      <c r="O741" s="70">
        <v>-33</v>
      </c>
      <c r="P741" s="3">
        <v>0</v>
      </c>
      <c r="Q741" s="3">
        <v>0</v>
      </c>
      <c r="R741" s="3">
        <v>8.1532999999999994E-2</v>
      </c>
      <c r="S741" s="3">
        <v>-2.69</v>
      </c>
      <c r="T741" s="3">
        <v>24.46</v>
      </c>
      <c r="U741" s="3">
        <v>27.15</v>
      </c>
      <c r="V741" s="70" t="s">
        <v>641</v>
      </c>
      <c r="W741" s="3" t="s">
        <v>343</v>
      </c>
      <c r="X741" s="3" t="s">
        <v>337</v>
      </c>
      <c r="Y741" s="3" t="s">
        <v>337</v>
      </c>
    </row>
    <row r="742" spans="1:25" hidden="1" x14ac:dyDescent="0.2">
      <c r="A742" s="83" t="str">
        <f t="shared" si="11"/>
        <v>清丰凤鸣尖头粗纸吸管</v>
      </c>
      <c r="B742" s="3" t="s">
        <v>713</v>
      </c>
      <c r="C742" s="84">
        <v>44377</v>
      </c>
      <c r="D742" s="3" t="s">
        <v>473</v>
      </c>
      <c r="E742" s="3" t="s">
        <v>337</v>
      </c>
      <c r="F742" s="3" t="s">
        <v>337</v>
      </c>
      <c r="G742" s="70" t="s">
        <v>474</v>
      </c>
      <c r="H742" s="3" t="s">
        <v>343</v>
      </c>
      <c r="I742" s="3" t="s">
        <v>109</v>
      </c>
      <c r="J742" s="3">
        <v>210</v>
      </c>
      <c r="K742" s="3">
        <v>200</v>
      </c>
      <c r="L742" s="3">
        <v>93</v>
      </c>
      <c r="M742" s="3">
        <v>310</v>
      </c>
      <c r="N742" s="3">
        <v>317</v>
      </c>
      <c r="O742" s="70">
        <v>-7</v>
      </c>
      <c r="P742" s="3">
        <v>0</v>
      </c>
      <c r="Q742" s="3">
        <v>0</v>
      </c>
      <c r="R742" s="3">
        <v>8.1644999999999995E-2</v>
      </c>
      <c r="S742" s="3">
        <v>-0.56999999999999995</v>
      </c>
      <c r="T742" s="3">
        <v>25.31</v>
      </c>
      <c r="U742" s="3">
        <v>25.88</v>
      </c>
      <c r="V742" s="70" t="s">
        <v>334</v>
      </c>
      <c r="W742" s="3" t="s">
        <v>343</v>
      </c>
      <c r="X742" s="3" t="s">
        <v>337</v>
      </c>
      <c r="Y742" s="3" t="s">
        <v>337</v>
      </c>
    </row>
    <row r="743" spans="1:25" hidden="1" x14ac:dyDescent="0.2">
      <c r="A743" s="83" t="str">
        <f t="shared" si="11"/>
        <v>方城锦城国际尖头粗纸吸管</v>
      </c>
      <c r="B743" s="3" t="s">
        <v>712</v>
      </c>
      <c r="C743" s="84">
        <v>44377</v>
      </c>
      <c r="D743" s="3" t="s">
        <v>473</v>
      </c>
      <c r="E743" s="3" t="s">
        <v>337</v>
      </c>
      <c r="F743" s="3" t="s">
        <v>337</v>
      </c>
      <c r="G743" s="70" t="s">
        <v>474</v>
      </c>
      <c r="H743" s="3" t="s">
        <v>343</v>
      </c>
      <c r="I743" s="3" t="s">
        <v>109</v>
      </c>
      <c r="J743" s="3">
        <v>271</v>
      </c>
      <c r="K743" s="3">
        <v>400</v>
      </c>
      <c r="L743" s="3">
        <v>357</v>
      </c>
      <c r="M743" s="3">
        <v>296</v>
      </c>
      <c r="N743" s="3">
        <v>314</v>
      </c>
      <c r="O743" s="70">
        <v>-18</v>
      </c>
      <c r="P743" s="3">
        <v>0</v>
      </c>
      <c r="Q743" s="3">
        <v>0</v>
      </c>
      <c r="R743" s="3">
        <v>8.1925999999999999E-2</v>
      </c>
      <c r="S743" s="3">
        <v>-1.47</v>
      </c>
      <c r="T743" s="3">
        <v>24.25</v>
      </c>
      <c r="U743" s="3">
        <v>25.72</v>
      </c>
      <c r="V743" s="70" t="s">
        <v>594</v>
      </c>
      <c r="W743" s="3" t="s">
        <v>343</v>
      </c>
      <c r="X743" s="3" t="s">
        <v>337</v>
      </c>
      <c r="Y743" s="3" t="s">
        <v>337</v>
      </c>
    </row>
    <row r="744" spans="1:25" hidden="1" x14ac:dyDescent="0.2">
      <c r="A744" s="83" t="str">
        <f t="shared" si="11"/>
        <v>郑州裕华大号打包袋（生物降解）</v>
      </c>
      <c r="B744" s="3" t="s">
        <v>711</v>
      </c>
      <c r="C744" s="84">
        <v>44377</v>
      </c>
      <c r="D744" s="3" t="s">
        <v>475</v>
      </c>
      <c r="E744" s="3" t="s">
        <v>337</v>
      </c>
      <c r="F744" s="3" t="s">
        <v>337</v>
      </c>
      <c r="G744" s="70" t="s">
        <v>476</v>
      </c>
      <c r="H744" s="3" t="s">
        <v>477</v>
      </c>
      <c r="I744" s="3" t="s">
        <v>339</v>
      </c>
      <c r="J744" s="3">
        <v>180</v>
      </c>
      <c r="K744" s="3">
        <v>0</v>
      </c>
      <c r="L744" s="3">
        <v>0</v>
      </c>
      <c r="M744" s="3">
        <v>0</v>
      </c>
      <c r="N744" s="3">
        <v>180</v>
      </c>
      <c r="O744" s="70">
        <v>-180</v>
      </c>
      <c r="P744" s="3">
        <v>0</v>
      </c>
      <c r="Q744" s="3">
        <v>0</v>
      </c>
      <c r="R744" s="3">
        <v>0.38038899999999998</v>
      </c>
      <c r="S744" s="3">
        <v>-68.47</v>
      </c>
      <c r="T744" s="3">
        <v>0</v>
      </c>
      <c r="U744" s="3">
        <v>68.47</v>
      </c>
      <c r="V744" s="70" t="s">
        <v>641</v>
      </c>
      <c r="W744" s="3" t="s">
        <v>343</v>
      </c>
      <c r="X744" s="3" t="s">
        <v>337</v>
      </c>
      <c r="Y744" s="3" t="s">
        <v>337</v>
      </c>
    </row>
    <row r="745" spans="1:25" hidden="1" x14ac:dyDescent="0.2">
      <c r="A745" s="83" t="str">
        <f t="shared" si="11"/>
        <v>郑州盛华里大号打包袋（生物降解）</v>
      </c>
      <c r="B745" s="3" t="s">
        <v>709</v>
      </c>
      <c r="C745" s="84">
        <v>44377</v>
      </c>
      <c r="D745" s="3" t="s">
        <v>475</v>
      </c>
      <c r="E745" s="3" t="s">
        <v>337</v>
      </c>
      <c r="F745" s="3" t="s">
        <v>337</v>
      </c>
      <c r="G745" s="70" t="s">
        <v>476</v>
      </c>
      <c r="H745" s="3" t="s">
        <v>477</v>
      </c>
      <c r="I745" s="3" t="s">
        <v>339</v>
      </c>
      <c r="J745" s="3">
        <v>0</v>
      </c>
      <c r="K745" s="3">
        <v>200</v>
      </c>
      <c r="L745" s="3">
        <v>0</v>
      </c>
      <c r="M745" s="3">
        <v>300</v>
      </c>
      <c r="N745" s="3">
        <v>200</v>
      </c>
      <c r="O745" s="70">
        <v>100</v>
      </c>
      <c r="P745" s="3">
        <v>0</v>
      </c>
      <c r="Q745" s="3">
        <v>0</v>
      </c>
      <c r="R745" s="3">
        <v>0.35956700000000003</v>
      </c>
      <c r="S745" s="3">
        <v>35.96</v>
      </c>
      <c r="T745" s="3">
        <v>107.87</v>
      </c>
      <c r="U745" s="3">
        <v>71.91</v>
      </c>
      <c r="V745" s="70" t="s">
        <v>637</v>
      </c>
      <c r="W745" s="3" t="s">
        <v>343</v>
      </c>
      <c r="X745" s="3" t="s">
        <v>337</v>
      </c>
      <c r="Y745" s="3" t="s">
        <v>337</v>
      </c>
    </row>
    <row r="746" spans="1:25" hidden="1" x14ac:dyDescent="0.2">
      <c r="A746" s="83" t="str">
        <f t="shared" si="11"/>
        <v>郑州康复中街大号打包袋（生物降解）</v>
      </c>
      <c r="B746" s="3" t="s">
        <v>704</v>
      </c>
      <c r="C746" s="84">
        <v>44377</v>
      </c>
      <c r="D746" s="3" t="s">
        <v>475</v>
      </c>
      <c r="E746" s="3" t="s">
        <v>337</v>
      </c>
      <c r="F746" s="3" t="s">
        <v>337</v>
      </c>
      <c r="G746" s="70" t="s">
        <v>476</v>
      </c>
      <c r="H746" s="3" t="s">
        <v>477</v>
      </c>
      <c r="I746" s="3" t="s">
        <v>339</v>
      </c>
      <c r="J746" s="3">
        <v>0</v>
      </c>
      <c r="K746" s="3">
        <v>100</v>
      </c>
      <c r="L746" s="3">
        <v>0</v>
      </c>
      <c r="M746" s="3">
        <v>65</v>
      </c>
      <c r="N746" s="3">
        <v>100</v>
      </c>
      <c r="O746" s="70">
        <v>-35</v>
      </c>
      <c r="P746" s="3">
        <v>0</v>
      </c>
      <c r="Q746" s="3">
        <v>0</v>
      </c>
      <c r="R746" s="3">
        <v>0.38046200000000002</v>
      </c>
      <c r="S746" s="3">
        <v>-13.32</v>
      </c>
      <c r="T746" s="3">
        <v>24.73</v>
      </c>
      <c r="U746" s="3">
        <v>38.049999999999997</v>
      </c>
      <c r="V746" s="70" t="s">
        <v>593</v>
      </c>
      <c r="W746" s="3" t="s">
        <v>343</v>
      </c>
      <c r="X746" s="3" t="s">
        <v>337</v>
      </c>
      <c r="Y746" s="3" t="s">
        <v>337</v>
      </c>
    </row>
    <row r="747" spans="1:25" hidden="1" x14ac:dyDescent="0.2">
      <c r="A747" s="83" t="str">
        <f t="shared" si="11"/>
        <v>郑州铁英街大号打包袋（生物降解）</v>
      </c>
      <c r="B747" s="3" t="s">
        <v>707</v>
      </c>
      <c r="C747" s="84">
        <v>44377</v>
      </c>
      <c r="D747" s="3" t="s">
        <v>475</v>
      </c>
      <c r="E747" s="3" t="s">
        <v>337</v>
      </c>
      <c r="F747" s="3" t="s">
        <v>337</v>
      </c>
      <c r="G747" s="70" t="s">
        <v>476</v>
      </c>
      <c r="H747" s="3" t="s">
        <v>477</v>
      </c>
      <c r="I747" s="3" t="s">
        <v>339</v>
      </c>
      <c r="J747" s="3">
        <v>90</v>
      </c>
      <c r="K747" s="3">
        <v>0</v>
      </c>
      <c r="L747" s="3">
        <v>0</v>
      </c>
      <c r="M747" s="3">
        <v>80</v>
      </c>
      <c r="N747" s="3">
        <v>90</v>
      </c>
      <c r="O747" s="70">
        <v>-10</v>
      </c>
      <c r="P747" s="3">
        <v>0</v>
      </c>
      <c r="Q747" s="3">
        <v>0</v>
      </c>
      <c r="R747" s="3">
        <v>0.38112499999999999</v>
      </c>
      <c r="S747" s="3">
        <v>-3.81</v>
      </c>
      <c r="T747" s="3">
        <v>30.49</v>
      </c>
      <c r="U747" s="3">
        <v>34.299999999999997</v>
      </c>
      <c r="V747" s="70" t="s">
        <v>592</v>
      </c>
      <c r="W747" s="3" t="s">
        <v>343</v>
      </c>
      <c r="X747" s="3" t="s">
        <v>337</v>
      </c>
      <c r="Y747" s="3" t="s">
        <v>337</v>
      </c>
    </row>
    <row r="748" spans="1:25" hidden="1" x14ac:dyDescent="0.2">
      <c r="A748" s="83" t="str">
        <f t="shared" si="11"/>
        <v>郑州西悦城大号打包袋（生物降解）</v>
      </c>
      <c r="B748" s="3" t="s">
        <v>708</v>
      </c>
      <c r="C748" s="84">
        <v>44377</v>
      </c>
      <c r="D748" s="3" t="s">
        <v>475</v>
      </c>
      <c r="E748" s="3" t="s">
        <v>337</v>
      </c>
      <c r="F748" s="3" t="s">
        <v>337</v>
      </c>
      <c r="G748" s="70" t="s">
        <v>476</v>
      </c>
      <c r="H748" s="3" t="s">
        <v>477</v>
      </c>
      <c r="I748" s="3" t="s">
        <v>339</v>
      </c>
      <c r="J748" s="3">
        <v>150</v>
      </c>
      <c r="K748" s="3">
        <v>0</v>
      </c>
      <c r="L748" s="3">
        <v>0</v>
      </c>
      <c r="M748" s="3">
        <v>100</v>
      </c>
      <c r="N748" s="3">
        <v>150</v>
      </c>
      <c r="O748" s="70">
        <v>-50</v>
      </c>
      <c r="P748" s="3">
        <v>0</v>
      </c>
      <c r="Q748" s="3">
        <v>0</v>
      </c>
      <c r="R748" s="3">
        <v>0.38109999999999999</v>
      </c>
      <c r="S748" s="3">
        <v>-19.059999999999999</v>
      </c>
      <c r="T748" s="3">
        <v>38.11</v>
      </c>
      <c r="U748" s="3">
        <v>57.17</v>
      </c>
      <c r="V748" s="70" t="s">
        <v>332</v>
      </c>
      <c r="W748" s="3" t="s">
        <v>343</v>
      </c>
      <c r="X748" s="3" t="s">
        <v>337</v>
      </c>
      <c r="Y748" s="3" t="s">
        <v>337</v>
      </c>
    </row>
    <row r="749" spans="1:25" hidden="1" x14ac:dyDescent="0.2">
      <c r="A749" s="83" t="str">
        <f t="shared" si="11"/>
        <v>郑州瀚海海尚大号打包袋（生物降解）</v>
      </c>
      <c r="B749" s="3" t="s">
        <v>706</v>
      </c>
      <c r="C749" s="84">
        <v>44377</v>
      </c>
      <c r="D749" s="3" t="s">
        <v>475</v>
      </c>
      <c r="E749" s="3" t="s">
        <v>337</v>
      </c>
      <c r="F749" s="3" t="s">
        <v>337</v>
      </c>
      <c r="G749" s="70" t="s">
        <v>476</v>
      </c>
      <c r="H749" s="3" t="s">
        <v>477</v>
      </c>
      <c r="I749" s="3" t="s">
        <v>339</v>
      </c>
      <c r="J749" s="3">
        <v>0</v>
      </c>
      <c r="K749" s="3">
        <v>400</v>
      </c>
      <c r="L749" s="3">
        <v>0</v>
      </c>
      <c r="M749" s="3">
        <v>380</v>
      </c>
      <c r="N749" s="3">
        <v>400</v>
      </c>
      <c r="O749" s="70">
        <v>-20</v>
      </c>
      <c r="P749" s="3">
        <v>0</v>
      </c>
      <c r="Q749" s="3">
        <v>0</v>
      </c>
      <c r="R749" s="3">
        <v>0.38039499999999998</v>
      </c>
      <c r="S749" s="3">
        <v>-7.61</v>
      </c>
      <c r="T749" s="3">
        <v>144.55000000000001</v>
      </c>
      <c r="U749" s="3">
        <v>152.16</v>
      </c>
      <c r="V749" s="70" t="s">
        <v>333</v>
      </c>
      <c r="W749" s="3" t="s">
        <v>343</v>
      </c>
      <c r="X749" s="3" t="s">
        <v>337</v>
      </c>
      <c r="Y749" s="3" t="s">
        <v>337</v>
      </c>
    </row>
    <row r="750" spans="1:25" hidden="1" x14ac:dyDescent="0.2">
      <c r="A750" s="83" t="str">
        <f t="shared" si="11"/>
        <v>华山龙源大号打包袋（生物降解）</v>
      </c>
      <c r="B750" s="3" t="s">
        <v>705</v>
      </c>
      <c r="C750" s="84">
        <v>44377</v>
      </c>
      <c r="D750" s="3" t="s">
        <v>475</v>
      </c>
      <c r="E750" s="3" t="s">
        <v>337</v>
      </c>
      <c r="F750" s="3" t="s">
        <v>337</v>
      </c>
      <c r="G750" s="70" t="s">
        <v>476</v>
      </c>
      <c r="H750" s="3" t="s">
        <v>477</v>
      </c>
      <c r="I750" s="3" t="s">
        <v>339</v>
      </c>
      <c r="J750" s="3">
        <v>76</v>
      </c>
      <c r="K750" s="3">
        <v>0</v>
      </c>
      <c r="L750" s="3">
        <v>0</v>
      </c>
      <c r="M750" s="3">
        <v>0</v>
      </c>
      <c r="N750" s="3">
        <v>76</v>
      </c>
      <c r="O750" s="70">
        <v>-76</v>
      </c>
      <c r="P750" s="3">
        <v>0</v>
      </c>
      <c r="Q750" s="3">
        <v>0</v>
      </c>
      <c r="R750" s="3">
        <v>0.38039499999999998</v>
      </c>
      <c r="S750" s="3">
        <v>-28.91</v>
      </c>
      <c r="T750" s="3">
        <v>0</v>
      </c>
      <c r="U750" s="3">
        <v>28.91</v>
      </c>
      <c r="V750" s="70" t="s">
        <v>643</v>
      </c>
      <c r="W750" s="3" t="s">
        <v>343</v>
      </c>
      <c r="X750" s="3" t="s">
        <v>337</v>
      </c>
      <c r="Y750" s="3" t="s">
        <v>337</v>
      </c>
    </row>
    <row r="751" spans="1:25" hidden="1" x14ac:dyDescent="0.2">
      <c r="A751" s="83" t="str">
        <f t="shared" si="11"/>
        <v>郑州政六街大号打包袋（生物降解）</v>
      </c>
      <c r="B751" s="3" t="s">
        <v>714</v>
      </c>
      <c r="C751" s="84">
        <v>44377</v>
      </c>
      <c r="D751" s="3" t="s">
        <v>475</v>
      </c>
      <c r="E751" s="3" t="s">
        <v>337</v>
      </c>
      <c r="F751" s="3" t="s">
        <v>337</v>
      </c>
      <c r="G751" s="70" t="s">
        <v>476</v>
      </c>
      <c r="H751" s="3" t="s">
        <v>477</v>
      </c>
      <c r="I751" s="3" t="s">
        <v>339</v>
      </c>
      <c r="J751" s="3">
        <v>43</v>
      </c>
      <c r="K751" s="3">
        <v>0</v>
      </c>
      <c r="L751" s="3">
        <v>0</v>
      </c>
      <c r="M751" s="3">
        <v>20</v>
      </c>
      <c r="N751" s="3">
        <v>43</v>
      </c>
      <c r="O751" s="70">
        <v>-23</v>
      </c>
      <c r="P751" s="3">
        <v>0</v>
      </c>
      <c r="Q751" s="3">
        <v>0</v>
      </c>
      <c r="R751" s="3">
        <v>0.39050000000000001</v>
      </c>
      <c r="S751" s="3">
        <v>-8.98</v>
      </c>
      <c r="T751" s="3">
        <v>7.81</v>
      </c>
      <c r="U751" s="3">
        <v>16.79</v>
      </c>
      <c r="V751" s="70" t="s">
        <v>591</v>
      </c>
      <c r="W751" s="3" t="s">
        <v>343</v>
      </c>
      <c r="X751" s="3" t="s">
        <v>337</v>
      </c>
      <c r="Y751" s="3" t="s">
        <v>337</v>
      </c>
    </row>
    <row r="752" spans="1:25" hidden="1" x14ac:dyDescent="0.2">
      <c r="A752" s="83" t="str">
        <f t="shared" si="11"/>
        <v>华山龙源打包袋(生物降解）</v>
      </c>
      <c r="B752" s="3" t="s">
        <v>705</v>
      </c>
      <c r="C752" s="84">
        <v>44377</v>
      </c>
      <c r="D752" s="3" t="s">
        <v>478</v>
      </c>
      <c r="E752" s="3" t="s">
        <v>337</v>
      </c>
      <c r="F752" s="3" t="s">
        <v>337</v>
      </c>
      <c r="G752" s="70" t="s">
        <v>479</v>
      </c>
      <c r="H752" s="3" t="s">
        <v>480</v>
      </c>
      <c r="I752" s="3" t="s">
        <v>339</v>
      </c>
      <c r="J752" s="3">
        <v>438</v>
      </c>
      <c r="K752" s="3">
        <v>700</v>
      </c>
      <c r="L752" s="3">
        <v>0</v>
      </c>
      <c r="M752" s="3">
        <v>100</v>
      </c>
      <c r="N752" s="3">
        <v>1138</v>
      </c>
      <c r="O752" s="70">
        <v>-1038</v>
      </c>
      <c r="P752" s="3">
        <v>0</v>
      </c>
      <c r="Q752" s="3">
        <v>0</v>
      </c>
      <c r="R752" s="3">
        <v>0.19670000000000001</v>
      </c>
      <c r="S752" s="3">
        <v>-204.17</v>
      </c>
      <c r="T752" s="3">
        <v>19.670000000000002</v>
      </c>
      <c r="U752" s="3">
        <v>223.84</v>
      </c>
      <c r="V752" s="70" t="s">
        <v>643</v>
      </c>
      <c r="W752" s="3" t="s">
        <v>343</v>
      </c>
      <c r="X752" s="3" t="s">
        <v>337</v>
      </c>
      <c r="Y752" s="3" t="s">
        <v>337</v>
      </c>
    </row>
    <row r="753" spans="1:25" hidden="1" x14ac:dyDescent="0.2">
      <c r="A753" s="83" t="str">
        <f t="shared" si="11"/>
        <v>郑州瀚海海尚打包袋(生物降解）</v>
      </c>
      <c r="B753" s="3" t="s">
        <v>706</v>
      </c>
      <c r="C753" s="84">
        <v>44377</v>
      </c>
      <c r="D753" s="3" t="s">
        <v>478</v>
      </c>
      <c r="E753" s="3" t="s">
        <v>337</v>
      </c>
      <c r="F753" s="3" t="s">
        <v>337</v>
      </c>
      <c r="G753" s="70" t="s">
        <v>479</v>
      </c>
      <c r="H753" s="3" t="s">
        <v>480</v>
      </c>
      <c r="I753" s="3" t="s">
        <v>339</v>
      </c>
      <c r="J753" s="3">
        <v>380</v>
      </c>
      <c r="K753" s="3">
        <v>1000</v>
      </c>
      <c r="L753" s="3">
        <v>0</v>
      </c>
      <c r="M753" s="3">
        <v>0</v>
      </c>
      <c r="N753" s="3">
        <v>1380</v>
      </c>
      <c r="O753" s="70">
        <v>-1380</v>
      </c>
      <c r="P753" s="3">
        <v>0</v>
      </c>
      <c r="Q753" s="3">
        <v>0</v>
      </c>
      <c r="R753" s="3">
        <v>0.196022</v>
      </c>
      <c r="S753" s="3">
        <v>-270.51</v>
      </c>
      <c r="T753" s="3">
        <v>0</v>
      </c>
      <c r="U753" s="3">
        <v>270.51</v>
      </c>
      <c r="V753" s="70" t="s">
        <v>333</v>
      </c>
      <c r="W753" s="3" t="s">
        <v>343</v>
      </c>
      <c r="X753" s="3" t="s">
        <v>337</v>
      </c>
      <c r="Y753" s="3" t="s">
        <v>337</v>
      </c>
    </row>
    <row r="754" spans="1:25" hidden="1" x14ac:dyDescent="0.2">
      <c r="A754" s="83" t="str">
        <f t="shared" si="11"/>
        <v>郑州铁英街打包袋(生物降解）</v>
      </c>
      <c r="B754" s="3" t="s">
        <v>707</v>
      </c>
      <c r="C754" s="84">
        <v>44377</v>
      </c>
      <c r="D754" s="3" t="s">
        <v>478</v>
      </c>
      <c r="E754" s="3" t="s">
        <v>337</v>
      </c>
      <c r="F754" s="3" t="s">
        <v>337</v>
      </c>
      <c r="G754" s="70" t="s">
        <v>479</v>
      </c>
      <c r="H754" s="3" t="s">
        <v>480</v>
      </c>
      <c r="I754" s="3" t="s">
        <v>339</v>
      </c>
      <c r="J754" s="3">
        <v>475</v>
      </c>
      <c r="K754" s="3">
        <v>1000</v>
      </c>
      <c r="L754" s="3">
        <v>0</v>
      </c>
      <c r="M754" s="3">
        <v>347</v>
      </c>
      <c r="N754" s="3">
        <v>1475</v>
      </c>
      <c r="O754" s="70">
        <v>-1128</v>
      </c>
      <c r="P754" s="3">
        <v>0</v>
      </c>
      <c r="Q754" s="3">
        <v>0</v>
      </c>
      <c r="R754" s="3">
        <v>0.19608100000000001</v>
      </c>
      <c r="S754" s="3">
        <v>-221.18</v>
      </c>
      <c r="T754" s="3">
        <v>68.040000000000006</v>
      </c>
      <c r="U754" s="3">
        <v>289.22000000000003</v>
      </c>
      <c r="V754" s="70" t="s">
        <v>592</v>
      </c>
      <c r="W754" s="3" t="s">
        <v>343</v>
      </c>
      <c r="X754" s="3" t="s">
        <v>337</v>
      </c>
      <c r="Y754" s="3" t="s">
        <v>337</v>
      </c>
    </row>
    <row r="755" spans="1:25" hidden="1" x14ac:dyDescent="0.2">
      <c r="A755" s="83" t="str">
        <f t="shared" si="11"/>
        <v>郑州康复中街打包袋(生物降解）</v>
      </c>
      <c r="B755" s="3" t="s">
        <v>704</v>
      </c>
      <c r="C755" s="84">
        <v>44377</v>
      </c>
      <c r="D755" s="3" t="s">
        <v>478</v>
      </c>
      <c r="E755" s="3" t="s">
        <v>337</v>
      </c>
      <c r="F755" s="3" t="s">
        <v>337</v>
      </c>
      <c r="G755" s="70" t="s">
        <v>479</v>
      </c>
      <c r="H755" s="3" t="s">
        <v>480</v>
      </c>
      <c r="I755" s="3" t="s">
        <v>339</v>
      </c>
      <c r="J755" s="3">
        <v>0</v>
      </c>
      <c r="K755" s="3">
        <v>800</v>
      </c>
      <c r="L755" s="3">
        <v>0</v>
      </c>
      <c r="M755" s="3">
        <v>400</v>
      </c>
      <c r="N755" s="3">
        <v>800</v>
      </c>
      <c r="O755" s="70">
        <v>-400</v>
      </c>
      <c r="P755" s="3">
        <v>0</v>
      </c>
      <c r="Q755" s="3">
        <v>0</v>
      </c>
      <c r="R755" s="3">
        <v>0.19520000000000001</v>
      </c>
      <c r="S755" s="3">
        <v>-78.08</v>
      </c>
      <c r="T755" s="3">
        <v>78.08</v>
      </c>
      <c r="U755" s="3">
        <v>156.16</v>
      </c>
      <c r="V755" s="70" t="s">
        <v>593</v>
      </c>
      <c r="W755" s="3" t="s">
        <v>343</v>
      </c>
      <c r="X755" s="3" t="s">
        <v>337</v>
      </c>
      <c r="Y755" s="3" t="s">
        <v>337</v>
      </c>
    </row>
    <row r="756" spans="1:25" hidden="1" x14ac:dyDescent="0.2">
      <c r="A756" s="83" t="str">
        <f t="shared" si="11"/>
        <v>郑州盛华里打包袋(生物降解）</v>
      </c>
      <c r="B756" s="3" t="s">
        <v>709</v>
      </c>
      <c r="C756" s="84">
        <v>44377</v>
      </c>
      <c r="D756" s="3" t="s">
        <v>478</v>
      </c>
      <c r="E756" s="3" t="s">
        <v>337</v>
      </c>
      <c r="F756" s="3" t="s">
        <v>337</v>
      </c>
      <c r="G756" s="70" t="s">
        <v>479</v>
      </c>
      <c r="H756" s="3" t="s">
        <v>480</v>
      </c>
      <c r="I756" s="3" t="s">
        <v>339</v>
      </c>
      <c r="J756" s="3">
        <v>400</v>
      </c>
      <c r="K756" s="3">
        <v>700</v>
      </c>
      <c r="L756" s="3">
        <v>0</v>
      </c>
      <c r="M756" s="3">
        <v>1000</v>
      </c>
      <c r="N756" s="3">
        <v>1100</v>
      </c>
      <c r="O756" s="70">
        <v>-100</v>
      </c>
      <c r="P756" s="3">
        <v>0</v>
      </c>
      <c r="Q756" s="3">
        <v>0</v>
      </c>
      <c r="R756" s="3">
        <v>0.1961</v>
      </c>
      <c r="S756" s="3">
        <v>-19.61</v>
      </c>
      <c r="T756" s="3">
        <v>196.1</v>
      </c>
      <c r="U756" s="3">
        <v>215.71</v>
      </c>
      <c r="V756" s="70" t="s">
        <v>637</v>
      </c>
      <c r="W756" s="3" t="s">
        <v>343</v>
      </c>
      <c r="X756" s="3" t="s">
        <v>337</v>
      </c>
      <c r="Y756" s="3" t="s">
        <v>337</v>
      </c>
    </row>
    <row r="757" spans="1:25" hidden="1" x14ac:dyDescent="0.2">
      <c r="A757" s="83" t="str">
        <f t="shared" si="11"/>
        <v>郑州裕华打包袋(生物降解）</v>
      </c>
      <c r="B757" s="3" t="s">
        <v>711</v>
      </c>
      <c r="C757" s="84">
        <v>44377</v>
      </c>
      <c r="D757" s="3" t="s">
        <v>478</v>
      </c>
      <c r="E757" s="3" t="s">
        <v>337</v>
      </c>
      <c r="F757" s="3" t="s">
        <v>337</v>
      </c>
      <c r="G757" s="70" t="s">
        <v>479</v>
      </c>
      <c r="H757" s="3" t="s">
        <v>480</v>
      </c>
      <c r="I757" s="3" t="s">
        <v>339</v>
      </c>
      <c r="J757" s="3">
        <v>1200</v>
      </c>
      <c r="K757" s="3">
        <v>1000</v>
      </c>
      <c r="L757" s="3">
        <v>0</v>
      </c>
      <c r="M757" s="3">
        <v>900</v>
      </c>
      <c r="N757" s="3">
        <v>2200</v>
      </c>
      <c r="O757" s="70">
        <v>-1300</v>
      </c>
      <c r="P757" s="3">
        <v>0</v>
      </c>
      <c r="Q757" s="3">
        <v>0</v>
      </c>
      <c r="R757" s="3">
        <v>0.19642200000000001</v>
      </c>
      <c r="S757" s="3">
        <v>-255.35</v>
      </c>
      <c r="T757" s="3">
        <v>176.78</v>
      </c>
      <c r="U757" s="3">
        <v>432.13</v>
      </c>
      <c r="V757" s="70" t="s">
        <v>641</v>
      </c>
      <c r="W757" s="3" t="s">
        <v>343</v>
      </c>
      <c r="X757" s="3" t="s">
        <v>337</v>
      </c>
      <c r="Y757" s="3" t="s">
        <v>337</v>
      </c>
    </row>
    <row r="758" spans="1:25" hidden="1" x14ac:dyDescent="0.2">
      <c r="A758" s="83" t="str">
        <f t="shared" si="11"/>
        <v>清丰凤鸣打包袋(生物降解）</v>
      </c>
      <c r="B758" s="3" t="s">
        <v>713</v>
      </c>
      <c r="C758" s="84">
        <v>44377</v>
      </c>
      <c r="D758" s="3" t="s">
        <v>478</v>
      </c>
      <c r="E758" s="3" t="s">
        <v>337</v>
      </c>
      <c r="F758" s="3" t="s">
        <v>337</v>
      </c>
      <c r="G758" s="70" t="s">
        <v>479</v>
      </c>
      <c r="H758" s="3" t="s">
        <v>480</v>
      </c>
      <c r="I758" s="3" t="s">
        <v>339</v>
      </c>
      <c r="J758" s="3">
        <v>120</v>
      </c>
      <c r="K758" s="3">
        <v>0</v>
      </c>
      <c r="L758" s="3">
        <v>0</v>
      </c>
      <c r="M758" s="3">
        <v>120</v>
      </c>
      <c r="N758" s="3">
        <v>120</v>
      </c>
      <c r="O758" s="70">
        <v>0</v>
      </c>
      <c r="P758" s="3">
        <v>0</v>
      </c>
      <c r="Q758" s="3">
        <v>0</v>
      </c>
      <c r="R758" s="3">
        <v>0.19716700000000001</v>
      </c>
      <c r="S758" s="3">
        <v>0</v>
      </c>
      <c r="T758" s="3">
        <v>23.66</v>
      </c>
      <c r="U758" s="3">
        <v>23.66</v>
      </c>
      <c r="V758" s="70" t="s">
        <v>334</v>
      </c>
      <c r="W758" s="3" t="s">
        <v>343</v>
      </c>
      <c r="X758" s="3" t="s">
        <v>337</v>
      </c>
      <c r="Y758" s="3" t="s">
        <v>337</v>
      </c>
    </row>
    <row r="759" spans="1:25" hidden="1" x14ac:dyDescent="0.2">
      <c r="A759" s="83" t="str">
        <f t="shared" si="11"/>
        <v>清丰凤鸣单杯袋（生物降解）</v>
      </c>
      <c r="B759" s="3" t="s">
        <v>713</v>
      </c>
      <c r="C759" s="84">
        <v>44377</v>
      </c>
      <c r="D759" s="3" t="s">
        <v>481</v>
      </c>
      <c r="E759" s="3" t="s">
        <v>337</v>
      </c>
      <c r="F759" s="3" t="s">
        <v>337</v>
      </c>
      <c r="G759" s="70" t="s">
        <v>482</v>
      </c>
      <c r="H759" s="3" t="s">
        <v>483</v>
      </c>
      <c r="I759" s="3" t="s">
        <v>339</v>
      </c>
      <c r="J759" s="3">
        <v>900</v>
      </c>
      <c r="K759" s="3">
        <v>0</v>
      </c>
      <c r="L759" s="3">
        <v>0</v>
      </c>
      <c r="M759" s="3">
        <v>900</v>
      </c>
      <c r="N759" s="3">
        <v>900</v>
      </c>
      <c r="O759" s="70">
        <v>0</v>
      </c>
      <c r="P759" s="3">
        <v>0</v>
      </c>
      <c r="Q759" s="3">
        <v>0</v>
      </c>
      <c r="R759" s="3">
        <v>0.11276700000000001</v>
      </c>
      <c r="S759" s="3">
        <v>0</v>
      </c>
      <c r="T759" s="3">
        <v>101.49</v>
      </c>
      <c r="U759" s="3">
        <v>101.49</v>
      </c>
      <c r="V759" s="70" t="s">
        <v>334</v>
      </c>
      <c r="W759" s="3" t="s">
        <v>343</v>
      </c>
      <c r="X759" s="3" t="s">
        <v>337</v>
      </c>
      <c r="Y759" s="3" t="s">
        <v>337</v>
      </c>
    </row>
    <row r="760" spans="1:25" hidden="1" x14ac:dyDescent="0.2">
      <c r="A760" s="83" t="str">
        <f t="shared" si="11"/>
        <v>郑州裕华单杯袋（生物降解）</v>
      </c>
      <c r="B760" s="3" t="s">
        <v>711</v>
      </c>
      <c r="C760" s="84">
        <v>44377</v>
      </c>
      <c r="D760" s="3" t="s">
        <v>481</v>
      </c>
      <c r="E760" s="3" t="s">
        <v>337</v>
      </c>
      <c r="F760" s="3" t="s">
        <v>337</v>
      </c>
      <c r="G760" s="70" t="s">
        <v>482</v>
      </c>
      <c r="H760" s="3" t="s">
        <v>483</v>
      </c>
      <c r="I760" s="3" t="s">
        <v>339</v>
      </c>
      <c r="J760" s="3">
        <v>600</v>
      </c>
      <c r="K760" s="3">
        <v>1200</v>
      </c>
      <c r="L760" s="3">
        <v>0</v>
      </c>
      <c r="M760" s="3">
        <v>900</v>
      </c>
      <c r="N760" s="3">
        <v>1800</v>
      </c>
      <c r="O760" s="70">
        <v>-900</v>
      </c>
      <c r="P760" s="3">
        <v>0</v>
      </c>
      <c r="Q760" s="3">
        <v>0</v>
      </c>
      <c r="R760" s="3">
        <v>0.110967</v>
      </c>
      <c r="S760" s="3">
        <v>-99.87</v>
      </c>
      <c r="T760" s="3">
        <v>99.87</v>
      </c>
      <c r="U760" s="3">
        <v>199.74</v>
      </c>
      <c r="V760" s="70" t="s">
        <v>641</v>
      </c>
      <c r="W760" s="3" t="s">
        <v>343</v>
      </c>
      <c r="X760" s="3" t="s">
        <v>337</v>
      </c>
      <c r="Y760" s="3" t="s">
        <v>337</v>
      </c>
    </row>
    <row r="761" spans="1:25" hidden="1" x14ac:dyDescent="0.2">
      <c r="A761" s="83" t="str">
        <f t="shared" si="11"/>
        <v>郑州盛华里单杯袋（生物降解）</v>
      </c>
      <c r="B761" s="3" t="s">
        <v>709</v>
      </c>
      <c r="C761" s="84">
        <v>44377</v>
      </c>
      <c r="D761" s="3" t="s">
        <v>481</v>
      </c>
      <c r="E761" s="3" t="s">
        <v>337</v>
      </c>
      <c r="F761" s="3" t="s">
        <v>337</v>
      </c>
      <c r="G761" s="70" t="s">
        <v>482</v>
      </c>
      <c r="H761" s="3" t="s">
        <v>483</v>
      </c>
      <c r="I761" s="3" t="s">
        <v>339</v>
      </c>
      <c r="J761" s="3">
        <v>300</v>
      </c>
      <c r="K761" s="3">
        <v>1100</v>
      </c>
      <c r="L761" s="3">
        <v>0</v>
      </c>
      <c r="M761" s="3">
        <v>1000</v>
      </c>
      <c r="N761" s="3">
        <v>1400</v>
      </c>
      <c r="O761" s="70">
        <v>-400</v>
      </c>
      <c r="P761" s="3">
        <v>0</v>
      </c>
      <c r="Q761" s="3">
        <v>0</v>
      </c>
      <c r="R761" s="3">
        <v>0.1106</v>
      </c>
      <c r="S761" s="3">
        <v>-44.24</v>
      </c>
      <c r="T761" s="3">
        <v>110.6</v>
      </c>
      <c r="U761" s="3">
        <v>154.84</v>
      </c>
      <c r="V761" s="70" t="s">
        <v>637</v>
      </c>
      <c r="W761" s="3" t="s">
        <v>343</v>
      </c>
      <c r="X761" s="3" t="s">
        <v>337</v>
      </c>
      <c r="Y761" s="3" t="s">
        <v>337</v>
      </c>
    </row>
    <row r="762" spans="1:25" hidden="1" x14ac:dyDescent="0.2">
      <c r="A762" s="83" t="str">
        <f t="shared" si="11"/>
        <v>郑州康复中街单杯袋（生物降解）</v>
      </c>
      <c r="B762" s="3" t="s">
        <v>704</v>
      </c>
      <c r="C762" s="84">
        <v>44377</v>
      </c>
      <c r="D762" s="3" t="s">
        <v>481</v>
      </c>
      <c r="E762" s="3" t="s">
        <v>337</v>
      </c>
      <c r="F762" s="3" t="s">
        <v>337</v>
      </c>
      <c r="G762" s="70" t="s">
        <v>482</v>
      </c>
      <c r="H762" s="3" t="s">
        <v>483</v>
      </c>
      <c r="I762" s="3" t="s">
        <v>339</v>
      </c>
      <c r="J762" s="3">
        <v>0</v>
      </c>
      <c r="K762" s="3">
        <v>3900</v>
      </c>
      <c r="L762" s="3">
        <v>0</v>
      </c>
      <c r="M762" s="3">
        <v>0</v>
      </c>
      <c r="N762" s="3">
        <v>3900</v>
      </c>
      <c r="O762" s="70">
        <v>-3900</v>
      </c>
      <c r="P762" s="3">
        <v>0</v>
      </c>
      <c r="Q762" s="3">
        <v>0</v>
      </c>
      <c r="R762" s="3">
        <v>0.109926</v>
      </c>
      <c r="S762" s="3">
        <v>-428.71</v>
      </c>
      <c r="T762" s="3">
        <v>0</v>
      </c>
      <c r="U762" s="3">
        <v>428.71</v>
      </c>
      <c r="V762" s="70" t="s">
        <v>593</v>
      </c>
      <c r="W762" s="3" t="s">
        <v>343</v>
      </c>
      <c r="X762" s="3" t="s">
        <v>337</v>
      </c>
      <c r="Y762" s="3" t="s">
        <v>337</v>
      </c>
    </row>
    <row r="763" spans="1:25" hidden="1" x14ac:dyDescent="0.2">
      <c r="A763" s="83" t="str">
        <f t="shared" si="11"/>
        <v>郑州铁英街单杯袋（生物降解）</v>
      </c>
      <c r="B763" s="3" t="s">
        <v>707</v>
      </c>
      <c r="C763" s="84">
        <v>44377</v>
      </c>
      <c r="D763" s="3" t="s">
        <v>481</v>
      </c>
      <c r="E763" s="3" t="s">
        <v>337</v>
      </c>
      <c r="F763" s="3" t="s">
        <v>337</v>
      </c>
      <c r="G763" s="70" t="s">
        <v>482</v>
      </c>
      <c r="H763" s="3" t="s">
        <v>483</v>
      </c>
      <c r="I763" s="3" t="s">
        <v>339</v>
      </c>
      <c r="J763" s="3">
        <v>271</v>
      </c>
      <c r="K763" s="3">
        <v>1500</v>
      </c>
      <c r="L763" s="3">
        <v>0</v>
      </c>
      <c r="M763" s="3">
        <v>421</v>
      </c>
      <c r="N763" s="3">
        <v>1771</v>
      </c>
      <c r="O763" s="70">
        <v>-1350</v>
      </c>
      <c r="P763" s="3">
        <v>0</v>
      </c>
      <c r="Q763" s="3">
        <v>0</v>
      </c>
      <c r="R763" s="3">
        <v>0.10995199999999999</v>
      </c>
      <c r="S763" s="3">
        <v>-148.44</v>
      </c>
      <c r="T763" s="3">
        <v>46.29</v>
      </c>
      <c r="U763" s="3">
        <v>194.72</v>
      </c>
      <c r="V763" s="70" t="s">
        <v>592</v>
      </c>
      <c r="W763" s="3" t="s">
        <v>343</v>
      </c>
      <c r="X763" s="3" t="s">
        <v>337</v>
      </c>
      <c r="Y763" s="3" t="s">
        <v>337</v>
      </c>
    </row>
    <row r="764" spans="1:25" hidden="1" x14ac:dyDescent="0.2">
      <c r="A764" s="83" t="str">
        <f t="shared" si="11"/>
        <v>华山龙源单杯袋（生物降解）</v>
      </c>
      <c r="B764" s="3" t="s">
        <v>705</v>
      </c>
      <c r="C764" s="84">
        <v>44377</v>
      </c>
      <c r="D764" s="3" t="s">
        <v>481</v>
      </c>
      <c r="E764" s="3" t="s">
        <v>337</v>
      </c>
      <c r="F764" s="3" t="s">
        <v>337</v>
      </c>
      <c r="G764" s="70" t="s">
        <v>482</v>
      </c>
      <c r="H764" s="3" t="s">
        <v>483</v>
      </c>
      <c r="I764" s="3" t="s">
        <v>339</v>
      </c>
      <c r="J764" s="3">
        <v>100</v>
      </c>
      <c r="K764" s="3">
        <v>0</v>
      </c>
      <c r="L764" s="3">
        <v>0</v>
      </c>
      <c r="M764" s="3">
        <v>0</v>
      </c>
      <c r="N764" s="3">
        <v>100</v>
      </c>
      <c r="O764" s="70">
        <v>-100</v>
      </c>
      <c r="P764" s="3">
        <v>0</v>
      </c>
      <c r="Q764" s="3">
        <v>0</v>
      </c>
      <c r="R764" s="3">
        <v>0.1105</v>
      </c>
      <c r="S764" s="3">
        <v>-11.05</v>
      </c>
      <c r="T764" s="3">
        <v>0</v>
      </c>
      <c r="U764" s="3">
        <v>11.05</v>
      </c>
      <c r="V764" s="70" t="s">
        <v>643</v>
      </c>
      <c r="W764" s="3" t="s">
        <v>343</v>
      </c>
      <c r="X764" s="3" t="s">
        <v>337</v>
      </c>
      <c r="Y764" s="3" t="s">
        <v>337</v>
      </c>
    </row>
    <row r="765" spans="1:25" hidden="1" x14ac:dyDescent="0.2">
      <c r="A765" s="83" t="str">
        <f t="shared" si="11"/>
        <v>郑州瀚海海尚单杯袋（生物降解）</v>
      </c>
      <c r="B765" s="3" t="s">
        <v>706</v>
      </c>
      <c r="C765" s="84">
        <v>44377</v>
      </c>
      <c r="D765" s="3" t="s">
        <v>481</v>
      </c>
      <c r="E765" s="3" t="s">
        <v>337</v>
      </c>
      <c r="F765" s="3" t="s">
        <v>337</v>
      </c>
      <c r="G765" s="70" t="s">
        <v>482</v>
      </c>
      <c r="H765" s="3" t="s">
        <v>483</v>
      </c>
      <c r="I765" s="3" t="s">
        <v>339</v>
      </c>
      <c r="J765" s="3">
        <v>530</v>
      </c>
      <c r="K765" s="3">
        <v>1500</v>
      </c>
      <c r="L765" s="3">
        <v>0</v>
      </c>
      <c r="M765" s="3">
        <v>0</v>
      </c>
      <c r="N765" s="3">
        <v>2030</v>
      </c>
      <c r="O765" s="70">
        <v>-2030</v>
      </c>
      <c r="P765" s="3">
        <v>0</v>
      </c>
      <c r="Q765" s="3">
        <v>0</v>
      </c>
      <c r="R765" s="3">
        <v>0.110911</v>
      </c>
      <c r="S765" s="3">
        <v>-225.15</v>
      </c>
      <c r="T765" s="3">
        <v>0</v>
      </c>
      <c r="U765" s="3">
        <v>225.15</v>
      </c>
      <c r="V765" s="70" t="s">
        <v>333</v>
      </c>
      <c r="W765" s="3" t="s">
        <v>343</v>
      </c>
      <c r="X765" s="3" t="s">
        <v>337</v>
      </c>
      <c r="Y765" s="3" t="s">
        <v>337</v>
      </c>
    </row>
    <row r="766" spans="1:25" hidden="1" x14ac:dyDescent="0.2">
      <c r="A766" s="83" t="str">
        <f t="shared" si="11"/>
        <v>郑州政六街单杯袋（生物降解）</v>
      </c>
      <c r="B766" s="3" t="s">
        <v>714</v>
      </c>
      <c r="C766" s="84">
        <v>44377</v>
      </c>
      <c r="D766" s="3" t="s">
        <v>481</v>
      </c>
      <c r="E766" s="3" t="s">
        <v>337</v>
      </c>
      <c r="F766" s="3" t="s">
        <v>337</v>
      </c>
      <c r="G766" s="70" t="s">
        <v>482</v>
      </c>
      <c r="H766" s="3" t="s">
        <v>483</v>
      </c>
      <c r="I766" s="3" t="s">
        <v>339</v>
      </c>
      <c r="J766" s="3">
        <v>600</v>
      </c>
      <c r="K766" s="3">
        <v>0</v>
      </c>
      <c r="L766" s="3">
        <v>0</v>
      </c>
      <c r="M766" s="3">
        <v>600</v>
      </c>
      <c r="N766" s="3">
        <v>600</v>
      </c>
      <c r="O766" s="70">
        <v>0</v>
      </c>
      <c r="P766" s="3">
        <v>0</v>
      </c>
      <c r="Q766" s="3">
        <v>0</v>
      </c>
      <c r="R766" s="3">
        <v>0.1105</v>
      </c>
      <c r="S766" s="3">
        <v>0</v>
      </c>
      <c r="T766" s="3">
        <v>66.3</v>
      </c>
      <c r="U766" s="3">
        <v>66.3</v>
      </c>
      <c r="V766" s="70" t="s">
        <v>591</v>
      </c>
      <c r="W766" s="3" t="s">
        <v>343</v>
      </c>
      <c r="X766" s="3" t="s">
        <v>337</v>
      </c>
      <c r="Y766" s="3" t="s">
        <v>337</v>
      </c>
    </row>
    <row r="767" spans="1:25" hidden="1" x14ac:dyDescent="0.2">
      <c r="A767" s="83" t="str">
        <f t="shared" si="11"/>
        <v>郑州政六街木勺</v>
      </c>
      <c r="B767" s="3" t="s">
        <v>714</v>
      </c>
      <c r="C767" s="84">
        <v>44377</v>
      </c>
      <c r="D767" s="3" t="s">
        <v>484</v>
      </c>
      <c r="E767" s="3" t="s">
        <v>337</v>
      </c>
      <c r="F767" s="3" t="s">
        <v>337</v>
      </c>
      <c r="G767" s="70" t="s">
        <v>485</v>
      </c>
      <c r="H767" s="3" t="s">
        <v>486</v>
      </c>
      <c r="I767" s="3" t="s">
        <v>339</v>
      </c>
      <c r="J767" s="3">
        <v>48</v>
      </c>
      <c r="K767" s="3">
        <v>100</v>
      </c>
      <c r="L767" s="3">
        <v>108</v>
      </c>
      <c r="M767" s="3">
        <v>38</v>
      </c>
      <c r="N767" s="3">
        <v>40</v>
      </c>
      <c r="O767" s="70">
        <v>-2</v>
      </c>
      <c r="P767" s="3">
        <v>0</v>
      </c>
      <c r="Q767" s="3">
        <v>0</v>
      </c>
      <c r="R767" s="3">
        <v>5.4474000000000002E-2</v>
      </c>
      <c r="S767" s="3">
        <v>-0.11</v>
      </c>
      <c r="T767" s="3">
        <v>2.0699999999999998</v>
      </c>
      <c r="U767" s="3">
        <v>2.1800000000000002</v>
      </c>
      <c r="V767" s="70" t="s">
        <v>591</v>
      </c>
      <c r="W767" s="3" t="s">
        <v>343</v>
      </c>
      <c r="X767" s="3" t="s">
        <v>337</v>
      </c>
      <c r="Y767" s="3" t="s">
        <v>337</v>
      </c>
    </row>
    <row r="768" spans="1:25" hidden="1" x14ac:dyDescent="0.2">
      <c r="A768" s="83" t="str">
        <f t="shared" si="11"/>
        <v>华山龙源木勺</v>
      </c>
      <c r="B768" s="3" t="s">
        <v>705</v>
      </c>
      <c r="C768" s="84">
        <v>44377</v>
      </c>
      <c r="D768" s="3" t="s">
        <v>484</v>
      </c>
      <c r="E768" s="3" t="s">
        <v>337</v>
      </c>
      <c r="F768" s="3" t="s">
        <v>337</v>
      </c>
      <c r="G768" s="70" t="s">
        <v>485</v>
      </c>
      <c r="H768" s="3" t="s">
        <v>486</v>
      </c>
      <c r="I768" s="3" t="s">
        <v>339</v>
      </c>
      <c r="J768" s="3">
        <v>125</v>
      </c>
      <c r="K768" s="3">
        <v>200</v>
      </c>
      <c r="L768" s="3">
        <v>123</v>
      </c>
      <c r="M768" s="3">
        <v>209</v>
      </c>
      <c r="N768" s="3">
        <v>202</v>
      </c>
      <c r="O768" s="70">
        <v>7</v>
      </c>
      <c r="P768" s="3">
        <v>0</v>
      </c>
      <c r="Q768" s="3">
        <v>0</v>
      </c>
      <c r="R768" s="3">
        <v>5.5024000000000003E-2</v>
      </c>
      <c r="S768" s="3">
        <v>0.39</v>
      </c>
      <c r="T768" s="3">
        <v>11.5</v>
      </c>
      <c r="U768" s="3">
        <v>11.11</v>
      </c>
      <c r="V768" s="70" t="s">
        <v>643</v>
      </c>
      <c r="W768" s="3" t="s">
        <v>343</v>
      </c>
      <c r="X768" s="3" t="s">
        <v>337</v>
      </c>
      <c r="Y768" s="3" t="s">
        <v>337</v>
      </c>
    </row>
    <row r="769" spans="1:25" hidden="1" x14ac:dyDescent="0.2">
      <c r="A769" s="83" t="str">
        <f t="shared" si="11"/>
        <v>郑州瀚海海尚木勺</v>
      </c>
      <c r="B769" s="3" t="s">
        <v>706</v>
      </c>
      <c r="C769" s="84">
        <v>44377</v>
      </c>
      <c r="D769" s="3" t="s">
        <v>484</v>
      </c>
      <c r="E769" s="3" t="s">
        <v>337</v>
      </c>
      <c r="F769" s="3" t="s">
        <v>337</v>
      </c>
      <c r="G769" s="70" t="s">
        <v>485</v>
      </c>
      <c r="H769" s="3" t="s">
        <v>486</v>
      </c>
      <c r="I769" s="3" t="s">
        <v>339</v>
      </c>
      <c r="J769" s="3">
        <v>130</v>
      </c>
      <c r="K769" s="3">
        <v>500</v>
      </c>
      <c r="L769" s="3">
        <v>216</v>
      </c>
      <c r="M769" s="3">
        <v>390</v>
      </c>
      <c r="N769" s="3">
        <v>414</v>
      </c>
      <c r="O769" s="70">
        <v>-24</v>
      </c>
      <c r="P769" s="3">
        <v>0</v>
      </c>
      <c r="Q769" s="3">
        <v>0</v>
      </c>
      <c r="R769" s="3">
        <v>5.5E-2</v>
      </c>
      <c r="S769" s="3">
        <v>-1.32</v>
      </c>
      <c r="T769" s="3">
        <v>21.45</v>
      </c>
      <c r="U769" s="3">
        <v>22.77</v>
      </c>
      <c r="V769" s="70" t="s">
        <v>333</v>
      </c>
      <c r="W769" s="3" t="s">
        <v>343</v>
      </c>
      <c r="X769" s="3" t="s">
        <v>337</v>
      </c>
      <c r="Y769" s="3" t="s">
        <v>337</v>
      </c>
    </row>
    <row r="770" spans="1:25" hidden="1" x14ac:dyDescent="0.2">
      <c r="A770" s="83" t="str">
        <f t="shared" si="11"/>
        <v>郑州铁英街木勺</v>
      </c>
      <c r="B770" s="3" t="s">
        <v>707</v>
      </c>
      <c r="C770" s="84">
        <v>44377</v>
      </c>
      <c r="D770" s="3" t="s">
        <v>484</v>
      </c>
      <c r="E770" s="3" t="s">
        <v>337</v>
      </c>
      <c r="F770" s="3" t="s">
        <v>337</v>
      </c>
      <c r="G770" s="70" t="s">
        <v>485</v>
      </c>
      <c r="H770" s="3" t="s">
        <v>486</v>
      </c>
      <c r="I770" s="3" t="s">
        <v>339</v>
      </c>
      <c r="J770" s="3">
        <v>41</v>
      </c>
      <c r="K770" s="3">
        <v>200</v>
      </c>
      <c r="L770" s="3">
        <v>138</v>
      </c>
      <c r="M770" s="3">
        <v>101</v>
      </c>
      <c r="N770" s="3">
        <v>103</v>
      </c>
      <c r="O770" s="70">
        <v>-2</v>
      </c>
      <c r="P770" s="3">
        <v>0</v>
      </c>
      <c r="Q770" s="3">
        <v>0</v>
      </c>
      <c r="R770" s="3">
        <v>5.4949999999999999E-2</v>
      </c>
      <c r="S770" s="3">
        <v>-0.11</v>
      </c>
      <c r="T770" s="3">
        <v>5.55</v>
      </c>
      <c r="U770" s="3">
        <v>5.66</v>
      </c>
      <c r="V770" s="70" t="s">
        <v>592</v>
      </c>
      <c r="W770" s="3" t="s">
        <v>343</v>
      </c>
      <c r="X770" s="3" t="s">
        <v>337</v>
      </c>
      <c r="Y770" s="3" t="s">
        <v>337</v>
      </c>
    </row>
    <row r="771" spans="1:25" hidden="1" x14ac:dyDescent="0.2">
      <c r="A771" s="83" t="str">
        <f t="shared" ref="A771:A834" si="12">V771&amp;G771</f>
        <v>郑州西悦城木勺</v>
      </c>
      <c r="B771" s="3" t="s">
        <v>708</v>
      </c>
      <c r="C771" s="84">
        <v>44377</v>
      </c>
      <c r="D771" s="3" t="s">
        <v>484</v>
      </c>
      <c r="E771" s="3" t="s">
        <v>337</v>
      </c>
      <c r="F771" s="3" t="s">
        <v>337</v>
      </c>
      <c r="G771" s="70" t="s">
        <v>485</v>
      </c>
      <c r="H771" s="3" t="s">
        <v>486</v>
      </c>
      <c r="I771" s="3" t="s">
        <v>339</v>
      </c>
      <c r="J771" s="3">
        <v>240</v>
      </c>
      <c r="K771" s="3">
        <v>500</v>
      </c>
      <c r="L771" s="3">
        <v>320</v>
      </c>
      <c r="M771" s="3">
        <v>420</v>
      </c>
      <c r="N771" s="3">
        <v>420</v>
      </c>
      <c r="O771" s="70">
        <v>0</v>
      </c>
      <c r="P771" s="3">
        <v>0</v>
      </c>
      <c r="Q771" s="3">
        <v>0</v>
      </c>
      <c r="R771" s="3">
        <v>5.5E-2</v>
      </c>
      <c r="S771" s="3">
        <v>0</v>
      </c>
      <c r="T771" s="3">
        <v>23.1</v>
      </c>
      <c r="U771" s="3">
        <v>23.1</v>
      </c>
      <c r="V771" s="70" t="s">
        <v>332</v>
      </c>
      <c r="W771" s="3" t="s">
        <v>343</v>
      </c>
      <c r="X771" s="3" t="s">
        <v>337</v>
      </c>
      <c r="Y771" s="3" t="s">
        <v>337</v>
      </c>
    </row>
    <row r="772" spans="1:25" hidden="1" x14ac:dyDescent="0.2">
      <c r="A772" s="83" t="str">
        <f t="shared" si="12"/>
        <v>郑州康复中街木勺</v>
      </c>
      <c r="B772" s="3" t="s">
        <v>704</v>
      </c>
      <c r="C772" s="84">
        <v>44377</v>
      </c>
      <c r="D772" s="3" t="s">
        <v>484</v>
      </c>
      <c r="E772" s="3" t="s">
        <v>337</v>
      </c>
      <c r="F772" s="3" t="s">
        <v>337</v>
      </c>
      <c r="G772" s="70" t="s">
        <v>485</v>
      </c>
      <c r="H772" s="3" t="s">
        <v>486</v>
      </c>
      <c r="I772" s="3" t="s">
        <v>339</v>
      </c>
      <c r="J772" s="3">
        <v>60</v>
      </c>
      <c r="K772" s="3">
        <v>100</v>
      </c>
      <c r="L772" s="3">
        <v>199</v>
      </c>
      <c r="M772" s="3">
        <v>0</v>
      </c>
      <c r="N772" s="3">
        <v>-39</v>
      </c>
      <c r="O772" s="70">
        <v>39</v>
      </c>
      <c r="P772" s="3">
        <v>0</v>
      </c>
      <c r="Q772" s="3">
        <v>0</v>
      </c>
      <c r="R772" s="3">
        <v>5.5E-2</v>
      </c>
      <c r="S772" s="3">
        <v>2.15</v>
      </c>
      <c r="T772" s="3">
        <v>0</v>
      </c>
      <c r="U772" s="3">
        <v>-2.15</v>
      </c>
      <c r="V772" s="70" t="s">
        <v>593</v>
      </c>
      <c r="W772" s="3" t="s">
        <v>343</v>
      </c>
      <c r="X772" s="3" t="s">
        <v>337</v>
      </c>
      <c r="Y772" s="3" t="s">
        <v>337</v>
      </c>
    </row>
    <row r="773" spans="1:25" hidden="1" x14ac:dyDescent="0.2">
      <c r="A773" s="83" t="str">
        <f t="shared" si="12"/>
        <v>新蔡水韵天街木勺</v>
      </c>
      <c r="B773" s="3" t="s">
        <v>703</v>
      </c>
      <c r="C773" s="84">
        <v>44377</v>
      </c>
      <c r="D773" s="3" t="s">
        <v>484</v>
      </c>
      <c r="E773" s="3" t="s">
        <v>337</v>
      </c>
      <c r="F773" s="3" t="s">
        <v>337</v>
      </c>
      <c r="G773" s="70" t="s">
        <v>485</v>
      </c>
      <c r="H773" s="3" t="s">
        <v>486</v>
      </c>
      <c r="I773" s="3" t="s">
        <v>339</v>
      </c>
      <c r="J773" s="3">
        <v>3</v>
      </c>
      <c r="K773" s="3">
        <v>300</v>
      </c>
      <c r="L773" s="3">
        <v>203</v>
      </c>
      <c r="M773" s="3">
        <v>100</v>
      </c>
      <c r="N773" s="3">
        <v>100</v>
      </c>
      <c r="O773" s="70">
        <v>0</v>
      </c>
      <c r="P773" s="3">
        <v>0</v>
      </c>
      <c r="Q773" s="3">
        <v>0</v>
      </c>
      <c r="R773" s="3">
        <v>5.5199999999999999E-2</v>
      </c>
      <c r="S773" s="3">
        <v>0</v>
      </c>
      <c r="T773" s="3">
        <v>5.52</v>
      </c>
      <c r="U773" s="3">
        <v>5.52</v>
      </c>
      <c r="V773" s="70" t="s">
        <v>335</v>
      </c>
      <c r="W773" s="3" t="s">
        <v>343</v>
      </c>
      <c r="X773" s="3" t="s">
        <v>337</v>
      </c>
      <c r="Y773" s="3" t="s">
        <v>337</v>
      </c>
    </row>
    <row r="774" spans="1:25" hidden="1" x14ac:dyDescent="0.2">
      <c r="A774" s="83" t="str">
        <f t="shared" si="12"/>
        <v>郑州盛华里木勺</v>
      </c>
      <c r="B774" s="3" t="s">
        <v>709</v>
      </c>
      <c r="C774" s="84">
        <v>44377</v>
      </c>
      <c r="D774" s="3" t="s">
        <v>484</v>
      </c>
      <c r="E774" s="3" t="s">
        <v>337</v>
      </c>
      <c r="F774" s="3" t="s">
        <v>337</v>
      </c>
      <c r="G774" s="70" t="s">
        <v>485</v>
      </c>
      <c r="H774" s="3" t="s">
        <v>486</v>
      </c>
      <c r="I774" s="3" t="s">
        <v>339</v>
      </c>
      <c r="J774" s="3">
        <v>160</v>
      </c>
      <c r="K774" s="3">
        <v>0</v>
      </c>
      <c r="L774" s="3">
        <v>64</v>
      </c>
      <c r="M774" s="3">
        <v>90</v>
      </c>
      <c r="N774" s="3">
        <v>96</v>
      </c>
      <c r="O774" s="70">
        <v>-6</v>
      </c>
      <c r="P774" s="3">
        <v>0</v>
      </c>
      <c r="Q774" s="3">
        <v>0</v>
      </c>
      <c r="R774" s="3">
        <v>5.5E-2</v>
      </c>
      <c r="S774" s="3">
        <v>-0.33</v>
      </c>
      <c r="T774" s="3">
        <v>4.95</v>
      </c>
      <c r="U774" s="3">
        <v>5.28</v>
      </c>
      <c r="V774" s="70" t="s">
        <v>637</v>
      </c>
      <c r="W774" s="3" t="s">
        <v>343</v>
      </c>
      <c r="X774" s="3" t="s">
        <v>337</v>
      </c>
      <c r="Y774" s="3" t="s">
        <v>337</v>
      </c>
    </row>
    <row r="775" spans="1:25" hidden="1" x14ac:dyDescent="0.2">
      <c r="A775" s="83" t="str">
        <f t="shared" si="12"/>
        <v>滑县滑台木勺</v>
      </c>
      <c r="B775" s="3" t="s">
        <v>710</v>
      </c>
      <c r="C775" s="84">
        <v>44377</v>
      </c>
      <c r="D775" s="3" t="s">
        <v>484</v>
      </c>
      <c r="E775" s="3" t="s">
        <v>337</v>
      </c>
      <c r="F775" s="3" t="s">
        <v>337</v>
      </c>
      <c r="G775" s="70" t="s">
        <v>485</v>
      </c>
      <c r="H775" s="3" t="s">
        <v>486</v>
      </c>
      <c r="I775" s="3" t="s">
        <v>339</v>
      </c>
      <c r="J775" s="3">
        <v>171</v>
      </c>
      <c r="K775" s="3">
        <v>700</v>
      </c>
      <c r="L775" s="3">
        <v>412</v>
      </c>
      <c r="M775" s="3">
        <v>430</v>
      </c>
      <c r="N775" s="3">
        <v>459</v>
      </c>
      <c r="O775" s="70">
        <v>-29</v>
      </c>
      <c r="P775" s="3">
        <v>0</v>
      </c>
      <c r="Q775" s="3">
        <v>0</v>
      </c>
      <c r="R775" s="3">
        <v>5.5023000000000002E-2</v>
      </c>
      <c r="S775" s="3">
        <v>-1.6</v>
      </c>
      <c r="T775" s="3">
        <v>23.66</v>
      </c>
      <c r="U775" s="3">
        <v>25.26</v>
      </c>
      <c r="V775" s="70" t="s">
        <v>639</v>
      </c>
      <c r="W775" s="3" t="s">
        <v>343</v>
      </c>
      <c r="X775" s="3" t="s">
        <v>337</v>
      </c>
      <c r="Y775" s="3" t="s">
        <v>337</v>
      </c>
    </row>
    <row r="776" spans="1:25" hidden="1" x14ac:dyDescent="0.2">
      <c r="A776" s="83" t="str">
        <f t="shared" si="12"/>
        <v>郑州裕华木勺</v>
      </c>
      <c r="B776" s="3" t="s">
        <v>711</v>
      </c>
      <c r="C776" s="84">
        <v>44377</v>
      </c>
      <c r="D776" s="3" t="s">
        <v>484</v>
      </c>
      <c r="E776" s="3" t="s">
        <v>337</v>
      </c>
      <c r="F776" s="3" t="s">
        <v>337</v>
      </c>
      <c r="G776" s="70" t="s">
        <v>485</v>
      </c>
      <c r="H776" s="3" t="s">
        <v>486</v>
      </c>
      <c r="I776" s="3" t="s">
        <v>339</v>
      </c>
      <c r="J776" s="3">
        <v>150</v>
      </c>
      <c r="K776" s="3">
        <v>300</v>
      </c>
      <c r="L776" s="3">
        <v>162</v>
      </c>
      <c r="M776" s="3">
        <v>250</v>
      </c>
      <c r="N776" s="3">
        <v>288</v>
      </c>
      <c r="O776" s="70">
        <v>-38</v>
      </c>
      <c r="P776" s="3">
        <v>0</v>
      </c>
      <c r="Q776" s="3">
        <v>0</v>
      </c>
      <c r="R776" s="3">
        <v>5.5E-2</v>
      </c>
      <c r="S776" s="3">
        <v>-2.09</v>
      </c>
      <c r="T776" s="3">
        <v>13.75</v>
      </c>
      <c r="U776" s="3">
        <v>15.84</v>
      </c>
      <c r="V776" s="70" t="s">
        <v>641</v>
      </c>
      <c r="W776" s="3" t="s">
        <v>343</v>
      </c>
      <c r="X776" s="3" t="s">
        <v>337</v>
      </c>
      <c r="Y776" s="3" t="s">
        <v>337</v>
      </c>
    </row>
    <row r="777" spans="1:25" hidden="1" x14ac:dyDescent="0.2">
      <c r="A777" s="83" t="str">
        <f t="shared" si="12"/>
        <v>方城锦城国际木勺</v>
      </c>
      <c r="B777" s="3" t="s">
        <v>712</v>
      </c>
      <c r="C777" s="84">
        <v>44377</v>
      </c>
      <c r="D777" s="3" t="s">
        <v>484</v>
      </c>
      <c r="E777" s="3" t="s">
        <v>337</v>
      </c>
      <c r="F777" s="3" t="s">
        <v>337</v>
      </c>
      <c r="G777" s="70" t="s">
        <v>485</v>
      </c>
      <c r="H777" s="3" t="s">
        <v>486</v>
      </c>
      <c r="I777" s="3" t="s">
        <v>339</v>
      </c>
      <c r="J777" s="3">
        <v>174</v>
      </c>
      <c r="K777" s="3">
        <v>400</v>
      </c>
      <c r="L777" s="3">
        <v>234</v>
      </c>
      <c r="M777" s="3">
        <v>336</v>
      </c>
      <c r="N777" s="3">
        <v>340</v>
      </c>
      <c r="O777" s="70">
        <v>-4</v>
      </c>
      <c r="P777" s="3">
        <v>0</v>
      </c>
      <c r="Q777" s="3">
        <v>0</v>
      </c>
      <c r="R777" s="3">
        <v>5.4969999999999998E-2</v>
      </c>
      <c r="S777" s="3">
        <v>-0.22</v>
      </c>
      <c r="T777" s="3">
        <v>18.47</v>
      </c>
      <c r="U777" s="3">
        <v>18.690000000000001</v>
      </c>
      <c r="V777" s="70" t="s">
        <v>594</v>
      </c>
      <c r="W777" s="3" t="s">
        <v>343</v>
      </c>
      <c r="X777" s="3" t="s">
        <v>337</v>
      </c>
      <c r="Y777" s="3" t="s">
        <v>337</v>
      </c>
    </row>
    <row r="778" spans="1:25" hidden="1" x14ac:dyDescent="0.2">
      <c r="A778" s="83" t="str">
        <f t="shared" si="12"/>
        <v>清丰凤鸣木勺</v>
      </c>
      <c r="B778" s="3" t="s">
        <v>713</v>
      </c>
      <c r="C778" s="84">
        <v>44377</v>
      </c>
      <c r="D778" s="3" t="s">
        <v>484</v>
      </c>
      <c r="E778" s="3" t="s">
        <v>337</v>
      </c>
      <c r="F778" s="3" t="s">
        <v>337</v>
      </c>
      <c r="G778" s="70" t="s">
        <v>485</v>
      </c>
      <c r="H778" s="3" t="s">
        <v>486</v>
      </c>
      <c r="I778" s="3" t="s">
        <v>339</v>
      </c>
      <c r="J778" s="3">
        <v>65</v>
      </c>
      <c r="K778" s="3">
        <v>500</v>
      </c>
      <c r="L778" s="3">
        <v>195</v>
      </c>
      <c r="M778" s="3">
        <v>365</v>
      </c>
      <c r="N778" s="3">
        <v>370</v>
      </c>
      <c r="O778" s="70">
        <v>-5</v>
      </c>
      <c r="P778" s="3">
        <v>0</v>
      </c>
      <c r="Q778" s="3">
        <v>0</v>
      </c>
      <c r="R778" s="3">
        <v>5.4932000000000002E-2</v>
      </c>
      <c r="S778" s="3">
        <v>-0.27</v>
      </c>
      <c r="T778" s="3">
        <v>20.05</v>
      </c>
      <c r="U778" s="3">
        <v>20.32</v>
      </c>
      <c r="V778" s="70" t="s">
        <v>334</v>
      </c>
      <c r="W778" s="3" t="s">
        <v>343</v>
      </c>
      <c r="X778" s="3" t="s">
        <v>337</v>
      </c>
      <c r="Y778" s="3" t="s">
        <v>337</v>
      </c>
    </row>
    <row r="779" spans="1:25" hidden="1" x14ac:dyDescent="0.2">
      <c r="A779" s="83" t="str">
        <f t="shared" si="12"/>
        <v>清丰凤鸣滤油粉（硅酸类）</v>
      </c>
      <c r="B779" s="3" t="s">
        <v>713</v>
      </c>
      <c r="C779" s="84">
        <v>44377</v>
      </c>
      <c r="D779" s="3" t="s">
        <v>487</v>
      </c>
      <c r="E779" s="3" t="s">
        <v>337</v>
      </c>
      <c r="F779" s="3" t="s">
        <v>337</v>
      </c>
      <c r="G779" s="70" t="s">
        <v>488</v>
      </c>
      <c r="H779" s="3" t="s">
        <v>489</v>
      </c>
      <c r="I779" s="3" t="s">
        <v>89</v>
      </c>
      <c r="J779" s="3">
        <v>3200</v>
      </c>
      <c r="K779" s="3">
        <v>0</v>
      </c>
      <c r="L779" s="3">
        <v>0</v>
      </c>
      <c r="M779" s="3">
        <v>0</v>
      </c>
      <c r="N779" s="3">
        <v>3200</v>
      </c>
      <c r="O779" s="70">
        <v>-3200</v>
      </c>
      <c r="P779" s="3">
        <v>0</v>
      </c>
      <c r="Q779" s="3">
        <v>0</v>
      </c>
      <c r="R779" s="3">
        <v>3.4799999999999998E-2</v>
      </c>
      <c r="S779" s="3">
        <v>-111.36</v>
      </c>
      <c r="T779" s="3">
        <v>0</v>
      </c>
      <c r="U779" s="3">
        <v>111.36</v>
      </c>
      <c r="V779" s="70" t="s">
        <v>334</v>
      </c>
      <c r="W779" s="3" t="s">
        <v>343</v>
      </c>
      <c r="X779" s="3" t="s">
        <v>337</v>
      </c>
      <c r="Y779" s="3" t="s">
        <v>337</v>
      </c>
    </row>
    <row r="780" spans="1:25" hidden="1" x14ac:dyDescent="0.2">
      <c r="A780" s="83" t="str">
        <f t="shared" si="12"/>
        <v>方城锦城国际滤油粉（硅酸类）</v>
      </c>
      <c r="B780" s="3" t="s">
        <v>712</v>
      </c>
      <c r="C780" s="84">
        <v>44377</v>
      </c>
      <c r="D780" s="3" t="s">
        <v>487</v>
      </c>
      <c r="E780" s="3" t="s">
        <v>337</v>
      </c>
      <c r="F780" s="3" t="s">
        <v>337</v>
      </c>
      <c r="G780" s="70" t="s">
        <v>488</v>
      </c>
      <c r="H780" s="3" t="s">
        <v>489</v>
      </c>
      <c r="I780" s="3" t="s">
        <v>89</v>
      </c>
      <c r="J780" s="3">
        <v>5000</v>
      </c>
      <c r="K780" s="3">
        <v>10000</v>
      </c>
      <c r="L780" s="3">
        <v>0</v>
      </c>
      <c r="M780" s="3">
        <v>10000</v>
      </c>
      <c r="N780" s="3">
        <v>15000</v>
      </c>
      <c r="O780" s="70">
        <v>-5000</v>
      </c>
      <c r="P780" s="3">
        <v>0</v>
      </c>
      <c r="Q780" s="3">
        <v>0</v>
      </c>
      <c r="R780" s="3">
        <v>3.4799999999999998E-2</v>
      </c>
      <c r="S780" s="3">
        <v>-174</v>
      </c>
      <c r="T780" s="3">
        <v>348</v>
      </c>
      <c r="U780" s="3">
        <v>522</v>
      </c>
      <c r="V780" s="70" t="s">
        <v>594</v>
      </c>
      <c r="W780" s="3" t="s">
        <v>343</v>
      </c>
      <c r="X780" s="3" t="s">
        <v>337</v>
      </c>
      <c r="Y780" s="3" t="s">
        <v>337</v>
      </c>
    </row>
    <row r="781" spans="1:25" hidden="1" x14ac:dyDescent="0.2">
      <c r="A781" s="83" t="str">
        <f t="shared" si="12"/>
        <v>滑县滑台滤油粉（硅酸类）</v>
      </c>
      <c r="B781" s="3" t="s">
        <v>710</v>
      </c>
      <c r="C781" s="84">
        <v>44377</v>
      </c>
      <c r="D781" s="3" t="s">
        <v>487</v>
      </c>
      <c r="E781" s="3" t="s">
        <v>337</v>
      </c>
      <c r="F781" s="3" t="s">
        <v>337</v>
      </c>
      <c r="G781" s="70" t="s">
        <v>488</v>
      </c>
      <c r="H781" s="3" t="s">
        <v>489</v>
      </c>
      <c r="I781" s="3" t="s">
        <v>89</v>
      </c>
      <c r="J781" s="3">
        <v>0</v>
      </c>
      <c r="K781" s="3">
        <v>10000</v>
      </c>
      <c r="L781" s="3">
        <v>0</v>
      </c>
      <c r="M781" s="3">
        <v>8800</v>
      </c>
      <c r="N781" s="3">
        <v>10000</v>
      </c>
      <c r="O781" s="70">
        <v>-1200</v>
      </c>
      <c r="P781" s="3">
        <v>0</v>
      </c>
      <c r="Q781" s="3">
        <v>0</v>
      </c>
      <c r="R781" s="3">
        <v>3.4799999999999998E-2</v>
      </c>
      <c r="S781" s="3">
        <v>-41.76</v>
      </c>
      <c r="T781" s="3">
        <v>306.24</v>
      </c>
      <c r="U781" s="3">
        <v>348</v>
      </c>
      <c r="V781" s="70" t="s">
        <v>639</v>
      </c>
      <c r="W781" s="3" t="s">
        <v>343</v>
      </c>
      <c r="X781" s="3" t="s">
        <v>337</v>
      </c>
      <c r="Y781" s="3" t="s">
        <v>337</v>
      </c>
    </row>
    <row r="782" spans="1:25" hidden="1" x14ac:dyDescent="0.2">
      <c r="A782" s="83" t="str">
        <f t="shared" si="12"/>
        <v>郑州盛华里滤油粉（硅酸类）</v>
      </c>
      <c r="B782" s="3" t="s">
        <v>709</v>
      </c>
      <c r="C782" s="84">
        <v>44377</v>
      </c>
      <c r="D782" s="3" t="s">
        <v>487</v>
      </c>
      <c r="E782" s="3" t="s">
        <v>337</v>
      </c>
      <c r="F782" s="3" t="s">
        <v>337</v>
      </c>
      <c r="G782" s="70" t="s">
        <v>488</v>
      </c>
      <c r="H782" s="3" t="s">
        <v>489</v>
      </c>
      <c r="I782" s="3" t="s">
        <v>89</v>
      </c>
      <c r="J782" s="3">
        <v>0</v>
      </c>
      <c r="K782" s="3">
        <v>10000</v>
      </c>
      <c r="L782" s="3">
        <v>0</v>
      </c>
      <c r="M782" s="3">
        <v>9000</v>
      </c>
      <c r="N782" s="3">
        <v>10000</v>
      </c>
      <c r="O782" s="70">
        <v>-1000</v>
      </c>
      <c r="P782" s="3">
        <v>0</v>
      </c>
      <c r="Q782" s="3">
        <v>0</v>
      </c>
      <c r="R782" s="3">
        <v>3.4799999999999998E-2</v>
      </c>
      <c r="S782" s="3">
        <v>-34.799999999999997</v>
      </c>
      <c r="T782" s="3">
        <v>313.2</v>
      </c>
      <c r="U782" s="3">
        <v>348</v>
      </c>
      <c r="V782" s="70" t="s">
        <v>637</v>
      </c>
      <c r="W782" s="3" t="s">
        <v>343</v>
      </c>
      <c r="X782" s="3" t="s">
        <v>337</v>
      </c>
      <c r="Y782" s="3" t="s">
        <v>337</v>
      </c>
    </row>
    <row r="783" spans="1:25" hidden="1" x14ac:dyDescent="0.2">
      <c r="A783" s="83" t="str">
        <f t="shared" si="12"/>
        <v>新蔡水韵天街滤油粉（硅酸类）</v>
      </c>
      <c r="B783" s="3" t="s">
        <v>703</v>
      </c>
      <c r="C783" s="84">
        <v>44377</v>
      </c>
      <c r="D783" s="3" t="s">
        <v>487</v>
      </c>
      <c r="E783" s="3" t="s">
        <v>337</v>
      </c>
      <c r="F783" s="3" t="s">
        <v>337</v>
      </c>
      <c r="G783" s="70" t="s">
        <v>488</v>
      </c>
      <c r="H783" s="3" t="s">
        <v>489</v>
      </c>
      <c r="I783" s="3" t="s">
        <v>89</v>
      </c>
      <c r="J783" s="3">
        <v>11000</v>
      </c>
      <c r="K783" s="3">
        <v>0</v>
      </c>
      <c r="L783" s="3">
        <v>0</v>
      </c>
      <c r="M783" s="3">
        <v>7500</v>
      </c>
      <c r="N783" s="3">
        <v>11000</v>
      </c>
      <c r="O783" s="70">
        <v>-3500</v>
      </c>
      <c r="P783" s="3">
        <v>0</v>
      </c>
      <c r="Q783" s="3">
        <v>0</v>
      </c>
      <c r="R783" s="3">
        <v>3.4799999999999998E-2</v>
      </c>
      <c r="S783" s="3">
        <v>-121.8</v>
      </c>
      <c r="T783" s="3">
        <v>261</v>
      </c>
      <c r="U783" s="3">
        <v>382.8</v>
      </c>
      <c r="V783" s="70" t="s">
        <v>335</v>
      </c>
      <c r="W783" s="3" t="s">
        <v>343</v>
      </c>
      <c r="X783" s="3" t="s">
        <v>337</v>
      </c>
      <c r="Y783" s="3" t="s">
        <v>337</v>
      </c>
    </row>
    <row r="784" spans="1:25" hidden="1" x14ac:dyDescent="0.2">
      <c r="A784" s="83" t="str">
        <f t="shared" si="12"/>
        <v>新蔡水韵天街无纺布滤纸</v>
      </c>
      <c r="B784" s="3" t="s">
        <v>703</v>
      </c>
      <c r="C784" s="84">
        <v>44377</v>
      </c>
      <c r="D784" s="3" t="s">
        <v>490</v>
      </c>
      <c r="E784" s="3" t="s">
        <v>337</v>
      </c>
      <c r="F784" s="3" t="s">
        <v>337</v>
      </c>
      <c r="G784" s="70" t="s">
        <v>491</v>
      </c>
      <c r="H784" s="3" t="s">
        <v>492</v>
      </c>
      <c r="I784" s="3" t="s">
        <v>113</v>
      </c>
      <c r="J784" s="3">
        <v>33</v>
      </c>
      <c r="K784" s="3">
        <v>0</v>
      </c>
      <c r="L784" s="3">
        <v>0</v>
      </c>
      <c r="M784" s="3">
        <v>3</v>
      </c>
      <c r="N784" s="3">
        <v>33</v>
      </c>
      <c r="O784" s="70">
        <v>-30</v>
      </c>
      <c r="P784" s="3">
        <v>0</v>
      </c>
      <c r="Q784" s="3">
        <v>0</v>
      </c>
      <c r="R784" s="3">
        <v>1.1599999999999999</v>
      </c>
      <c r="S784" s="3">
        <v>-34.799999999999997</v>
      </c>
      <c r="T784" s="3">
        <v>3.48</v>
      </c>
      <c r="U784" s="3">
        <v>38.28</v>
      </c>
      <c r="V784" s="70" t="s">
        <v>335</v>
      </c>
      <c r="W784" s="3" t="s">
        <v>343</v>
      </c>
      <c r="X784" s="3" t="s">
        <v>337</v>
      </c>
      <c r="Y784" s="3" t="s">
        <v>337</v>
      </c>
    </row>
    <row r="785" spans="1:25" hidden="1" x14ac:dyDescent="0.2">
      <c r="A785" s="83" t="str">
        <f t="shared" si="12"/>
        <v>方城锦城国际无纺布滤纸</v>
      </c>
      <c r="B785" s="3" t="s">
        <v>712</v>
      </c>
      <c r="C785" s="84">
        <v>44377</v>
      </c>
      <c r="D785" s="3" t="s">
        <v>490</v>
      </c>
      <c r="E785" s="3" t="s">
        <v>337</v>
      </c>
      <c r="F785" s="3" t="s">
        <v>337</v>
      </c>
      <c r="G785" s="70" t="s">
        <v>491</v>
      </c>
      <c r="H785" s="3" t="s">
        <v>492</v>
      </c>
      <c r="I785" s="3" t="s">
        <v>113</v>
      </c>
      <c r="J785" s="3">
        <v>100</v>
      </c>
      <c r="K785" s="3">
        <v>100</v>
      </c>
      <c r="L785" s="3">
        <v>0</v>
      </c>
      <c r="M785" s="3">
        <v>183</v>
      </c>
      <c r="N785" s="3">
        <v>200</v>
      </c>
      <c r="O785" s="70">
        <v>-17</v>
      </c>
      <c r="P785" s="3">
        <v>0</v>
      </c>
      <c r="Q785" s="3">
        <v>0</v>
      </c>
      <c r="R785" s="3">
        <v>1.1599999999999999</v>
      </c>
      <c r="S785" s="3">
        <v>-19.72</v>
      </c>
      <c r="T785" s="3">
        <v>212.28</v>
      </c>
      <c r="U785" s="3">
        <v>232</v>
      </c>
      <c r="V785" s="70" t="s">
        <v>594</v>
      </c>
      <c r="W785" s="3" t="s">
        <v>343</v>
      </c>
      <c r="X785" s="3" t="s">
        <v>337</v>
      </c>
      <c r="Y785" s="3" t="s">
        <v>337</v>
      </c>
    </row>
    <row r="786" spans="1:25" hidden="1" x14ac:dyDescent="0.2">
      <c r="A786" s="83" t="str">
        <f t="shared" si="12"/>
        <v>清丰凤鸣无纺布滤纸</v>
      </c>
      <c r="B786" s="3" t="s">
        <v>713</v>
      </c>
      <c r="C786" s="84">
        <v>44377</v>
      </c>
      <c r="D786" s="3" t="s">
        <v>490</v>
      </c>
      <c r="E786" s="3" t="s">
        <v>337</v>
      </c>
      <c r="F786" s="3" t="s">
        <v>337</v>
      </c>
      <c r="G786" s="70" t="s">
        <v>491</v>
      </c>
      <c r="H786" s="3" t="s">
        <v>492</v>
      </c>
      <c r="I786" s="3" t="s">
        <v>113</v>
      </c>
      <c r="J786" s="3">
        <v>20</v>
      </c>
      <c r="K786" s="3">
        <v>0</v>
      </c>
      <c r="L786" s="3">
        <v>0</v>
      </c>
      <c r="M786" s="3">
        <v>6</v>
      </c>
      <c r="N786" s="3">
        <v>20</v>
      </c>
      <c r="O786" s="70">
        <v>-14</v>
      </c>
      <c r="P786" s="3">
        <v>0</v>
      </c>
      <c r="Q786" s="3">
        <v>0</v>
      </c>
      <c r="R786" s="3">
        <v>1.1599999999999999</v>
      </c>
      <c r="S786" s="3">
        <v>-16.239999999999998</v>
      </c>
      <c r="T786" s="3">
        <v>6.96</v>
      </c>
      <c r="U786" s="3">
        <v>23.2</v>
      </c>
      <c r="V786" s="70" t="s">
        <v>334</v>
      </c>
      <c r="W786" s="3" t="s">
        <v>343</v>
      </c>
      <c r="X786" s="3" t="s">
        <v>337</v>
      </c>
      <c r="Y786" s="3" t="s">
        <v>337</v>
      </c>
    </row>
    <row r="787" spans="1:25" hidden="1" x14ac:dyDescent="0.2">
      <c r="A787" s="83" t="str">
        <f t="shared" si="12"/>
        <v>清丰凤鸣700PP杯（樱花版）</v>
      </c>
      <c r="B787" s="3" t="s">
        <v>713</v>
      </c>
      <c r="C787" s="84">
        <v>44377</v>
      </c>
      <c r="D787" s="3" t="s">
        <v>493</v>
      </c>
      <c r="E787" s="3" t="s">
        <v>337</v>
      </c>
      <c r="F787" s="3" t="s">
        <v>337</v>
      </c>
      <c r="G787" s="70" t="s">
        <v>494</v>
      </c>
      <c r="H787" s="3" t="s">
        <v>495</v>
      </c>
      <c r="I787" s="3" t="s">
        <v>339</v>
      </c>
      <c r="J787" s="3">
        <v>31</v>
      </c>
      <c r="K787" s="3">
        <v>0</v>
      </c>
      <c r="L787" s="3">
        <v>0</v>
      </c>
      <c r="M787" s="3">
        <v>0</v>
      </c>
      <c r="N787" s="3">
        <v>31</v>
      </c>
      <c r="O787" s="70">
        <v>-31</v>
      </c>
      <c r="P787" s="3">
        <v>0</v>
      </c>
      <c r="Q787" s="3">
        <v>0</v>
      </c>
      <c r="R787" s="3">
        <v>0.23580599999999999</v>
      </c>
      <c r="S787" s="3">
        <v>-7.31</v>
      </c>
      <c r="T787" s="3">
        <v>0</v>
      </c>
      <c r="U787" s="3">
        <v>7.31</v>
      </c>
      <c r="V787" s="70" t="s">
        <v>334</v>
      </c>
      <c r="W787" s="3" t="s">
        <v>343</v>
      </c>
      <c r="X787" s="3" t="s">
        <v>337</v>
      </c>
      <c r="Y787" s="3" t="s">
        <v>337</v>
      </c>
    </row>
    <row r="788" spans="1:25" hidden="1" x14ac:dyDescent="0.2">
      <c r="A788" s="83" t="str">
        <f t="shared" si="12"/>
        <v>新蔡水韵天街700PP杯（樱花版）</v>
      </c>
      <c r="B788" s="3" t="s">
        <v>703</v>
      </c>
      <c r="C788" s="84">
        <v>44377</v>
      </c>
      <c r="D788" s="3" t="s">
        <v>493</v>
      </c>
      <c r="E788" s="3" t="s">
        <v>337</v>
      </c>
      <c r="F788" s="3" t="s">
        <v>337</v>
      </c>
      <c r="G788" s="70" t="s">
        <v>494</v>
      </c>
      <c r="H788" s="3" t="s">
        <v>495</v>
      </c>
      <c r="I788" s="3" t="s">
        <v>339</v>
      </c>
      <c r="J788" s="3">
        <v>0</v>
      </c>
      <c r="K788" s="3">
        <v>0</v>
      </c>
      <c r="L788" s="3">
        <v>5</v>
      </c>
      <c r="M788" s="3">
        <v>0</v>
      </c>
      <c r="N788" s="3">
        <v>-5</v>
      </c>
      <c r="O788" s="70">
        <v>5</v>
      </c>
      <c r="P788" s="3">
        <v>0</v>
      </c>
      <c r="Q788" s="3">
        <v>0</v>
      </c>
      <c r="R788" s="3">
        <v>0.23553299999999999</v>
      </c>
      <c r="S788" s="3">
        <v>1.18</v>
      </c>
      <c r="T788" s="3">
        <v>0</v>
      </c>
      <c r="U788" s="3">
        <v>-1.18</v>
      </c>
      <c r="V788" s="70" t="s">
        <v>335</v>
      </c>
      <c r="W788" s="3" t="s">
        <v>343</v>
      </c>
      <c r="X788" s="3" t="s">
        <v>337</v>
      </c>
      <c r="Y788" s="3" t="s">
        <v>337</v>
      </c>
    </row>
    <row r="789" spans="1:25" hidden="1" x14ac:dyDescent="0.2">
      <c r="A789" s="83" t="str">
        <f t="shared" si="12"/>
        <v>新蔡水韵天街樱花风味沙拉酱</v>
      </c>
      <c r="B789" s="3" t="s">
        <v>703</v>
      </c>
      <c r="C789" s="84">
        <v>44377</v>
      </c>
      <c r="D789" s="3" t="s">
        <v>496</v>
      </c>
      <c r="E789" s="3" t="s">
        <v>337</v>
      </c>
      <c r="F789" s="3" t="s">
        <v>337</v>
      </c>
      <c r="G789" s="70" t="s">
        <v>497</v>
      </c>
      <c r="H789" s="3" t="s">
        <v>498</v>
      </c>
      <c r="I789" s="3" t="s">
        <v>105</v>
      </c>
      <c r="J789" s="3">
        <v>0</v>
      </c>
      <c r="K789" s="3">
        <v>0</v>
      </c>
      <c r="L789" s="3">
        <v>13</v>
      </c>
      <c r="M789" s="3">
        <v>0</v>
      </c>
      <c r="N789" s="3">
        <v>-13</v>
      </c>
      <c r="O789" s="70">
        <v>13</v>
      </c>
      <c r="P789" s="3">
        <v>0</v>
      </c>
      <c r="Q789" s="3">
        <v>0</v>
      </c>
      <c r="R789" s="3">
        <v>0.14799999999999999</v>
      </c>
      <c r="S789" s="3">
        <v>1.92</v>
      </c>
      <c r="T789" s="3">
        <v>0</v>
      </c>
      <c r="U789" s="3">
        <v>-1.92</v>
      </c>
      <c r="V789" s="70" t="s">
        <v>335</v>
      </c>
      <c r="W789" s="3" t="s">
        <v>343</v>
      </c>
      <c r="X789" s="3" t="s">
        <v>337</v>
      </c>
      <c r="Y789" s="3" t="s">
        <v>337</v>
      </c>
    </row>
    <row r="790" spans="1:25" hidden="1" x14ac:dyDescent="0.2">
      <c r="A790" s="83" t="str">
        <f t="shared" si="12"/>
        <v>郑州康复中街樱花风味沙拉酱</v>
      </c>
      <c r="B790" s="3" t="s">
        <v>704</v>
      </c>
      <c r="C790" s="84">
        <v>44377</v>
      </c>
      <c r="D790" s="3" t="s">
        <v>496</v>
      </c>
      <c r="E790" s="3" t="s">
        <v>337</v>
      </c>
      <c r="F790" s="3" t="s">
        <v>337</v>
      </c>
      <c r="G790" s="70" t="s">
        <v>497</v>
      </c>
      <c r="H790" s="3" t="s">
        <v>498</v>
      </c>
      <c r="I790" s="3" t="s">
        <v>105</v>
      </c>
      <c r="J790" s="3">
        <v>0</v>
      </c>
      <c r="K790" s="3">
        <v>0</v>
      </c>
      <c r="L790" s="3">
        <v>7</v>
      </c>
      <c r="M790" s="3">
        <v>0</v>
      </c>
      <c r="N790" s="3">
        <v>-7</v>
      </c>
      <c r="O790" s="70">
        <v>7</v>
      </c>
      <c r="P790" s="3">
        <v>0</v>
      </c>
      <c r="Q790" s="3">
        <v>0</v>
      </c>
      <c r="R790" s="3">
        <v>0.14799999999999999</v>
      </c>
      <c r="S790" s="3">
        <v>1.04</v>
      </c>
      <c r="T790" s="3">
        <v>0</v>
      </c>
      <c r="U790" s="3">
        <v>-1.04</v>
      </c>
      <c r="V790" s="70" t="s">
        <v>593</v>
      </c>
      <c r="W790" s="3" t="s">
        <v>343</v>
      </c>
      <c r="X790" s="3" t="s">
        <v>337</v>
      </c>
      <c r="Y790" s="3" t="s">
        <v>337</v>
      </c>
    </row>
    <row r="791" spans="1:25" hidden="1" x14ac:dyDescent="0.2">
      <c r="A791" s="83" t="str">
        <f t="shared" si="12"/>
        <v>郑州西悦城樱花风味沙拉酱</v>
      </c>
      <c r="B791" s="3" t="s">
        <v>708</v>
      </c>
      <c r="C791" s="84">
        <v>44377</v>
      </c>
      <c r="D791" s="3" t="s">
        <v>496</v>
      </c>
      <c r="E791" s="3" t="s">
        <v>337</v>
      </c>
      <c r="F791" s="3" t="s">
        <v>337</v>
      </c>
      <c r="G791" s="70" t="s">
        <v>497</v>
      </c>
      <c r="H791" s="3" t="s">
        <v>498</v>
      </c>
      <c r="I791" s="3" t="s">
        <v>105</v>
      </c>
      <c r="J791" s="3">
        <v>180</v>
      </c>
      <c r="K791" s="3">
        <v>0</v>
      </c>
      <c r="L791" s="3">
        <v>87</v>
      </c>
      <c r="M791" s="3">
        <v>90</v>
      </c>
      <c r="N791" s="3">
        <v>93</v>
      </c>
      <c r="O791" s="70">
        <v>-3</v>
      </c>
      <c r="P791" s="3">
        <v>0</v>
      </c>
      <c r="Q791" s="3">
        <v>0</v>
      </c>
      <c r="R791" s="3">
        <v>0.14788899999999999</v>
      </c>
      <c r="S791" s="3">
        <v>-0.44</v>
      </c>
      <c r="T791" s="3">
        <v>13.31</v>
      </c>
      <c r="U791" s="3">
        <v>13.75</v>
      </c>
      <c r="V791" s="70" t="s">
        <v>332</v>
      </c>
      <c r="W791" s="3" t="s">
        <v>343</v>
      </c>
      <c r="X791" s="3" t="s">
        <v>337</v>
      </c>
      <c r="Y791" s="3" t="s">
        <v>337</v>
      </c>
    </row>
    <row r="792" spans="1:25" hidden="1" x14ac:dyDescent="0.2">
      <c r="A792" s="83" t="str">
        <f t="shared" si="12"/>
        <v>郑州瀚海海尚樱花风味沙拉酱</v>
      </c>
      <c r="B792" s="3" t="s">
        <v>706</v>
      </c>
      <c r="C792" s="84">
        <v>44377</v>
      </c>
      <c r="D792" s="3" t="s">
        <v>496</v>
      </c>
      <c r="E792" s="3" t="s">
        <v>337</v>
      </c>
      <c r="F792" s="3" t="s">
        <v>337</v>
      </c>
      <c r="G792" s="70" t="s">
        <v>497</v>
      </c>
      <c r="H792" s="3" t="s">
        <v>498</v>
      </c>
      <c r="I792" s="3" t="s">
        <v>105</v>
      </c>
      <c r="J792" s="3">
        <v>231</v>
      </c>
      <c r="K792" s="3">
        <v>0</v>
      </c>
      <c r="L792" s="3">
        <v>191</v>
      </c>
      <c r="M792" s="3">
        <v>47</v>
      </c>
      <c r="N792" s="3">
        <v>40</v>
      </c>
      <c r="O792" s="70">
        <v>7</v>
      </c>
      <c r="P792" s="3">
        <v>0</v>
      </c>
      <c r="Q792" s="3">
        <v>0</v>
      </c>
      <c r="R792" s="3">
        <v>0.14808499999999999</v>
      </c>
      <c r="S792" s="3">
        <v>1.04</v>
      </c>
      <c r="T792" s="3">
        <v>6.96</v>
      </c>
      <c r="U792" s="3">
        <v>5.92</v>
      </c>
      <c r="V792" s="70" t="s">
        <v>333</v>
      </c>
      <c r="W792" s="3" t="s">
        <v>343</v>
      </c>
      <c r="X792" s="3" t="s">
        <v>337</v>
      </c>
      <c r="Y792" s="3" t="s">
        <v>337</v>
      </c>
    </row>
    <row r="793" spans="1:25" hidden="1" x14ac:dyDescent="0.2">
      <c r="A793" s="83" t="str">
        <f t="shared" si="12"/>
        <v>清丰凤鸣樱花风味沙拉酱</v>
      </c>
      <c r="B793" s="3" t="s">
        <v>713</v>
      </c>
      <c r="C793" s="84">
        <v>44377</v>
      </c>
      <c r="D793" s="3" t="s">
        <v>496</v>
      </c>
      <c r="E793" s="3" t="s">
        <v>337</v>
      </c>
      <c r="F793" s="3" t="s">
        <v>337</v>
      </c>
      <c r="G793" s="70" t="s">
        <v>497</v>
      </c>
      <c r="H793" s="3" t="s">
        <v>498</v>
      </c>
      <c r="I793" s="3" t="s">
        <v>105</v>
      </c>
      <c r="J793" s="3">
        <v>219</v>
      </c>
      <c r="K793" s="3">
        <v>0</v>
      </c>
      <c r="L793" s="3">
        <v>82</v>
      </c>
      <c r="M793" s="3">
        <v>130</v>
      </c>
      <c r="N793" s="3">
        <v>137</v>
      </c>
      <c r="O793" s="70">
        <v>-7</v>
      </c>
      <c r="P793" s="3">
        <v>0</v>
      </c>
      <c r="Q793" s="3">
        <v>0</v>
      </c>
      <c r="R793" s="3">
        <v>0.147923</v>
      </c>
      <c r="S793" s="3">
        <v>-1.04</v>
      </c>
      <c r="T793" s="3">
        <v>19.23</v>
      </c>
      <c r="U793" s="3">
        <v>20.27</v>
      </c>
      <c r="V793" s="70" t="s">
        <v>334</v>
      </c>
      <c r="W793" s="3" t="s">
        <v>343</v>
      </c>
      <c r="X793" s="3" t="s">
        <v>337</v>
      </c>
      <c r="Y793" s="3" t="s">
        <v>337</v>
      </c>
    </row>
    <row r="794" spans="1:25" hidden="1" x14ac:dyDescent="0.2">
      <c r="A794" s="83" t="str">
        <f t="shared" si="12"/>
        <v>方城锦城国际樱花风味沙拉酱</v>
      </c>
      <c r="B794" s="3" t="s">
        <v>712</v>
      </c>
      <c r="C794" s="84">
        <v>44377</v>
      </c>
      <c r="D794" s="3" t="s">
        <v>496</v>
      </c>
      <c r="E794" s="3" t="s">
        <v>337</v>
      </c>
      <c r="F794" s="3" t="s">
        <v>337</v>
      </c>
      <c r="G794" s="70" t="s">
        <v>497</v>
      </c>
      <c r="H794" s="3" t="s">
        <v>498</v>
      </c>
      <c r="I794" s="3" t="s">
        <v>105</v>
      </c>
      <c r="J794" s="3">
        <v>0</v>
      </c>
      <c r="K794" s="3">
        <v>0</v>
      </c>
      <c r="L794" s="3">
        <v>63</v>
      </c>
      <c r="M794" s="3">
        <v>0</v>
      </c>
      <c r="N794" s="3">
        <v>-63</v>
      </c>
      <c r="O794" s="70">
        <v>63</v>
      </c>
      <c r="P794" s="3">
        <v>0</v>
      </c>
      <c r="Q794" s="3">
        <v>0</v>
      </c>
      <c r="R794" s="3">
        <v>0.14799999999999999</v>
      </c>
      <c r="S794" s="3">
        <v>9.32</v>
      </c>
      <c r="T794" s="3">
        <v>0</v>
      </c>
      <c r="U794" s="3">
        <v>-9.32</v>
      </c>
      <c r="V794" s="70" t="s">
        <v>594</v>
      </c>
      <c r="W794" s="3" t="s">
        <v>343</v>
      </c>
      <c r="X794" s="3" t="s">
        <v>337</v>
      </c>
      <c r="Y794" s="3" t="s">
        <v>337</v>
      </c>
    </row>
    <row r="795" spans="1:25" hidden="1" x14ac:dyDescent="0.2">
      <c r="A795" s="83" t="str">
        <f t="shared" si="12"/>
        <v>郑州裕华樱花风味沙拉酱</v>
      </c>
      <c r="B795" s="3" t="s">
        <v>711</v>
      </c>
      <c r="C795" s="84">
        <v>44377</v>
      </c>
      <c r="D795" s="3" t="s">
        <v>496</v>
      </c>
      <c r="E795" s="3" t="s">
        <v>337</v>
      </c>
      <c r="F795" s="3" t="s">
        <v>337</v>
      </c>
      <c r="G795" s="70" t="s">
        <v>497</v>
      </c>
      <c r="H795" s="3" t="s">
        <v>498</v>
      </c>
      <c r="I795" s="3" t="s">
        <v>105</v>
      </c>
      <c r="J795" s="3">
        <v>0</v>
      </c>
      <c r="K795" s="3">
        <v>0</v>
      </c>
      <c r="L795" s="3">
        <v>6</v>
      </c>
      <c r="M795" s="3">
        <v>0</v>
      </c>
      <c r="N795" s="3">
        <v>-6</v>
      </c>
      <c r="O795" s="70">
        <v>6</v>
      </c>
      <c r="P795" s="3">
        <v>0</v>
      </c>
      <c r="Q795" s="3">
        <v>0</v>
      </c>
      <c r="R795" s="3">
        <v>0.14799999999999999</v>
      </c>
      <c r="S795" s="3">
        <v>0.89</v>
      </c>
      <c r="T795" s="3">
        <v>0</v>
      </c>
      <c r="U795" s="3">
        <v>-0.89</v>
      </c>
      <c r="V795" s="70" t="s">
        <v>641</v>
      </c>
      <c r="W795" s="3" t="s">
        <v>343</v>
      </c>
      <c r="X795" s="3" t="s">
        <v>337</v>
      </c>
      <c r="Y795" s="3" t="s">
        <v>337</v>
      </c>
    </row>
    <row r="796" spans="1:25" hidden="1" x14ac:dyDescent="0.2">
      <c r="A796" s="83" t="str">
        <f t="shared" si="12"/>
        <v>郑州盛华里樱花风味沙拉酱</v>
      </c>
      <c r="B796" s="3" t="s">
        <v>709</v>
      </c>
      <c r="C796" s="84">
        <v>44377</v>
      </c>
      <c r="D796" s="3" t="s">
        <v>496</v>
      </c>
      <c r="E796" s="3" t="s">
        <v>337</v>
      </c>
      <c r="F796" s="3" t="s">
        <v>337</v>
      </c>
      <c r="G796" s="70" t="s">
        <v>497</v>
      </c>
      <c r="H796" s="3" t="s">
        <v>498</v>
      </c>
      <c r="I796" s="3" t="s">
        <v>105</v>
      </c>
      <c r="J796" s="3">
        <v>0</v>
      </c>
      <c r="K796" s="3">
        <v>0</v>
      </c>
      <c r="L796" s="3">
        <v>3</v>
      </c>
      <c r="M796" s="3">
        <v>0</v>
      </c>
      <c r="N796" s="3">
        <v>-3</v>
      </c>
      <c r="O796" s="70">
        <v>3</v>
      </c>
      <c r="P796" s="3">
        <v>0</v>
      </c>
      <c r="Q796" s="3">
        <v>0</v>
      </c>
      <c r="R796" s="3">
        <v>0.14799999999999999</v>
      </c>
      <c r="S796" s="3">
        <v>0.44</v>
      </c>
      <c r="T796" s="3">
        <v>0</v>
      </c>
      <c r="U796" s="3">
        <v>-0.44</v>
      </c>
      <c r="V796" s="70" t="s">
        <v>637</v>
      </c>
      <c r="W796" s="3" t="s">
        <v>343</v>
      </c>
      <c r="X796" s="3" t="s">
        <v>337</v>
      </c>
      <c r="Y796" s="3" t="s">
        <v>337</v>
      </c>
    </row>
    <row r="797" spans="1:25" hidden="1" x14ac:dyDescent="0.2">
      <c r="A797" s="83" t="str">
        <f t="shared" si="12"/>
        <v>滑县滑台樱花风味沙拉酱</v>
      </c>
      <c r="B797" s="3" t="s">
        <v>710</v>
      </c>
      <c r="C797" s="84">
        <v>44377</v>
      </c>
      <c r="D797" s="3" t="s">
        <v>496</v>
      </c>
      <c r="E797" s="3" t="s">
        <v>337</v>
      </c>
      <c r="F797" s="3" t="s">
        <v>337</v>
      </c>
      <c r="G797" s="70" t="s">
        <v>497</v>
      </c>
      <c r="H797" s="3" t="s">
        <v>498</v>
      </c>
      <c r="I797" s="3" t="s">
        <v>105</v>
      </c>
      <c r="J797" s="3">
        <v>0</v>
      </c>
      <c r="K797" s="3">
        <v>0</v>
      </c>
      <c r="L797" s="3">
        <v>3</v>
      </c>
      <c r="M797" s="3">
        <v>0</v>
      </c>
      <c r="N797" s="3">
        <v>-3</v>
      </c>
      <c r="O797" s="70">
        <v>3</v>
      </c>
      <c r="P797" s="3">
        <v>0</v>
      </c>
      <c r="Q797" s="3">
        <v>0</v>
      </c>
      <c r="R797" s="3">
        <v>0.14799999999999999</v>
      </c>
      <c r="S797" s="3">
        <v>0.44</v>
      </c>
      <c r="T797" s="3">
        <v>0</v>
      </c>
      <c r="U797" s="3">
        <v>-0.44</v>
      </c>
      <c r="V797" s="70" t="s">
        <v>639</v>
      </c>
      <c r="W797" s="3" t="s">
        <v>343</v>
      </c>
      <c r="X797" s="3" t="s">
        <v>337</v>
      </c>
      <c r="Y797" s="3" t="s">
        <v>337</v>
      </c>
    </row>
    <row r="798" spans="1:25" hidden="1" x14ac:dyDescent="0.2">
      <c r="A798" s="83" t="str">
        <f t="shared" si="12"/>
        <v>郑州政六街樱花风味沙拉酱</v>
      </c>
      <c r="B798" s="3" t="s">
        <v>714</v>
      </c>
      <c r="C798" s="84">
        <v>44377</v>
      </c>
      <c r="D798" s="3" t="s">
        <v>496</v>
      </c>
      <c r="E798" s="3" t="s">
        <v>337</v>
      </c>
      <c r="F798" s="3" t="s">
        <v>337</v>
      </c>
      <c r="G798" s="70" t="s">
        <v>497</v>
      </c>
      <c r="H798" s="3" t="s">
        <v>498</v>
      </c>
      <c r="I798" s="3" t="s">
        <v>105</v>
      </c>
      <c r="J798" s="3">
        <v>0</v>
      </c>
      <c r="K798" s="3">
        <v>0</v>
      </c>
      <c r="L798" s="3">
        <v>5</v>
      </c>
      <c r="M798" s="3">
        <v>0</v>
      </c>
      <c r="N798" s="3">
        <v>-5</v>
      </c>
      <c r="O798" s="70">
        <v>5</v>
      </c>
      <c r="P798" s="3">
        <v>0</v>
      </c>
      <c r="Q798" s="3">
        <v>0</v>
      </c>
      <c r="R798" s="3">
        <v>0.14799999999999999</v>
      </c>
      <c r="S798" s="3">
        <v>0.74</v>
      </c>
      <c r="T798" s="3">
        <v>0</v>
      </c>
      <c r="U798" s="3">
        <v>-0.74</v>
      </c>
      <c r="V798" s="70" t="s">
        <v>591</v>
      </c>
      <c r="W798" s="3" t="s">
        <v>343</v>
      </c>
      <c r="X798" s="3" t="s">
        <v>337</v>
      </c>
      <c r="Y798" s="3" t="s">
        <v>337</v>
      </c>
    </row>
    <row r="799" spans="1:25" hidden="1" x14ac:dyDescent="0.2">
      <c r="A799" s="83" t="str">
        <f t="shared" si="12"/>
        <v>清丰凤鸣美年达粉红树莓味饮料</v>
      </c>
      <c r="B799" s="3" t="s">
        <v>713</v>
      </c>
      <c r="C799" s="84">
        <v>44377</v>
      </c>
      <c r="D799" s="3" t="s">
        <v>499</v>
      </c>
      <c r="E799" s="3" t="s">
        <v>337</v>
      </c>
      <c r="F799" s="3" t="s">
        <v>337</v>
      </c>
      <c r="G799" s="70" t="s">
        <v>500</v>
      </c>
      <c r="H799" s="3" t="s">
        <v>501</v>
      </c>
      <c r="I799" s="3" t="s">
        <v>89</v>
      </c>
      <c r="J799" s="3">
        <v>3000</v>
      </c>
      <c r="K799" s="3">
        <v>0</v>
      </c>
      <c r="L799" s="3">
        <v>0</v>
      </c>
      <c r="M799" s="3">
        <v>2200</v>
      </c>
      <c r="N799" s="3">
        <v>3000</v>
      </c>
      <c r="O799" s="70">
        <v>-800</v>
      </c>
      <c r="P799" s="3">
        <v>0</v>
      </c>
      <c r="Q799" s="3">
        <v>0</v>
      </c>
      <c r="R799" s="3">
        <v>1.5658999999999999E-2</v>
      </c>
      <c r="S799" s="3">
        <v>-12.53</v>
      </c>
      <c r="T799" s="3">
        <v>34.450000000000003</v>
      </c>
      <c r="U799" s="3">
        <v>46.98</v>
      </c>
      <c r="V799" s="70" t="s">
        <v>334</v>
      </c>
      <c r="W799" s="3" t="s">
        <v>343</v>
      </c>
      <c r="X799" s="3" t="s">
        <v>337</v>
      </c>
      <c r="Y799" s="3" t="s">
        <v>337</v>
      </c>
    </row>
    <row r="800" spans="1:25" hidden="1" x14ac:dyDescent="0.2">
      <c r="A800" s="83" t="str">
        <f t="shared" si="12"/>
        <v>新蔡水韵天街美年达粉红树莓味饮料</v>
      </c>
      <c r="B800" s="3" t="s">
        <v>703</v>
      </c>
      <c r="C800" s="84">
        <v>44377</v>
      </c>
      <c r="D800" s="3" t="s">
        <v>499</v>
      </c>
      <c r="E800" s="3" t="s">
        <v>337</v>
      </c>
      <c r="F800" s="3" t="s">
        <v>337</v>
      </c>
      <c r="G800" s="70" t="s">
        <v>500</v>
      </c>
      <c r="H800" s="3" t="s">
        <v>501</v>
      </c>
      <c r="I800" s="3" t="s">
        <v>89</v>
      </c>
      <c r="J800" s="3">
        <v>1500</v>
      </c>
      <c r="K800" s="3">
        <v>0</v>
      </c>
      <c r="L800" s="3">
        <v>588.5</v>
      </c>
      <c r="M800" s="3">
        <v>0</v>
      </c>
      <c r="N800" s="3">
        <v>911.5</v>
      </c>
      <c r="O800" s="70">
        <v>-911.5</v>
      </c>
      <c r="P800" s="3">
        <v>0</v>
      </c>
      <c r="Q800" s="3">
        <v>0</v>
      </c>
      <c r="R800" s="3">
        <v>1.5820000000000001E-2</v>
      </c>
      <c r="S800" s="3">
        <v>-14.42</v>
      </c>
      <c r="T800" s="3">
        <v>0</v>
      </c>
      <c r="U800" s="3">
        <v>14.42</v>
      </c>
      <c r="V800" s="70" t="s">
        <v>335</v>
      </c>
      <c r="W800" s="3" t="s">
        <v>343</v>
      </c>
      <c r="X800" s="3" t="s">
        <v>337</v>
      </c>
      <c r="Y800" s="3" t="s">
        <v>337</v>
      </c>
    </row>
    <row r="801" spans="1:25" hidden="1" x14ac:dyDescent="0.2">
      <c r="A801" s="83" t="str">
        <f t="shared" si="12"/>
        <v>新蔡水韵天街玫珑蜜瓜风味果汁饮料浓浆</v>
      </c>
      <c r="B801" s="3" t="s">
        <v>703</v>
      </c>
      <c r="C801" s="84">
        <v>44377</v>
      </c>
      <c r="D801" s="3" t="s">
        <v>616</v>
      </c>
      <c r="E801" s="3" t="s">
        <v>337</v>
      </c>
      <c r="F801" s="3" t="s">
        <v>337</v>
      </c>
      <c r="G801" s="70" t="s">
        <v>617</v>
      </c>
      <c r="H801" s="3" t="s">
        <v>618</v>
      </c>
      <c r="I801" s="3" t="s">
        <v>452</v>
      </c>
      <c r="J801" s="3">
        <v>1300</v>
      </c>
      <c r="K801" s="3">
        <v>12000</v>
      </c>
      <c r="L801" s="3">
        <v>8933.76</v>
      </c>
      <c r="M801" s="3">
        <v>4300</v>
      </c>
      <c r="N801" s="3">
        <v>4366.24</v>
      </c>
      <c r="O801" s="70">
        <v>-66.239999999999995</v>
      </c>
      <c r="P801" s="3">
        <v>0</v>
      </c>
      <c r="Q801" s="3">
        <v>0</v>
      </c>
      <c r="R801" s="3">
        <v>1.2302E-2</v>
      </c>
      <c r="S801" s="3">
        <v>-0.81</v>
      </c>
      <c r="T801" s="3">
        <v>52.9</v>
      </c>
      <c r="U801" s="3">
        <v>53.71</v>
      </c>
      <c r="V801" s="70" t="s">
        <v>335</v>
      </c>
      <c r="W801" s="3" t="s">
        <v>343</v>
      </c>
      <c r="X801" s="3" t="s">
        <v>337</v>
      </c>
      <c r="Y801" s="3" t="s">
        <v>337</v>
      </c>
    </row>
    <row r="802" spans="1:25" hidden="1" x14ac:dyDescent="0.2">
      <c r="A802" s="83" t="str">
        <f t="shared" si="12"/>
        <v>郑州康复中街玫珑蜜瓜风味果汁饮料浓浆</v>
      </c>
      <c r="B802" s="3" t="s">
        <v>704</v>
      </c>
      <c r="C802" s="84">
        <v>44377</v>
      </c>
      <c r="D802" s="3" t="s">
        <v>616</v>
      </c>
      <c r="E802" s="3" t="s">
        <v>337</v>
      </c>
      <c r="F802" s="3" t="s">
        <v>337</v>
      </c>
      <c r="G802" s="70" t="s">
        <v>617</v>
      </c>
      <c r="H802" s="3" t="s">
        <v>618</v>
      </c>
      <c r="I802" s="3" t="s">
        <v>452</v>
      </c>
      <c r="J802" s="3">
        <v>11000</v>
      </c>
      <c r="K802" s="3">
        <v>24000</v>
      </c>
      <c r="L802" s="3">
        <v>12283.92</v>
      </c>
      <c r="M802" s="3">
        <v>22710</v>
      </c>
      <c r="N802" s="3">
        <v>22716.080000000002</v>
      </c>
      <c r="O802" s="70">
        <v>-6.08</v>
      </c>
      <c r="P802" s="3">
        <v>0</v>
      </c>
      <c r="Q802" s="3">
        <v>0</v>
      </c>
      <c r="R802" s="3">
        <v>1.23E-2</v>
      </c>
      <c r="S802" s="3">
        <v>-7.0000000000000007E-2</v>
      </c>
      <c r="T802" s="3">
        <v>279.33</v>
      </c>
      <c r="U802" s="3">
        <v>279.41000000000003</v>
      </c>
      <c r="V802" s="70" t="s">
        <v>593</v>
      </c>
      <c r="W802" s="3" t="s">
        <v>343</v>
      </c>
      <c r="X802" s="3" t="s">
        <v>337</v>
      </c>
      <c r="Y802" s="3" t="s">
        <v>337</v>
      </c>
    </row>
    <row r="803" spans="1:25" hidden="1" x14ac:dyDescent="0.2">
      <c r="A803" s="83" t="str">
        <f t="shared" si="12"/>
        <v>郑州瀚海海尚玫珑蜜瓜风味果汁饮料浓浆</v>
      </c>
      <c r="B803" s="3" t="s">
        <v>706</v>
      </c>
      <c r="C803" s="84">
        <v>44377</v>
      </c>
      <c r="D803" s="3" t="s">
        <v>616</v>
      </c>
      <c r="E803" s="3" t="s">
        <v>337</v>
      </c>
      <c r="F803" s="3" t="s">
        <v>337</v>
      </c>
      <c r="G803" s="70" t="s">
        <v>617</v>
      </c>
      <c r="H803" s="3" t="s">
        <v>618</v>
      </c>
      <c r="I803" s="3" t="s">
        <v>452</v>
      </c>
      <c r="J803" s="3">
        <v>11200</v>
      </c>
      <c r="K803" s="3">
        <v>12000</v>
      </c>
      <c r="L803" s="3">
        <v>17309.16</v>
      </c>
      <c r="M803" s="3">
        <v>8000</v>
      </c>
      <c r="N803" s="3">
        <v>5890.84</v>
      </c>
      <c r="O803" s="70">
        <v>2109.16</v>
      </c>
      <c r="P803" s="3">
        <v>0</v>
      </c>
      <c r="Q803" s="3">
        <v>0</v>
      </c>
      <c r="R803" s="3">
        <v>1.2300999999999999E-2</v>
      </c>
      <c r="S803" s="3">
        <v>25.94</v>
      </c>
      <c r="T803" s="3">
        <v>98.41</v>
      </c>
      <c r="U803" s="3">
        <v>72.459999999999994</v>
      </c>
      <c r="V803" s="70" t="s">
        <v>333</v>
      </c>
      <c r="W803" s="3" t="s">
        <v>343</v>
      </c>
      <c r="X803" s="3" t="s">
        <v>337</v>
      </c>
      <c r="Y803" s="3" t="s">
        <v>337</v>
      </c>
    </row>
    <row r="804" spans="1:25" hidden="1" x14ac:dyDescent="0.2">
      <c r="A804" s="83" t="str">
        <f t="shared" si="12"/>
        <v>华山龙源玫珑蜜瓜风味果汁饮料浓浆</v>
      </c>
      <c r="B804" s="3" t="s">
        <v>705</v>
      </c>
      <c r="C804" s="84">
        <v>44377</v>
      </c>
      <c r="D804" s="3" t="s">
        <v>616</v>
      </c>
      <c r="E804" s="3" t="s">
        <v>337</v>
      </c>
      <c r="F804" s="3" t="s">
        <v>337</v>
      </c>
      <c r="G804" s="70" t="s">
        <v>617</v>
      </c>
      <c r="H804" s="3" t="s">
        <v>618</v>
      </c>
      <c r="I804" s="3" t="s">
        <v>452</v>
      </c>
      <c r="J804" s="3">
        <v>630</v>
      </c>
      <c r="K804" s="3">
        <v>12000</v>
      </c>
      <c r="L804" s="3">
        <v>8747.64</v>
      </c>
      <c r="M804" s="3">
        <v>4500</v>
      </c>
      <c r="N804" s="3">
        <v>3882.36</v>
      </c>
      <c r="O804" s="70">
        <v>617.64</v>
      </c>
      <c r="P804" s="3">
        <v>0</v>
      </c>
      <c r="Q804" s="3">
        <v>0</v>
      </c>
      <c r="R804" s="3">
        <v>1.2378E-2</v>
      </c>
      <c r="S804" s="3">
        <v>7.65</v>
      </c>
      <c r="T804" s="3">
        <v>55.7</v>
      </c>
      <c r="U804" s="3">
        <v>48.06</v>
      </c>
      <c r="V804" s="70" t="s">
        <v>643</v>
      </c>
      <c r="W804" s="3" t="s">
        <v>343</v>
      </c>
      <c r="X804" s="3" t="s">
        <v>337</v>
      </c>
      <c r="Y804" s="3" t="s">
        <v>337</v>
      </c>
    </row>
    <row r="805" spans="1:25" hidden="1" x14ac:dyDescent="0.2">
      <c r="A805" s="83" t="str">
        <f t="shared" si="12"/>
        <v>郑州西悦城玫珑蜜瓜风味果汁饮料浓浆</v>
      </c>
      <c r="B805" s="3" t="s">
        <v>708</v>
      </c>
      <c r="C805" s="84">
        <v>44377</v>
      </c>
      <c r="D805" s="3" t="s">
        <v>616</v>
      </c>
      <c r="E805" s="3" t="s">
        <v>337</v>
      </c>
      <c r="F805" s="3" t="s">
        <v>337</v>
      </c>
      <c r="G805" s="70" t="s">
        <v>617</v>
      </c>
      <c r="H805" s="3" t="s">
        <v>618</v>
      </c>
      <c r="I805" s="3" t="s">
        <v>452</v>
      </c>
      <c r="J805" s="3">
        <v>6900</v>
      </c>
      <c r="K805" s="3">
        <v>12000</v>
      </c>
      <c r="L805" s="3">
        <v>16192.44</v>
      </c>
      <c r="M805" s="3">
        <v>3000</v>
      </c>
      <c r="N805" s="3">
        <v>2707.56</v>
      </c>
      <c r="O805" s="70">
        <v>292.44</v>
      </c>
      <c r="P805" s="3">
        <v>0</v>
      </c>
      <c r="Q805" s="3">
        <v>0</v>
      </c>
      <c r="R805" s="3">
        <v>1.23E-2</v>
      </c>
      <c r="S805" s="3">
        <v>3.6</v>
      </c>
      <c r="T805" s="3">
        <v>36.9</v>
      </c>
      <c r="U805" s="3">
        <v>33.299999999999997</v>
      </c>
      <c r="V805" s="70" t="s">
        <v>332</v>
      </c>
      <c r="W805" s="3" t="s">
        <v>343</v>
      </c>
      <c r="X805" s="3" t="s">
        <v>337</v>
      </c>
      <c r="Y805" s="3" t="s">
        <v>337</v>
      </c>
    </row>
    <row r="806" spans="1:25" hidden="1" x14ac:dyDescent="0.2">
      <c r="A806" s="83" t="str">
        <f t="shared" si="12"/>
        <v>郑州铁英街玫珑蜜瓜风味果汁饮料浓浆</v>
      </c>
      <c r="B806" s="3" t="s">
        <v>707</v>
      </c>
      <c r="C806" s="84">
        <v>44377</v>
      </c>
      <c r="D806" s="3" t="s">
        <v>616</v>
      </c>
      <c r="E806" s="3" t="s">
        <v>337</v>
      </c>
      <c r="F806" s="3" t="s">
        <v>337</v>
      </c>
      <c r="G806" s="70" t="s">
        <v>617</v>
      </c>
      <c r="H806" s="3" t="s">
        <v>618</v>
      </c>
      <c r="I806" s="3" t="s">
        <v>452</v>
      </c>
      <c r="J806" s="3">
        <v>4000</v>
      </c>
      <c r="K806" s="3">
        <v>12000</v>
      </c>
      <c r="L806" s="3">
        <v>13276.56</v>
      </c>
      <c r="M806" s="3">
        <v>2870</v>
      </c>
      <c r="N806" s="3">
        <v>2723.44</v>
      </c>
      <c r="O806" s="70">
        <v>146.56</v>
      </c>
      <c r="P806" s="3">
        <v>0</v>
      </c>
      <c r="Q806" s="3">
        <v>0</v>
      </c>
      <c r="R806" s="3">
        <v>1.2296E-2</v>
      </c>
      <c r="S806" s="3">
        <v>1.8</v>
      </c>
      <c r="T806" s="3">
        <v>35.29</v>
      </c>
      <c r="U806" s="3">
        <v>33.49</v>
      </c>
      <c r="V806" s="70" t="s">
        <v>592</v>
      </c>
      <c r="W806" s="3" t="s">
        <v>343</v>
      </c>
      <c r="X806" s="3" t="s">
        <v>337</v>
      </c>
      <c r="Y806" s="3" t="s">
        <v>337</v>
      </c>
    </row>
    <row r="807" spans="1:25" hidden="1" x14ac:dyDescent="0.2">
      <c r="A807" s="83" t="str">
        <f t="shared" si="12"/>
        <v>方城锦城国际玫珑蜜瓜风味果汁饮料浓浆</v>
      </c>
      <c r="B807" s="3" t="s">
        <v>712</v>
      </c>
      <c r="C807" s="84">
        <v>44377</v>
      </c>
      <c r="D807" s="3" t="s">
        <v>616</v>
      </c>
      <c r="E807" s="3" t="s">
        <v>337</v>
      </c>
      <c r="F807" s="3" t="s">
        <v>337</v>
      </c>
      <c r="G807" s="70" t="s">
        <v>617</v>
      </c>
      <c r="H807" s="3" t="s">
        <v>618</v>
      </c>
      <c r="I807" s="3" t="s">
        <v>452</v>
      </c>
      <c r="J807" s="3">
        <v>0</v>
      </c>
      <c r="K807" s="3">
        <v>12000</v>
      </c>
      <c r="L807" s="3">
        <v>20597.28</v>
      </c>
      <c r="M807" s="3">
        <v>3000</v>
      </c>
      <c r="N807" s="3">
        <v>-8597.2800000000007</v>
      </c>
      <c r="O807" s="70">
        <v>11597.28</v>
      </c>
      <c r="P807" s="3">
        <v>0</v>
      </c>
      <c r="Q807" s="3">
        <v>0</v>
      </c>
      <c r="R807" s="3">
        <v>1.2303E-2</v>
      </c>
      <c r="S807" s="3">
        <v>142.68</v>
      </c>
      <c r="T807" s="3">
        <v>36.909999999999997</v>
      </c>
      <c r="U807" s="3">
        <v>-105.77</v>
      </c>
      <c r="V807" s="70" t="s">
        <v>594</v>
      </c>
      <c r="W807" s="3" t="s">
        <v>343</v>
      </c>
      <c r="X807" s="3" t="s">
        <v>337</v>
      </c>
      <c r="Y807" s="3" t="s">
        <v>337</v>
      </c>
    </row>
    <row r="808" spans="1:25" hidden="1" x14ac:dyDescent="0.2">
      <c r="A808" s="83" t="str">
        <f t="shared" si="12"/>
        <v>清丰凤鸣玫珑蜜瓜风味果汁饮料浓浆</v>
      </c>
      <c r="B808" s="3" t="s">
        <v>713</v>
      </c>
      <c r="C808" s="84">
        <v>44377</v>
      </c>
      <c r="D808" s="3" t="s">
        <v>616</v>
      </c>
      <c r="E808" s="3" t="s">
        <v>337</v>
      </c>
      <c r="F808" s="3" t="s">
        <v>337</v>
      </c>
      <c r="G808" s="70" t="s">
        <v>617</v>
      </c>
      <c r="H808" s="3" t="s">
        <v>618</v>
      </c>
      <c r="I808" s="3" t="s">
        <v>452</v>
      </c>
      <c r="J808" s="3">
        <v>1000</v>
      </c>
      <c r="K808" s="3">
        <v>5000</v>
      </c>
      <c r="L808" s="3">
        <v>5769.72</v>
      </c>
      <c r="M808" s="3">
        <v>0</v>
      </c>
      <c r="N808" s="3">
        <v>230.28</v>
      </c>
      <c r="O808" s="70">
        <v>-230.28</v>
      </c>
      <c r="P808" s="3">
        <v>0</v>
      </c>
      <c r="Q808" s="3">
        <v>0</v>
      </c>
      <c r="R808" s="3">
        <v>1.2733E-2</v>
      </c>
      <c r="S808" s="3">
        <v>-2.93</v>
      </c>
      <c r="T808" s="3">
        <v>0</v>
      </c>
      <c r="U808" s="3">
        <v>2.93</v>
      </c>
      <c r="V808" s="70" t="s">
        <v>334</v>
      </c>
      <c r="W808" s="3" t="s">
        <v>343</v>
      </c>
      <c r="X808" s="3" t="s">
        <v>337</v>
      </c>
      <c r="Y808" s="3" t="s">
        <v>337</v>
      </c>
    </row>
    <row r="809" spans="1:25" hidden="1" x14ac:dyDescent="0.2">
      <c r="A809" s="83" t="str">
        <f t="shared" si="12"/>
        <v>郑州裕华玫珑蜜瓜风味果汁饮料浓浆</v>
      </c>
      <c r="B809" s="3" t="s">
        <v>711</v>
      </c>
      <c r="C809" s="84">
        <v>44377</v>
      </c>
      <c r="D809" s="3" t="s">
        <v>616</v>
      </c>
      <c r="E809" s="3" t="s">
        <v>337</v>
      </c>
      <c r="F809" s="3" t="s">
        <v>337</v>
      </c>
      <c r="G809" s="70" t="s">
        <v>617</v>
      </c>
      <c r="H809" s="3" t="s">
        <v>618</v>
      </c>
      <c r="I809" s="3" t="s">
        <v>452</v>
      </c>
      <c r="J809" s="3">
        <v>10000</v>
      </c>
      <c r="K809" s="3">
        <v>0</v>
      </c>
      <c r="L809" s="3">
        <v>4156.68</v>
      </c>
      <c r="M809" s="3">
        <v>5000</v>
      </c>
      <c r="N809" s="3">
        <v>5843.32</v>
      </c>
      <c r="O809" s="70">
        <v>-843.32</v>
      </c>
      <c r="P809" s="3">
        <v>0</v>
      </c>
      <c r="Q809" s="3">
        <v>0</v>
      </c>
      <c r="R809" s="3">
        <v>1.23E-2</v>
      </c>
      <c r="S809" s="3">
        <v>-10.37</v>
      </c>
      <c r="T809" s="3">
        <v>61.5</v>
      </c>
      <c r="U809" s="3">
        <v>71.87</v>
      </c>
      <c r="V809" s="70" t="s">
        <v>641</v>
      </c>
      <c r="W809" s="3" t="s">
        <v>343</v>
      </c>
      <c r="X809" s="3" t="s">
        <v>337</v>
      </c>
      <c r="Y809" s="3" t="s">
        <v>337</v>
      </c>
    </row>
    <row r="810" spans="1:25" hidden="1" x14ac:dyDescent="0.2">
      <c r="A810" s="83" t="str">
        <f t="shared" si="12"/>
        <v>滑县滑台玫珑蜜瓜风味果汁饮料浓浆</v>
      </c>
      <c r="B810" s="3" t="s">
        <v>710</v>
      </c>
      <c r="C810" s="84">
        <v>44377</v>
      </c>
      <c r="D810" s="3" t="s">
        <v>616</v>
      </c>
      <c r="E810" s="3" t="s">
        <v>337</v>
      </c>
      <c r="F810" s="3" t="s">
        <v>337</v>
      </c>
      <c r="G810" s="70" t="s">
        <v>617</v>
      </c>
      <c r="H810" s="3" t="s">
        <v>618</v>
      </c>
      <c r="I810" s="3" t="s">
        <v>452</v>
      </c>
      <c r="J810" s="3">
        <v>7000</v>
      </c>
      <c r="K810" s="3">
        <v>0</v>
      </c>
      <c r="L810" s="3">
        <v>7817.04</v>
      </c>
      <c r="M810" s="3">
        <v>0</v>
      </c>
      <c r="N810" s="3">
        <v>-817.04</v>
      </c>
      <c r="O810" s="70">
        <v>817.04</v>
      </c>
      <c r="P810" s="3">
        <v>0</v>
      </c>
      <c r="Q810" s="3">
        <v>0</v>
      </c>
      <c r="R810" s="3">
        <v>1.2300999999999999E-2</v>
      </c>
      <c r="S810" s="3">
        <v>10.050000000000001</v>
      </c>
      <c r="T810" s="3">
        <v>0</v>
      </c>
      <c r="U810" s="3">
        <v>-10.050000000000001</v>
      </c>
      <c r="V810" s="70" t="s">
        <v>639</v>
      </c>
      <c r="W810" s="3" t="s">
        <v>343</v>
      </c>
      <c r="X810" s="3" t="s">
        <v>337</v>
      </c>
      <c r="Y810" s="3" t="s">
        <v>337</v>
      </c>
    </row>
    <row r="811" spans="1:25" hidden="1" x14ac:dyDescent="0.2">
      <c r="A811" s="83" t="str">
        <f t="shared" si="12"/>
        <v>郑州盛华里玫珑蜜瓜风味果汁饮料浓浆</v>
      </c>
      <c r="B811" s="3" t="s">
        <v>709</v>
      </c>
      <c r="C811" s="84">
        <v>44377</v>
      </c>
      <c r="D811" s="3" t="s">
        <v>616</v>
      </c>
      <c r="E811" s="3" t="s">
        <v>337</v>
      </c>
      <c r="F811" s="3" t="s">
        <v>337</v>
      </c>
      <c r="G811" s="70" t="s">
        <v>617</v>
      </c>
      <c r="H811" s="3" t="s">
        <v>618</v>
      </c>
      <c r="I811" s="3" t="s">
        <v>452</v>
      </c>
      <c r="J811" s="3">
        <v>6250</v>
      </c>
      <c r="K811" s="3">
        <v>12000</v>
      </c>
      <c r="L811" s="3">
        <v>6576.24</v>
      </c>
      <c r="M811" s="3">
        <v>11500</v>
      </c>
      <c r="N811" s="3">
        <v>11673.76</v>
      </c>
      <c r="O811" s="70">
        <v>-173.76</v>
      </c>
      <c r="P811" s="3">
        <v>0</v>
      </c>
      <c r="Q811" s="3">
        <v>0</v>
      </c>
      <c r="R811" s="3">
        <v>1.23E-2</v>
      </c>
      <c r="S811" s="3">
        <v>-2.14</v>
      </c>
      <c r="T811" s="3">
        <v>141.44999999999999</v>
      </c>
      <c r="U811" s="3">
        <v>143.59</v>
      </c>
      <c r="V811" s="70" t="s">
        <v>637</v>
      </c>
      <c r="W811" s="3" t="s">
        <v>343</v>
      </c>
      <c r="X811" s="3" t="s">
        <v>337</v>
      </c>
      <c r="Y811" s="3" t="s">
        <v>337</v>
      </c>
    </row>
    <row r="812" spans="1:25" hidden="1" x14ac:dyDescent="0.2">
      <c r="A812" s="83" t="str">
        <f t="shared" si="12"/>
        <v>郑州政六街玫珑蜜瓜风味果汁饮料浓浆</v>
      </c>
      <c r="B812" s="3" t="s">
        <v>714</v>
      </c>
      <c r="C812" s="84">
        <v>44377</v>
      </c>
      <c r="D812" s="3" t="s">
        <v>616</v>
      </c>
      <c r="E812" s="3" t="s">
        <v>337</v>
      </c>
      <c r="F812" s="3" t="s">
        <v>337</v>
      </c>
      <c r="G812" s="70" t="s">
        <v>617</v>
      </c>
      <c r="H812" s="3" t="s">
        <v>618</v>
      </c>
      <c r="I812" s="3" t="s">
        <v>452</v>
      </c>
      <c r="J812" s="3">
        <v>2100</v>
      </c>
      <c r="K812" s="3">
        <v>3000</v>
      </c>
      <c r="L812" s="3">
        <v>5149.32</v>
      </c>
      <c r="M812" s="3">
        <v>0</v>
      </c>
      <c r="N812" s="3">
        <v>-49.32</v>
      </c>
      <c r="O812" s="70">
        <v>49.32</v>
      </c>
      <c r="P812" s="3">
        <v>0</v>
      </c>
      <c r="Q812" s="3">
        <v>0</v>
      </c>
      <c r="R812" s="3">
        <v>1.2343E-2</v>
      </c>
      <c r="S812" s="3">
        <v>0.61</v>
      </c>
      <c r="T812" s="3">
        <v>0</v>
      </c>
      <c r="U812" s="3">
        <v>-0.61</v>
      </c>
      <c r="V812" s="70" t="s">
        <v>591</v>
      </c>
      <c r="W812" s="3" t="s">
        <v>343</v>
      </c>
      <c r="X812" s="3" t="s">
        <v>337</v>
      </c>
      <c r="Y812" s="3" t="s">
        <v>337</v>
      </c>
    </row>
    <row r="813" spans="1:25" hidden="1" x14ac:dyDescent="0.2">
      <c r="A813" s="83" t="str">
        <f t="shared" si="12"/>
        <v>郑州政六街土耳其火山烧烤小粉包</v>
      </c>
      <c r="B813" s="3" t="s">
        <v>714</v>
      </c>
      <c r="C813" s="84">
        <v>44377</v>
      </c>
      <c r="D813" s="3" t="s">
        <v>649</v>
      </c>
      <c r="E813" s="3" t="s">
        <v>337</v>
      </c>
      <c r="F813" s="3" t="s">
        <v>337</v>
      </c>
      <c r="G813" s="70" t="s">
        <v>664</v>
      </c>
      <c r="H813" s="3" t="s">
        <v>665</v>
      </c>
      <c r="I813" s="3" t="s">
        <v>105</v>
      </c>
      <c r="J813" s="3">
        <v>89</v>
      </c>
      <c r="K813" s="3">
        <v>0</v>
      </c>
      <c r="L813" s="3">
        <v>36</v>
      </c>
      <c r="M813" s="3">
        <v>40</v>
      </c>
      <c r="N813" s="3">
        <v>53</v>
      </c>
      <c r="O813" s="70">
        <v>-13</v>
      </c>
      <c r="P813" s="3">
        <v>0</v>
      </c>
      <c r="Q813" s="3">
        <v>0</v>
      </c>
      <c r="R813" s="3">
        <v>0.15675</v>
      </c>
      <c r="S813" s="3">
        <v>-2.04</v>
      </c>
      <c r="T813" s="3">
        <v>6.27</v>
      </c>
      <c r="U813" s="3">
        <v>8.31</v>
      </c>
      <c r="V813" s="70" t="s">
        <v>591</v>
      </c>
      <c r="W813" s="3" t="s">
        <v>343</v>
      </c>
      <c r="X813" s="3" t="s">
        <v>337</v>
      </c>
      <c r="Y813" s="3" t="s">
        <v>337</v>
      </c>
    </row>
    <row r="814" spans="1:25" hidden="1" x14ac:dyDescent="0.2">
      <c r="A814" s="83" t="str">
        <f t="shared" si="12"/>
        <v>郑州盛华里土耳其火山烧烤小粉包</v>
      </c>
      <c r="B814" s="3" t="s">
        <v>709</v>
      </c>
      <c r="C814" s="84">
        <v>44377</v>
      </c>
      <c r="D814" s="3" t="s">
        <v>649</v>
      </c>
      <c r="E814" s="3" t="s">
        <v>337</v>
      </c>
      <c r="F814" s="3" t="s">
        <v>337</v>
      </c>
      <c r="G814" s="70" t="s">
        <v>664</v>
      </c>
      <c r="H814" s="3" t="s">
        <v>665</v>
      </c>
      <c r="I814" s="3" t="s">
        <v>105</v>
      </c>
      <c r="J814" s="3">
        <v>92</v>
      </c>
      <c r="K814" s="3">
        <v>0</v>
      </c>
      <c r="L814" s="3">
        <v>7</v>
      </c>
      <c r="M814" s="3">
        <v>85</v>
      </c>
      <c r="N814" s="3">
        <v>85</v>
      </c>
      <c r="O814" s="70">
        <v>0</v>
      </c>
      <c r="P814" s="3">
        <v>0</v>
      </c>
      <c r="Q814" s="3">
        <v>0</v>
      </c>
      <c r="R814" s="3">
        <v>0.15682399999999999</v>
      </c>
      <c r="S814" s="3">
        <v>0</v>
      </c>
      <c r="T814" s="3">
        <v>13.33</v>
      </c>
      <c r="U814" s="3">
        <v>13.33</v>
      </c>
      <c r="V814" s="70" t="s">
        <v>637</v>
      </c>
      <c r="W814" s="3" t="s">
        <v>343</v>
      </c>
      <c r="X814" s="3" t="s">
        <v>337</v>
      </c>
      <c r="Y814" s="3" t="s">
        <v>337</v>
      </c>
    </row>
    <row r="815" spans="1:25" hidden="1" x14ac:dyDescent="0.2">
      <c r="A815" s="83" t="str">
        <f t="shared" si="12"/>
        <v>滑县滑台土耳其火山烧烤小粉包</v>
      </c>
      <c r="B815" s="3" t="s">
        <v>710</v>
      </c>
      <c r="C815" s="84">
        <v>44377</v>
      </c>
      <c r="D815" s="3" t="s">
        <v>649</v>
      </c>
      <c r="E815" s="3" t="s">
        <v>337</v>
      </c>
      <c r="F815" s="3" t="s">
        <v>337</v>
      </c>
      <c r="G815" s="70" t="s">
        <v>664</v>
      </c>
      <c r="H815" s="3" t="s">
        <v>665</v>
      </c>
      <c r="I815" s="3" t="s">
        <v>105</v>
      </c>
      <c r="J815" s="3">
        <v>90</v>
      </c>
      <c r="K815" s="3">
        <v>100</v>
      </c>
      <c r="L815" s="3">
        <v>76</v>
      </c>
      <c r="M815" s="3">
        <v>114</v>
      </c>
      <c r="N815" s="3">
        <v>114</v>
      </c>
      <c r="O815" s="70">
        <v>0</v>
      </c>
      <c r="P815" s="3">
        <v>0</v>
      </c>
      <c r="Q815" s="3">
        <v>0</v>
      </c>
      <c r="R815" s="3">
        <v>0.15684200000000001</v>
      </c>
      <c r="S815" s="3">
        <v>0</v>
      </c>
      <c r="T815" s="3">
        <v>17.88</v>
      </c>
      <c r="U815" s="3">
        <v>17.88</v>
      </c>
      <c r="V815" s="70" t="s">
        <v>639</v>
      </c>
      <c r="W815" s="3" t="s">
        <v>343</v>
      </c>
      <c r="X815" s="3" t="s">
        <v>337</v>
      </c>
      <c r="Y815" s="3" t="s">
        <v>337</v>
      </c>
    </row>
    <row r="816" spans="1:25" hidden="1" x14ac:dyDescent="0.2">
      <c r="A816" s="83" t="str">
        <f t="shared" si="12"/>
        <v>郑州裕华土耳其火山烧烤小粉包</v>
      </c>
      <c r="B816" s="3" t="s">
        <v>711</v>
      </c>
      <c r="C816" s="84">
        <v>44377</v>
      </c>
      <c r="D816" s="3" t="s">
        <v>649</v>
      </c>
      <c r="E816" s="3" t="s">
        <v>337</v>
      </c>
      <c r="F816" s="3" t="s">
        <v>337</v>
      </c>
      <c r="G816" s="70" t="s">
        <v>664</v>
      </c>
      <c r="H816" s="3" t="s">
        <v>665</v>
      </c>
      <c r="I816" s="3" t="s">
        <v>105</v>
      </c>
      <c r="J816" s="3">
        <v>99</v>
      </c>
      <c r="K816" s="3">
        <v>0</v>
      </c>
      <c r="L816" s="3">
        <v>13</v>
      </c>
      <c r="M816" s="3">
        <v>80</v>
      </c>
      <c r="N816" s="3">
        <v>86</v>
      </c>
      <c r="O816" s="70">
        <v>-6</v>
      </c>
      <c r="P816" s="3">
        <v>0</v>
      </c>
      <c r="Q816" s="3">
        <v>0</v>
      </c>
      <c r="R816" s="3">
        <v>0.15687499999999999</v>
      </c>
      <c r="S816" s="3">
        <v>-0.94</v>
      </c>
      <c r="T816" s="3">
        <v>12.55</v>
      </c>
      <c r="U816" s="3">
        <v>13.49</v>
      </c>
      <c r="V816" s="70" t="s">
        <v>641</v>
      </c>
      <c r="W816" s="3" t="s">
        <v>343</v>
      </c>
      <c r="X816" s="3" t="s">
        <v>337</v>
      </c>
      <c r="Y816" s="3" t="s">
        <v>337</v>
      </c>
    </row>
    <row r="817" spans="1:25" hidden="1" x14ac:dyDescent="0.2">
      <c r="A817" s="83" t="str">
        <f t="shared" si="12"/>
        <v>清丰凤鸣土耳其火山烧烤小粉包</v>
      </c>
      <c r="B817" s="3" t="s">
        <v>713</v>
      </c>
      <c r="C817" s="84">
        <v>44377</v>
      </c>
      <c r="D817" s="3" t="s">
        <v>649</v>
      </c>
      <c r="E817" s="3" t="s">
        <v>337</v>
      </c>
      <c r="F817" s="3" t="s">
        <v>337</v>
      </c>
      <c r="G817" s="70" t="s">
        <v>664</v>
      </c>
      <c r="H817" s="3" t="s">
        <v>665</v>
      </c>
      <c r="I817" s="3" t="s">
        <v>105</v>
      </c>
      <c r="J817" s="3">
        <v>96</v>
      </c>
      <c r="K817" s="3">
        <v>0</v>
      </c>
      <c r="L817" s="3">
        <v>85</v>
      </c>
      <c r="M817" s="3">
        <v>11</v>
      </c>
      <c r="N817" s="3">
        <v>11</v>
      </c>
      <c r="O817" s="70">
        <v>0</v>
      </c>
      <c r="P817" s="3">
        <v>0</v>
      </c>
      <c r="Q817" s="3">
        <v>0</v>
      </c>
      <c r="R817" s="3">
        <v>0.156364</v>
      </c>
      <c r="S817" s="3">
        <v>0</v>
      </c>
      <c r="T817" s="3">
        <v>1.72</v>
      </c>
      <c r="U817" s="3">
        <v>1.72</v>
      </c>
      <c r="V817" s="70" t="s">
        <v>334</v>
      </c>
      <c r="W817" s="3" t="s">
        <v>343</v>
      </c>
      <c r="X817" s="3" t="s">
        <v>337</v>
      </c>
      <c r="Y817" s="3" t="s">
        <v>337</v>
      </c>
    </row>
    <row r="818" spans="1:25" hidden="1" x14ac:dyDescent="0.2">
      <c r="A818" s="83" t="str">
        <f t="shared" si="12"/>
        <v>方城锦城国际土耳其火山烧烤小粉包</v>
      </c>
      <c r="B818" s="3" t="s">
        <v>712</v>
      </c>
      <c r="C818" s="84">
        <v>44377</v>
      </c>
      <c r="D818" s="3" t="s">
        <v>649</v>
      </c>
      <c r="E818" s="3" t="s">
        <v>337</v>
      </c>
      <c r="F818" s="3" t="s">
        <v>337</v>
      </c>
      <c r="G818" s="70" t="s">
        <v>664</v>
      </c>
      <c r="H818" s="3" t="s">
        <v>665</v>
      </c>
      <c r="I818" s="3" t="s">
        <v>105</v>
      </c>
      <c r="J818" s="3">
        <v>90</v>
      </c>
      <c r="K818" s="3">
        <v>0</v>
      </c>
      <c r="L818" s="3">
        <v>69</v>
      </c>
      <c r="M818" s="3">
        <v>25</v>
      </c>
      <c r="N818" s="3">
        <v>21</v>
      </c>
      <c r="O818" s="70">
        <v>4</v>
      </c>
      <c r="P818" s="3">
        <v>0</v>
      </c>
      <c r="Q818" s="3">
        <v>0</v>
      </c>
      <c r="R818" s="3">
        <v>0.15720000000000001</v>
      </c>
      <c r="S818" s="3">
        <v>0.63</v>
      </c>
      <c r="T818" s="3">
        <v>3.93</v>
      </c>
      <c r="U818" s="3">
        <v>3.3</v>
      </c>
      <c r="V818" s="70" t="s">
        <v>594</v>
      </c>
      <c r="W818" s="3" t="s">
        <v>343</v>
      </c>
      <c r="X818" s="3" t="s">
        <v>337</v>
      </c>
      <c r="Y818" s="3" t="s">
        <v>337</v>
      </c>
    </row>
    <row r="819" spans="1:25" hidden="1" x14ac:dyDescent="0.2">
      <c r="A819" s="83" t="str">
        <f t="shared" si="12"/>
        <v>郑州铁英街土耳其火山烧烤小粉包</v>
      </c>
      <c r="B819" s="3" t="s">
        <v>707</v>
      </c>
      <c r="C819" s="84">
        <v>44377</v>
      </c>
      <c r="D819" s="3" t="s">
        <v>649</v>
      </c>
      <c r="E819" s="3" t="s">
        <v>337</v>
      </c>
      <c r="F819" s="3" t="s">
        <v>337</v>
      </c>
      <c r="G819" s="70" t="s">
        <v>664</v>
      </c>
      <c r="H819" s="3" t="s">
        <v>665</v>
      </c>
      <c r="I819" s="3" t="s">
        <v>105</v>
      </c>
      <c r="J819" s="3">
        <v>190</v>
      </c>
      <c r="K819" s="3">
        <v>0</v>
      </c>
      <c r="L819" s="3">
        <v>38</v>
      </c>
      <c r="M819" s="3">
        <v>160</v>
      </c>
      <c r="N819" s="3">
        <v>152</v>
      </c>
      <c r="O819" s="70">
        <v>8</v>
      </c>
      <c r="P819" s="3">
        <v>0</v>
      </c>
      <c r="Q819" s="3">
        <v>0</v>
      </c>
      <c r="R819" s="3">
        <v>0.15693799999999999</v>
      </c>
      <c r="S819" s="3">
        <v>1.26</v>
      </c>
      <c r="T819" s="3">
        <v>25.11</v>
      </c>
      <c r="U819" s="3">
        <v>23.85</v>
      </c>
      <c r="V819" s="70" t="s">
        <v>592</v>
      </c>
      <c r="W819" s="3" t="s">
        <v>343</v>
      </c>
      <c r="X819" s="3" t="s">
        <v>337</v>
      </c>
      <c r="Y819" s="3" t="s">
        <v>337</v>
      </c>
    </row>
    <row r="820" spans="1:25" hidden="1" x14ac:dyDescent="0.2">
      <c r="A820" s="83" t="str">
        <f t="shared" si="12"/>
        <v>郑州西悦城土耳其火山烧烤小粉包</v>
      </c>
      <c r="B820" s="3" t="s">
        <v>708</v>
      </c>
      <c r="C820" s="84">
        <v>44377</v>
      </c>
      <c r="D820" s="3" t="s">
        <v>649</v>
      </c>
      <c r="E820" s="3" t="s">
        <v>337</v>
      </c>
      <c r="F820" s="3" t="s">
        <v>337</v>
      </c>
      <c r="G820" s="70" t="s">
        <v>664</v>
      </c>
      <c r="H820" s="3" t="s">
        <v>665</v>
      </c>
      <c r="I820" s="3" t="s">
        <v>105</v>
      </c>
      <c r="J820" s="3">
        <v>179</v>
      </c>
      <c r="K820" s="3">
        <v>0</v>
      </c>
      <c r="L820" s="3">
        <v>70</v>
      </c>
      <c r="M820" s="3">
        <v>110</v>
      </c>
      <c r="N820" s="3">
        <v>109</v>
      </c>
      <c r="O820" s="70">
        <v>1</v>
      </c>
      <c r="P820" s="3">
        <v>0</v>
      </c>
      <c r="Q820" s="3">
        <v>0</v>
      </c>
      <c r="R820" s="3">
        <v>0.15709100000000001</v>
      </c>
      <c r="S820" s="3">
        <v>0.16</v>
      </c>
      <c r="T820" s="3">
        <v>17.28</v>
      </c>
      <c r="U820" s="3">
        <v>17.12</v>
      </c>
      <c r="V820" s="70" t="s">
        <v>332</v>
      </c>
      <c r="W820" s="3" t="s">
        <v>343</v>
      </c>
      <c r="X820" s="3" t="s">
        <v>337</v>
      </c>
      <c r="Y820" s="3" t="s">
        <v>337</v>
      </c>
    </row>
    <row r="821" spans="1:25" hidden="1" x14ac:dyDescent="0.2">
      <c r="A821" s="83" t="str">
        <f t="shared" si="12"/>
        <v>华山龙源土耳其火山烧烤小粉包</v>
      </c>
      <c r="B821" s="3" t="s">
        <v>705</v>
      </c>
      <c r="C821" s="84">
        <v>44377</v>
      </c>
      <c r="D821" s="3" t="s">
        <v>649</v>
      </c>
      <c r="E821" s="3" t="s">
        <v>337</v>
      </c>
      <c r="F821" s="3" t="s">
        <v>337</v>
      </c>
      <c r="G821" s="70" t="s">
        <v>664</v>
      </c>
      <c r="H821" s="3" t="s">
        <v>665</v>
      </c>
      <c r="I821" s="3" t="s">
        <v>105</v>
      </c>
      <c r="J821" s="3">
        <v>97</v>
      </c>
      <c r="K821" s="3">
        <v>0</v>
      </c>
      <c r="L821" s="3">
        <v>31</v>
      </c>
      <c r="M821" s="3">
        <v>0</v>
      </c>
      <c r="N821" s="3">
        <v>66</v>
      </c>
      <c r="O821" s="70">
        <v>-66</v>
      </c>
      <c r="P821" s="3">
        <v>0</v>
      </c>
      <c r="Q821" s="3">
        <v>0</v>
      </c>
      <c r="R821" s="3">
        <v>0.156804</v>
      </c>
      <c r="S821" s="3">
        <v>-10.35</v>
      </c>
      <c r="T821" s="3">
        <v>0</v>
      </c>
      <c r="U821" s="3">
        <v>10.35</v>
      </c>
      <c r="V821" s="70" t="s">
        <v>643</v>
      </c>
      <c r="W821" s="3" t="s">
        <v>343</v>
      </c>
      <c r="X821" s="3" t="s">
        <v>337</v>
      </c>
      <c r="Y821" s="3" t="s">
        <v>337</v>
      </c>
    </row>
    <row r="822" spans="1:25" hidden="1" x14ac:dyDescent="0.2">
      <c r="A822" s="83" t="str">
        <f t="shared" si="12"/>
        <v>郑州瀚海海尚土耳其火山烧烤小粉包</v>
      </c>
      <c r="B822" s="3" t="s">
        <v>706</v>
      </c>
      <c r="C822" s="84">
        <v>44377</v>
      </c>
      <c r="D822" s="3" t="s">
        <v>649</v>
      </c>
      <c r="E822" s="3" t="s">
        <v>337</v>
      </c>
      <c r="F822" s="3" t="s">
        <v>337</v>
      </c>
      <c r="G822" s="70" t="s">
        <v>664</v>
      </c>
      <c r="H822" s="3" t="s">
        <v>665</v>
      </c>
      <c r="I822" s="3" t="s">
        <v>105</v>
      </c>
      <c r="J822" s="3">
        <v>92</v>
      </c>
      <c r="K822" s="3">
        <v>0</v>
      </c>
      <c r="L822" s="3">
        <v>24</v>
      </c>
      <c r="M822" s="3">
        <v>78</v>
      </c>
      <c r="N822" s="3">
        <v>68</v>
      </c>
      <c r="O822" s="70">
        <v>10</v>
      </c>
      <c r="P822" s="3">
        <v>0</v>
      </c>
      <c r="Q822" s="3">
        <v>0</v>
      </c>
      <c r="R822" s="3">
        <v>0.15692300000000001</v>
      </c>
      <c r="S822" s="3">
        <v>1.57</v>
      </c>
      <c r="T822" s="3">
        <v>12.24</v>
      </c>
      <c r="U822" s="3">
        <v>10.67</v>
      </c>
      <c r="V822" s="70" t="s">
        <v>333</v>
      </c>
      <c r="W822" s="3" t="s">
        <v>343</v>
      </c>
      <c r="X822" s="3" t="s">
        <v>337</v>
      </c>
      <c r="Y822" s="3" t="s">
        <v>337</v>
      </c>
    </row>
    <row r="823" spans="1:25" hidden="1" x14ac:dyDescent="0.2">
      <c r="A823" s="83" t="str">
        <f t="shared" si="12"/>
        <v>郑州康复中街土耳其火山烧烤小粉包</v>
      </c>
      <c r="B823" s="3" t="s">
        <v>704</v>
      </c>
      <c r="C823" s="84">
        <v>44377</v>
      </c>
      <c r="D823" s="3" t="s">
        <v>649</v>
      </c>
      <c r="E823" s="3" t="s">
        <v>337</v>
      </c>
      <c r="F823" s="3" t="s">
        <v>337</v>
      </c>
      <c r="G823" s="70" t="s">
        <v>664</v>
      </c>
      <c r="H823" s="3" t="s">
        <v>665</v>
      </c>
      <c r="I823" s="3" t="s">
        <v>105</v>
      </c>
      <c r="J823" s="3">
        <v>179</v>
      </c>
      <c r="K823" s="3">
        <v>0</v>
      </c>
      <c r="L823" s="3">
        <v>67</v>
      </c>
      <c r="M823" s="3">
        <v>0</v>
      </c>
      <c r="N823" s="3">
        <v>112</v>
      </c>
      <c r="O823" s="70">
        <v>-112</v>
      </c>
      <c r="P823" s="3">
        <v>0</v>
      </c>
      <c r="Q823" s="3">
        <v>0</v>
      </c>
      <c r="R823" s="3">
        <v>0.15687200000000001</v>
      </c>
      <c r="S823" s="3">
        <v>-17.57</v>
      </c>
      <c r="T823" s="3">
        <v>0</v>
      </c>
      <c r="U823" s="3">
        <v>17.57</v>
      </c>
      <c r="V823" s="70" t="s">
        <v>593</v>
      </c>
      <c r="W823" s="3" t="s">
        <v>343</v>
      </c>
      <c r="X823" s="3" t="s">
        <v>337</v>
      </c>
      <c r="Y823" s="3" t="s">
        <v>337</v>
      </c>
    </row>
    <row r="824" spans="1:25" hidden="1" x14ac:dyDescent="0.2">
      <c r="A824" s="83" t="str">
        <f t="shared" si="12"/>
        <v>新蔡水韵天街土耳其火山烧烤小粉包</v>
      </c>
      <c r="B824" s="3" t="s">
        <v>703</v>
      </c>
      <c r="C824" s="84">
        <v>44377</v>
      </c>
      <c r="D824" s="3" t="s">
        <v>649</v>
      </c>
      <c r="E824" s="3" t="s">
        <v>337</v>
      </c>
      <c r="F824" s="3" t="s">
        <v>337</v>
      </c>
      <c r="G824" s="70" t="s">
        <v>664</v>
      </c>
      <c r="H824" s="3" t="s">
        <v>665</v>
      </c>
      <c r="I824" s="3" t="s">
        <v>105</v>
      </c>
      <c r="J824" s="3">
        <v>55</v>
      </c>
      <c r="K824" s="3">
        <v>100</v>
      </c>
      <c r="L824" s="3">
        <v>138</v>
      </c>
      <c r="M824" s="3">
        <v>17</v>
      </c>
      <c r="N824" s="3">
        <v>17</v>
      </c>
      <c r="O824" s="70">
        <v>0</v>
      </c>
      <c r="P824" s="3">
        <v>0</v>
      </c>
      <c r="Q824" s="3">
        <v>0</v>
      </c>
      <c r="R824" s="3">
        <v>0.156471</v>
      </c>
      <c r="S824" s="3">
        <v>0</v>
      </c>
      <c r="T824" s="3">
        <v>2.66</v>
      </c>
      <c r="U824" s="3">
        <v>2.66</v>
      </c>
      <c r="V824" s="70" t="s">
        <v>335</v>
      </c>
      <c r="W824" s="3" t="s">
        <v>343</v>
      </c>
      <c r="X824" s="3" t="s">
        <v>337</v>
      </c>
      <c r="Y824" s="3" t="s">
        <v>337</v>
      </c>
    </row>
    <row r="825" spans="1:25" hidden="1" x14ac:dyDescent="0.2">
      <c r="A825" s="83" t="str">
        <f t="shared" si="12"/>
        <v>新蔡水韵天街黑椒烤肉风味沙拉酱</v>
      </c>
      <c r="B825" s="3" t="s">
        <v>703</v>
      </c>
      <c r="C825" s="84">
        <v>44377</v>
      </c>
      <c r="D825" s="3" t="s">
        <v>650</v>
      </c>
      <c r="E825" s="3" t="s">
        <v>337</v>
      </c>
      <c r="F825" s="3" t="s">
        <v>337</v>
      </c>
      <c r="G825" s="70" t="s">
        <v>666</v>
      </c>
      <c r="H825" s="3" t="s">
        <v>667</v>
      </c>
      <c r="I825" s="3" t="s">
        <v>89</v>
      </c>
      <c r="J825" s="3">
        <v>1300</v>
      </c>
      <c r="K825" s="3">
        <v>0</v>
      </c>
      <c r="L825" s="3">
        <v>2338</v>
      </c>
      <c r="M825" s="3">
        <v>0</v>
      </c>
      <c r="N825" s="3">
        <v>-1038</v>
      </c>
      <c r="O825" s="70">
        <v>1038</v>
      </c>
      <c r="P825" s="3">
        <v>0</v>
      </c>
      <c r="Q825" s="3">
        <v>0</v>
      </c>
      <c r="R825" s="3">
        <v>1.4146000000000001E-2</v>
      </c>
      <c r="S825" s="3">
        <v>14.68</v>
      </c>
      <c r="T825" s="3">
        <v>0</v>
      </c>
      <c r="U825" s="3">
        <v>-14.68</v>
      </c>
      <c r="V825" s="70" t="s">
        <v>335</v>
      </c>
      <c r="W825" s="3" t="s">
        <v>740</v>
      </c>
      <c r="X825" s="3" t="s">
        <v>337</v>
      </c>
      <c r="Y825" s="3" t="s">
        <v>337</v>
      </c>
    </row>
    <row r="826" spans="1:25" hidden="1" x14ac:dyDescent="0.2">
      <c r="A826" s="83" t="str">
        <f t="shared" si="12"/>
        <v>郑州康复中街黑椒烤肉风味沙拉酱</v>
      </c>
      <c r="B826" s="3" t="s">
        <v>704</v>
      </c>
      <c r="C826" s="84">
        <v>44377</v>
      </c>
      <c r="D826" s="3" t="s">
        <v>650</v>
      </c>
      <c r="E826" s="3" t="s">
        <v>337</v>
      </c>
      <c r="F826" s="3" t="s">
        <v>337</v>
      </c>
      <c r="G826" s="70" t="s">
        <v>666</v>
      </c>
      <c r="H826" s="3" t="s">
        <v>667</v>
      </c>
      <c r="I826" s="3" t="s">
        <v>89</v>
      </c>
      <c r="J826" s="3">
        <v>4200</v>
      </c>
      <c r="K826" s="3">
        <v>0</v>
      </c>
      <c r="L826" s="3">
        <v>1653.3</v>
      </c>
      <c r="M826" s="3">
        <v>2000</v>
      </c>
      <c r="N826" s="3">
        <v>2546.6999999999998</v>
      </c>
      <c r="O826" s="70">
        <v>-546.70000000000005</v>
      </c>
      <c r="P826" s="3">
        <v>0</v>
      </c>
      <c r="Q826" s="3">
        <v>0</v>
      </c>
      <c r="R826" s="3">
        <v>1.4149999999999999E-2</v>
      </c>
      <c r="S826" s="3">
        <v>-7.74</v>
      </c>
      <c r="T826" s="3">
        <v>28.3</v>
      </c>
      <c r="U826" s="3">
        <v>36.04</v>
      </c>
      <c r="V826" s="70" t="s">
        <v>593</v>
      </c>
      <c r="W826" s="3" t="s">
        <v>343</v>
      </c>
      <c r="X826" s="3" t="s">
        <v>337</v>
      </c>
      <c r="Y826" s="3" t="s">
        <v>337</v>
      </c>
    </row>
    <row r="827" spans="1:25" hidden="1" x14ac:dyDescent="0.2">
      <c r="A827" s="83" t="str">
        <f t="shared" si="12"/>
        <v>郑州瀚海海尚黑椒烤肉风味沙拉酱</v>
      </c>
      <c r="B827" s="3" t="s">
        <v>706</v>
      </c>
      <c r="C827" s="84">
        <v>44377</v>
      </c>
      <c r="D827" s="3" t="s">
        <v>650</v>
      </c>
      <c r="E827" s="3" t="s">
        <v>337</v>
      </c>
      <c r="F827" s="3" t="s">
        <v>337</v>
      </c>
      <c r="G827" s="70" t="s">
        <v>666</v>
      </c>
      <c r="H827" s="3" t="s">
        <v>667</v>
      </c>
      <c r="I827" s="3" t="s">
        <v>89</v>
      </c>
      <c r="J827" s="3">
        <v>4600</v>
      </c>
      <c r="K827" s="3">
        <v>0</v>
      </c>
      <c r="L827" s="3">
        <v>701.4</v>
      </c>
      <c r="M827" s="3">
        <v>2800</v>
      </c>
      <c r="N827" s="3">
        <v>3898.6</v>
      </c>
      <c r="O827" s="70">
        <v>-1098.5999999999999</v>
      </c>
      <c r="P827" s="3">
        <v>0</v>
      </c>
      <c r="Q827" s="3">
        <v>0</v>
      </c>
      <c r="R827" s="3">
        <v>1.4139000000000001E-2</v>
      </c>
      <c r="S827" s="3">
        <v>-15.53</v>
      </c>
      <c r="T827" s="3">
        <v>39.590000000000003</v>
      </c>
      <c r="U827" s="3">
        <v>55.12</v>
      </c>
      <c r="V827" s="70" t="s">
        <v>333</v>
      </c>
      <c r="W827" s="3" t="s">
        <v>343</v>
      </c>
      <c r="X827" s="3" t="s">
        <v>337</v>
      </c>
      <c r="Y827" s="3" t="s">
        <v>337</v>
      </c>
    </row>
    <row r="828" spans="1:25" hidden="1" x14ac:dyDescent="0.2">
      <c r="A828" s="83" t="str">
        <f t="shared" si="12"/>
        <v>华山龙源黑椒烤肉风味沙拉酱</v>
      </c>
      <c r="B828" s="3" t="s">
        <v>705</v>
      </c>
      <c r="C828" s="84">
        <v>44377</v>
      </c>
      <c r="D828" s="3" t="s">
        <v>650</v>
      </c>
      <c r="E828" s="3" t="s">
        <v>337</v>
      </c>
      <c r="F828" s="3" t="s">
        <v>337</v>
      </c>
      <c r="G828" s="70" t="s">
        <v>666</v>
      </c>
      <c r="H828" s="3" t="s">
        <v>667</v>
      </c>
      <c r="I828" s="3" t="s">
        <v>89</v>
      </c>
      <c r="J828" s="3">
        <v>3300</v>
      </c>
      <c r="K828" s="3">
        <v>0</v>
      </c>
      <c r="L828" s="3">
        <v>734.8</v>
      </c>
      <c r="M828" s="3">
        <v>2500</v>
      </c>
      <c r="N828" s="3">
        <v>2565.1999999999998</v>
      </c>
      <c r="O828" s="70">
        <v>-65.2</v>
      </c>
      <c r="P828" s="3">
        <v>0</v>
      </c>
      <c r="Q828" s="3">
        <v>0</v>
      </c>
      <c r="R828" s="3">
        <v>1.4144E-2</v>
      </c>
      <c r="S828" s="3">
        <v>-0.92</v>
      </c>
      <c r="T828" s="3">
        <v>35.36</v>
      </c>
      <c r="U828" s="3">
        <v>36.28</v>
      </c>
      <c r="V828" s="70" t="s">
        <v>643</v>
      </c>
      <c r="W828" s="3" t="s">
        <v>343</v>
      </c>
      <c r="X828" s="3" t="s">
        <v>337</v>
      </c>
      <c r="Y828" s="3" t="s">
        <v>337</v>
      </c>
    </row>
    <row r="829" spans="1:25" hidden="1" x14ac:dyDescent="0.2">
      <c r="A829" s="83" t="str">
        <f t="shared" si="12"/>
        <v>郑州西悦城黑椒烤肉风味沙拉酱</v>
      </c>
      <c r="B829" s="3" t="s">
        <v>708</v>
      </c>
      <c r="C829" s="84">
        <v>44377</v>
      </c>
      <c r="D829" s="3" t="s">
        <v>650</v>
      </c>
      <c r="E829" s="3" t="s">
        <v>337</v>
      </c>
      <c r="F829" s="3" t="s">
        <v>337</v>
      </c>
      <c r="G829" s="70" t="s">
        <v>666</v>
      </c>
      <c r="H829" s="3" t="s">
        <v>667</v>
      </c>
      <c r="I829" s="3" t="s">
        <v>89</v>
      </c>
      <c r="J829" s="3">
        <v>4000</v>
      </c>
      <c r="K829" s="3">
        <v>0</v>
      </c>
      <c r="L829" s="3">
        <v>2087.5</v>
      </c>
      <c r="M829" s="3">
        <v>1900</v>
      </c>
      <c r="N829" s="3">
        <v>1912.5</v>
      </c>
      <c r="O829" s="70">
        <v>-12.5</v>
      </c>
      <c r="P829" s="3">
        <v>0</v>
      </c>
      <c r="Q829" s="3">
        <v>0</v>
      </c>
      <c r="R829" s="3">
        <v>1.4147E-2</v>
      </c>
      <c r="S829" s="3">
        <v>-0.18</v>
      </c>
      <c r="T829" s="3">
        <v>26.88</v>
      </c>
      <c r="U829" s="3">
        <v>27.06</v>
      </c>
      <c r="V829" s="70" t="s">
        <v>332</v>
      </c>
      <c r="W829" s="3" t="s">
        <v>343</v>
      </c>
      <c r="X829" s="3" t="s">
        <v>337</v>
      </c>
      <c r="Y829" s="3" t="s">
        <v>337</v>
      </c>
    </row>
    <row r="830" spans="1:25" hidden="1" x14ac:dyDescent="0.2">
      <c r="A830" s="83" t="str">
        <f t="shared" si="12"/>
        <v>郑州铁英街黑椒烤肉风味沙拉酱</v>
      </c>
      <c r="B830" s="3" t="s">
        <v>707</v>
      </c>
      <c r="C830" s="84">
        <v>44377</v>
      </c>
      <c r="D830" s="3" t="s">
        <v>650</v>
      </c>
      <c r="E830" s="3" t="s">
        <v>337</v>
      </c>
      <c r="F830" s="3" t="s">
        <v>337</v>
      </c>
      <c r="G830" s="70" t="s">
        <v>666</v>
      </c>
      <c r="H830" s="3" t="s">
        <v>667</v>
      </c>
      <c r="I830" s="3" t="s">
        <v>89</v>
      </c>
      <c r="J830" s="3">
        <v>4500</v>
      </c>
      <c r="K830" s="3">
        <v>0</v>
      </c>
      <c r="L830" s="3">
        <v>968.6</v>
      </c>
      <c r="M830" s="3">
        <v>3000</v>
      </c>
      <c r="N830" s="3">
        <v>3531.4</v>
      </c>
      <c r="O830" s="70">
        <v>-531.4</v>
      </c>
      <c r="P830" s="3">
        <v>0</v>
      </c>
      <c r="Q830" s="3">
        <v>0</v>
      </c>
      <c r="R830" s="3">
        <v>1.4142999999999999E-2</v>
      </c>
      <c r="S830" s="3">
        <v>-7.52</v>
      </c>
      <c r="T830" s="3">
        <v>42.43</v>
      </c>
      <c r="U830" s="3">
        <v>49.94</v>
      </c>
      <c r="V830" s="70" t="s">
        <v>592</v>
      </c>
      <c r="W830" s="3" t="s">
        <v>343</v>
      </c>
      <c r="X830" s="3" t="s">
        <v>337</v>
      </c>
      <c r="Y830" s="3" t="s">
        <v>337</v>
      </c>
    </row>
    <row r="831" spans="1:25" hidden="1" x14ac:dyDescent="0.2">
      <c r="A831" s="83" t="str">
        <f t="shared" si="12"/>
        <v>方城锦城国际黑椒烤肉风味沙拉酱</v>
      </c>
      <c r="B831" s="3" t="s">
        <v>712</v>
      </c>
      <c r="C831" s="84">
        <v>44377</v>
      </c>
      <c r="D831" s="3" t="s">
        <v>650</v>
      </c>
      <c r="E831" s="3" t="s">
        <v>337</v>
      </c>
      <c r="F831" s="3" t="s">
        <v>337</v>
      </c>
      <c r="G831" s="70" t="s">
        <v>666</v>
      </c>
      <c r="H831" s="3" t="s">
        <v>667</v>
      </c>
      <c r="I831" s="3" t="s">
        <v>89</v>
      </c>
      <c r="J831" s="3">
        <v>1800</v>
      </c>
      <c r="K831" s="3">
        <v>0</v>
      </c>
      <c r="L831" s="3">
        <v>601.20000000000005</v>
      </c>
      <c r="M831" s="3">
        <v>1200</v>
      </c>
      <c r="N831" s="3">
        <v>1198.8</v>
      </c>
      <c r="O831" s="70">
        <v>1.2</v>
      </c>
      <c r="P831" s="3">
        <v>0</v>
      </c>
      <c r="Q831" s="3">
        <v>0</v>
      </c>
      <c r="R831" s="3">
        <v>1.4158E-2</v>
      </c>
      <c r="S831" s="3">
        <v>0.02</v>
      </c>
      <c r="T831" s="3">
        <v>16.989999999999998</v>
      </c>
      <c r="U831" s="3">
        <v>16.97</v>
      </c>
      <c r="V831" s="70" t="s">
        <v>594</v>
      </c>
      <c r="W831" s="3" t="s">
        <v>343</v>
      </c>
      <c r="X831" s="3" t="s">
        <v>337</v>
      </c>
      <c r="Y831" s="3" t="s">
        <v>337</v>
      </c>
    </row>
    <row r="832" spans="1:25" hidden="1" x14ac:dyDescent="0.2">
      <c r="A832" s="83" t="str">
        <f t="shared" si="12"/>
        <v>清丰凤鸣黑椒烤肉风味沙拉酱</v>
      </c>
      <c r="B832" s="3" t="s">
        <v>713</v>
      </c>
      <c r="C832" s="84">
        <v>44377</v>
      </c>
      <c r="D832" s="3" t="s">
        <v>650</v>
      </c>
      <c r="E832" s="3" t="s">
        <v>337</v>
      </c>
      <c r="F832" s="3" t="s">
        <v>337</v>
      </c>
      <c r="G832" s="70" t="s">
        <v>666</v>
      </c>
      <c r="H832" s="3" t="s">
        <v>667</v>
      </c>
      <c r="I832" s="3" t="s">
        <v>89</v>
      </c>
      <c r="J832" s="3">
        <v>5500</v>
      </c>
      <c r="K832" s="3">
        <v>0</v>
      </c>
      <c r="L832" s="3">
        <v>4969.6000000000004</v>
      </c>
      <c r="M832" s="3">
        <v>0</v>
      </c>
      <c r="N832" s="3">
        <v>530.4</v>
      </c>
      <c r="O832" s="70">
        <v>-530.4</v>
      </c>
      <c r="P832" s="3">
        <v>0</v>
      </c>
      <c r="Q832" s="3">
        <v>0</v>
      </c>
      <c r="R832" s="3">
        <v>1.4149E-2</v>
      </c>
      <c r="S832" s="3">
        <v>-7.5</v>
      </c>
      <c r="T832" s="3">
        <v>0</v>
      </c>
      <c r="U832" s="3">
        <v>7.5</v>
      </c>
      <c r="V832" s="70" t="s">
        <v>334</v>
      </c>
      <c r="W832" s="3" t="s">
        <v>343</v>
      </c>
      <c r="X832" s="3" t="s">
        <v>337</v>
      </c>
      <c r="Y832" s="3" t="s">
        <v>337</v>
      </c>
    </row>
    <row r="833" spans="1:25" hidden="1" x14ac:dyDescent="0.2">
      <c r="A833" s="83" t="str">
        <f t="shared" si="12"/>
        <v>郑州裕华黑椒烤肉风味沙拉酱</v>
      </c>
      <c r="B833" s="3" t="s">
        <v>711</v>
      </c>
      <c r="C833" s="84">
        <v>44377</v>
      </c>
      <c r="D833" s="3" t="s">
        <v>650</v>
      </c>
      <c r="E833" s="3" t="s">
        <v>337</v>
      </c>
      <c r="F833" s="3" t="s">
        <v>337</v>
      </c>
      <c r="G833" s="70" t="s">
        <v>666</v>
      </c>
      <c r="H833" s="3" t="s">
        <v>667</v>
      </c>
      <c r="I833" s="3" t="s">
        <v>89</v>
      </c>
      <c r="J833" s="3">
        <v>3000</v>
      </c>
      <c r="K833" s="3">
        <v>0</v>
      </c>
      <c r="L833" s="3">
        <v>267.2</v>
      </c>
      <c r="M833" s="3">
        <v>2500</v>
      </c>
      <c r="N833" s="3">
        <v>2732.8</v>
      </c>
      <c r="O833" s="70">
        <v>-232.8</v>
      </c>
      <c r="P833" s="3">
        <v>0</v>
      </c>
      <c r="Q833" s="3">
        <v>0</v>
      </c>
      <c r="R833" s="3">
        <v>1.4148000000000001E-2</v>
      </c>
      <c r="S833" s="3">
        <v>-3.29</v>
      </c>
      <c r="T833" s="3">
        <v>35.369999999999997</v>
      </c>
      <c r="U833" s="3">
        <v>38.659999999999997</v>
      </c>
      <c r="V833" s="70" t="s">
        <v>641</v>
      </c>
      <c r="W833" s="3" t="s">
        <v>343</v>
      </c>
      <c r="X833" s="3" t="s">
        <v>337</v>
      </c>
      <c r="Y833" s="3" t="s">
        <v>337</v>
      </c>
    </row>
    <row r="834" spans="1:25" hidden="1" x14ac:dyDescent="0.2">
      <c r="A834" s="83" t="str">
        <f t="shared" si="12"/>
        <v>滑县滑台黑椒烤肉风味沙拉酱</v>
      </c>
      <c r="B834" s="3" t="s">
        <v>710</v>
      </c>
      <c r="C834" s="3">
        <v>44377</v>
      </c>
      <c r="D834" s="3" t="s">
        <v>650</v>
      </c>
      <c r="E834" s="3" t="s">
        <v>337</v>
      </c>
      <c r="F834" s="3" t="s">
        <v>337</v>
      </c>
      <c r="G834" s="70" t="s">
        <v>666</v>
      </c>
      <c r="H834" s="3" t="s">
        <v>667</v>
      </c>
      <c r="I834" s="3" t="s">
        <v>89</v>
      </c>
      <c r="J834" s="3">
        <v>4900</v>
      </c>
      <c r="K834" s="3">
        <v>0</v>
      </c>
      <c r="L834" s="3">
        <v>1052.0999999999999</v>
      </c>
      <c r="M834" s="3">
        <v>3800</v>
      </c>
      <c r="N834" s="3">
        <v>3847.9</v>
      </c>
      <c r="O834" s="70">
        <v>-47.9</v>
      </c>
      <c r="P834" s="3">
        <v>0</v>
      </c>
      <c r="Q834" s="3">
        <v>0</v>
      </c>
      <c r="R834" s="3">
        <v>1.4145E-2</v>
      </c>
      <c r="S834" s="3">
        <v>-0.68</v>
      </c>
      <c r="T834" s="3">
        <v>53.75</v>
      </c>
      <c r="U834" s="3">
        <v>54.43</v>
      </c>
      <c r="V834" s="70" t="s">
        <v>639</v>
      </c>
      <c r="W834" s="3" t="s">
        <v>343</v>
      </c>
      <c r="X834" s="3" t="s">
        <v>337</v>
      </c>
      <c r="Y834" s="3" t="s">
        <v>337</v>
      </c>
    </row>
    <row r="835" spans="1:25" hidden="1" x14ac:dyDescent="0.2">
      <c r="A835" s="83" t="str">
        <f t="shared" ref="A835:A898" si="13">V835&amp;G835</f>
        <v>郑州盛华里黑椒烤肉风味沙拉酱</v>
      </c>
      <c r="B835" s="3" t="s">
        <v>709</v>
      </c>
      <c r="C835" s="3">
        <v>44377</v>
      </c>
      <c r="D835" s="3" t="s">
        <v>650</v>
      </c>
      <c r="E835" s="3" t="s">
        <v>337</v>
      </c>
      <c r="F835" s="3" t="s">
        <v>337</v>
      </c>
      <c r="G835" s="70" t="s">
        <v>666</v>
      </c>
      <c r="H835" s="3" t="s">
        <v>667</v>
      </c>
      <c r="I835" s="3" t="s">
        <v>89</v>
      </c>
      <c r="J835" s="3">
        <v>1216</v>
      </c>
      <c r="K835" s="3">
        <v>0</v>
      </c>
      <c r="L835" s="3">
        <v>367.4</v>
      </c>
      <c r="M835" s="3">
        <v>800</v>
      </c>
      <c r="N835" s="3">
        <v>848.6</v>
      </c>
      <c r="O835" s="70">
        <v>-48.6</v>
      </c>
      <c r="P835" s="3">
        <v>0</v>
      </c>
      <c r="Q835" s="3">
        <v>0</v>
      </c>
      <c r="R835" s="3">
        <v>1.4125E-2</v>
      </c>
      <c r="S835" s="3">
        <v>-0.69</v>
      </c>
      <c r="T835" s="3">
        <v>11.3</v>
      </c>
      <c r="U835" s="3">
        <v>11.99</v>
      </c>
      <c r="V835" s="70" t="s">
        <v>637</v>
      </c>
      <c r="W835" s="3" t="s">
        <v>343</v>
      </c>
      <c r="X835" s="3" t="s">
        <v>337</v>
      </c>
      <c r="Y835" s="3" t="s">
        <v>337</v>
      </c>
    </row>
    <row r="836" spans="1:25" hidden="1" x14ac:dyDescent="0.2">
      <c r="A836" s="83" t="str">
        <f t="shared" si="13"/>
        <v>郑州政六街黑椒烤肉风味沙拉酱</v>
      </c>
      <c r="B836" s="3" t="s">
        <v>714</v>
      </c>
      <c r="C836" s="3">
        <v>44377</v>
      </c>
      <c r="D836" s="3" t="s">
        <v>650</v>
      </c>
      <c r="E836" s="3" t="s">
        <v>337</v>
      </c>
      <c r="F836" s="3" t="s">
        <v>337</v>
      </c>
      <c r="G836" s="70" t="s">
        <v>666</v>
      </c>
      <c r="H836" s="3" t="s">
        <v>667</v>
      </c>
      <c r="I836" s="3" t="s">
        <v>89</v>
      </c>
      <c r="J836" s="3">
        <v>1750</v>
      </c>
      <c r="K836" s="3">
        <v>0</v>
      </c>
      <c r="L836" s="3">
        <v>1202.4000000000001</v>
      </c>
      <c r="M836" s="3">
        <v>600</v>
      </c>
      <c r="N836" s="3">
        <v>547.6</v>
      </c>
      <c r="O836" s="70">
        <v>52.4</v>
      </c>
      <c r="P836" s="3">
        <v>0</v>
      </c>
      <c r="Q836" s="3">
        <v>0</v>
      </c>
      <c r="R836" s="3">
        <v>1.4133E-2</v>
      </c>
      <c r="S836" s="3">
        <v>0.74</v>
      </c>
      <c r="T836" s="3">
        <v>8.48</v>
      </c>
      <c r="U836" s="3">
        <v>7.74</v>
      </c>
      <c r="V836" s="70" t="s">
        <v>591</v>
      </c>
      <c r="W836" s="3" t="s">
        <v>343</v>
      </c>
      <c r="X836" s="3" t="s">
        <v>337</v>
      </c>
      <c r="Y836" s="3" t="s">
        <v>337</v>
      </c>
    </row>
    <row r="837" spans="1:25" hidden="1" x14ac:dyDescent="0.2">
      <c r="A837" s="83" t="str">
        <f t="shared" si="13"/>
        <v>郑州政六街外卖薯条盒</v>
      </c>
      <c r="B837" s="3" t="s">
        <v>714</v>
      </c>
      <c r="C837" s="3">
        <v>44377</v>
      </c>
      <c r="D837" s="3" t="s">
        <v>651</v>
      </c>
      <c r="E837" s="3" t="s">
        <v>337</v>
      </c>
      <c r="F837" s="3" t="s">
        <v>337</v>
      </c>
      <c r="G837" s="70" t="s">
        <v>668</v>
      </c>
      <c r="H837" s="3" t="s">
        <v>669</v>
      </c>
      <c r="I837" s="3" t="s">
        <v>339</v>
      </c>
      <c r="J837" s="3">
        <v>0</v>
      </c>
      <c r="K837" s="3">
        <v>1000</v>
      </c>
      <c r="L837" s="3">
        <v>1360</v>
      </c>
      <c r="M837" s="3">
        <v>791</v>
      </c>
      <c r="N837" s="3">
        <v>-360</v>
      </c>
      <c r="O837" s="70">
        <v>1151</v>
      </c>
      <c r="P837" s="3">
        <v>0</v>
      </c>
      <c r="Q837" s="3">
        <v>0</v>
      </c>
      <c r="R837" s="3">
        <v>0.16799</v>
      </c>
      <c r="S837" s="3">
        <v>193.36</v>
      </c>
      <c r="T837" s="3">
        <v>132.88</v>
      </c>
      <c r="U837" s="3">
        <v>-60.48</v>
      </c>
      <c r="V837" s="70" t="s">
        <v>591</v>
      </c>
      <c r="W837" s="3" t="s">
        <v>741</v>
      </c>
      <c r="X837" s="3" t="s">
        <v>337</v>
      </c>
      <c r="Y837" s="3" t="s">
        <v>337</v>
      </c>
    </row>
    <row r="838" spans="1:25" hidden="1" x14ac:dyDescent="0.2">
      <c r="A838" s="83" t="str">
        <f t="shared" si="13"/>
        <v>郑州盛华里外卖薯条盒</v>
      </c>
      <c r="B838" s="3" t="s">
        <v>709</v>
      </c>
      <c r="C838" s="3">
        <v>44377</v>
      </c>
      <c r="D838" s="3" t="s">
        <v>651</v>
      </c>
      <c r="E838" s="3" t="s">
        <v>337</v>
      </c>
      <c r="F838" s="3" t="s">
        <v>337</v>
      </c>
      <c r="G838" s="70" t="s">
        <v>668</v>
      </c>
      <c r="H838" s="3" t="s">
        <v>669</v>
      </c>
      <c r="I838" s="3" t="s">
        <v>339</v>
      </c>
      <c r="J838" s="3">
        <v>0</v>
      </c>
      <c r="K838" s="3">
        <v>1000</v>
      </c>
      <c r="L838" s="3">
        <v>337</v>
      </c>
      <c r="M838" s="3">
        <v>950</v>
      </c>
      <c r="N838" s="3">
        <v>663</v>
      </c>
      <c r="O838" s="70">
        <v>287</v>
      </c>
      <c r="P838" s="3">
        <v>0</v>
      </c>
      <c r="Q838" s="3">
        <v>0</v>
      </c>
      <c r="R838" s="3">
        <v>0.16800000000000001</v>
      </c>
      <c r="S838" s="3">
        <v>48.22</v>
      </c>
      <c r="T838" s="3">
        <v>159.6</v>
      </c>
      <c r="U838" s="3">
        <v>111.38</v>
      </c>
      <c r="V838" s="70" t="s">
        <v>637</v>
      </c>
      <c r="W838" s="3" t="s">
        <v>343</v>
      </c>
      <c r="X838" s="3" t="s">
        <v>337</v>
      </c>
      <c r="Y838" s="3" t="s">
        <v>337</v>
      </c>
    </row>
    <row r="839" spans="1:25" hidden="1" x14ac:dyDescent="0.2">
      <c r="A839" s="83" t="str">
        <f t="shared" si="13"/>
        <v>滑县滑台外卖薯条盒</v>
      </c>
      <c r="B839" s="3" t="s">
        <v>710</v>
      </c>
      <c r="C839" s="3">
        <v>44377</v>
      </c>
      <c r="D839" s="3" t="s">
        <v>651</v>
      </c>
      <c r="E839" s="3" t="s">
        <v>337</v>
      </c>
      <c r="F839" s="3" t="s">
        <v>337</v>
      </c>
      <c r="G839" s="70" t="s">
        <v>668</v>
      </c>
      <c r="H839" s="3" t="s">
        <v>669</v>
      </c>
      <c r="I839" s="3" t="s">
        <v>339</v>
      </c>
      <c r="J839" s="3">
        <v>1000</v>
      </c>
      <c r="K839" s="3">
        <v>0</v>
      </c>
      <c r="L839" s="3">
        <v>512</v>
      </c>
      <c r="M839" s="3">
        <v>804</v>
      </c>
      <c r="N839" s="3">
        <v>488</v>
      </c>
      <c r="O839" s="70">
        <v>316</v>
      </c>
      <c r="P839" s="3">
        <v>0</v>
      </c>
      <c r="Q839" s="3">
        <v>0</v>
      </c>
      <c r="R839" s="3">
        <v>0.16799800000000001</v>
      </c>
      <c r="S839" s="3">
        <v>53.09</v>
      </c>
      <c r="T839" s="3">
        <v>135.07</v>
      </c>
      <c r="U839" s="3">
        <v>81.98</v>
      </c>
      <c r="V839" s="70" t="s">
        <v>639</v>
      </c>
      <c r="W839" s="3" t="s">
        <v>343</v>
      </c>
      <c r="X839" s="3" t="s">
        <v>337</v>
      </c>
      <c r="Y839" s="3" t="s">
        <v>337</v>
      </c>
    </row>
    <row r="840" spans="1:25" hidden="1" x14ac:dyDescent="0.2">
      <c r="A840" s="83" t="str">
        <f t="shared" si="13"/>
        <v>郑州裕华外卖薯条盒</v>
      </c>
      <c r="B840" s="3" t="s">
        <v>711</v>
      </c>
      <c r="C840" s="3">
        <v>44377</v>
      </c>
      <c r="D840" s="3" t="s">
        <v>651</v>
      </c>
      <c r="E840" s="3" t="s">
        <v>337</v>
      </c>
      <c r="F840" s="3" t="s">
        <v>337</v>
      </c>
      <c r="G840" s="70" t="s">
        <v>668</v>
      </c>
      <c r="H840" s="3" t="s">
        <v>669</v>
      </c>
      <c r="I840" s="3" t="s">
        <v>339</v>
      </c>
      <c r="J840" s="3">
        <v>1000</v>
      </c>
      <c r="K840" s="3">
        <v>0</v>
      </c>
      <c r="L840" s="3">
        <v>242</v>
      </c>
      <c r="M840" s="3">
        <v>1000</v>
      </c>
      <c r="N840" s="3">
        <v>758</v>
      </c>
      <c r="O840" s="70">
        <v>242</v>
      </c>
      <c r="P840" s="3">
        <v>0</v>
      </c>
      <c r="Q840" s="3">
        <v>0</v>
      </c>
      <c r="R840" s="3">
        <v>0.16800999999999999</v>
      </c>
      <c r="S840" s="3">
        <v>40.659999999999997</v>
      </c>
      <c r="T840" s="3">
        <v>168.01</v>
      </c>
      <c r="U840" s="3">
        <v>127.35</v>
      </c>
      <c r="V840" s="70" t="s">
        <v>641</v>
      </c>
      <c r="W840" s="3" t="s">
        <v>343</v>
      </c>
      <c r="X840" s="3" t="s">
        <v>337</v>
      </c>
      <c r="Y840" s="3" t="s">
        <v>337</v>
      </c>
    </row>
    <row r="841" spans="1:25" hidden="1" x14ac:dyDescent="0.2">
      <c r="A841" s="83" t="str">
        <f t="shared" si="13"/>
        <v>方城锦城国际外卖薯条盒</v>
      </c>
      <c r="B841" s="3" t="s">
        <v>712</v>
      </c>
      <c r="C841" s="3">
        <v>44377</v>
      </c>
      <c r="D841" s="3" t="s">
        <v>651</v>
      </c>
      <c r="E841" s="3" t="s">
        <v>337</v>
      </c>
      <c r="F841" s="3" t="s">
        <v>337</v>
      </c>
      <c r="G841" s="70" t="s">
        <v>668</v>
      </c>
      <c r="H841" s="3" t="s">
        <v>669</v>
      </c>
      <c r="I841" s="3" t="s">
        <v>339</v>
      </c>
      <c r="J841" s="3">
        <v>1000</v>
      </c>
      <c r="K841" s="3">
        <v>0</v>
      </c>
      <c r="L841" s="3">
        <v>174</v>
      </c>
      <c r="M841" s="3">
        <v>901</v>
      </c>
      <c r="N841" s="3">
        <v>826</v>
      </c>
      <c r="O841" s="70">
        <v>75</v>
      </c>
      <c r="P841" s="3">
        <v>0</v>
      </c>
      <c r="Q841" s="3">
        <v>0</v>
      </c>
      <c r="R841" s="3">
        <v>0.16797999999999999</v>
      </c>
      <c r="S841" s="3">
        <v>12.6</v>
      </c>
      <c r="T841" s="3">
        <v>151.35</v>
      </c>
      <c r="U841" s="3">
        <v>138.75</v>
      </c>
      <c r="V841" s="70" t="s">
        <v>594</v>
      </c>
      <c r="W841" s="3" t="s">
        <v>343</v>
      </c>
      <c r="X841" s="3" t="s">
        <v>337</v>
      </c>
      <c r="Y841" s="3" t="s">
        <v>337</v>
      </c>
    </row>
    <row r="842" spans="1:25" hidden="1" x14ac:dyDescent="0.2">
      <c r="A842" s="83" t="str">
        <f t="shared" si="13"/>
        <v>清丰凤鸣外卖薯条盒</v>
      </c>
      <c r="B842" s="3" t="s">
        <v>713</v>
      </c>
      <c r="C842" s="3">
        <v>44377</v>
      </c>
      <c r="D842" s="3" t="s">
        <v>651</v>
      </c>
      <c r="E842" s="3" t="s">
        <v>337</v>
      </c>
      <c r="F842" s="3" t="s">
        <v>337</v>
      </c>
      <c r="G842" s="70" t="s">
        <v>668</v>
      </c>
      <c r="H842" s="3" t="s">
        <v>669</v>
      </c>
      <c r="I842" s="3" t="s">
        <v>339</v>
      </c>
      <c r="J842" s="3">
        <v>0</v>
      </c>
      <c r="K842" s="3">
        <v>1000</v>
      </c>
      <c r="L842" s="3">
        <v>144</v>
      </c>
      <c r="M842" s="3">
        <v>910</v>
      </c>
      <c r="N842" s="3">
        <v>856</v>
      </c>
      <c r="O842" s="70">
        <v>54</v>
      </c>
      <c r="P842" s="3">
        <v>0</v>
      </c>
      <c r="Q842" s="3">
        <v>0</v>
      </c>
      <c r="R842" s="3">
        <v>0.167989</v>
      </c>
      <c r="S842" s="3">
        <v>9.07</v>
      </c>
      <c r="T842" s="3">
        <v>152.87</v>
      </c>
      <c r="U842" s="3">
        <v>143.80000000000001</v>
      </c>
      <c r="V842" s="70" t="s">
        <v>334</v>
      </c>
      <c r="W842" s="3" t="s">
        <v>343</v>
      </c>
      <c r="X842" s="3" t="s">
        <v>337</v>
      </c>
      <c r="Y842" s="3" t="s">
        <v>337</v>
      </c>
    </row>
    <row r="843" spans="1:25" hidden="1" x14ac:dyDescent="0.2">
      <c r="A843" s="83" t="str">
        <f t="shared" si="13"/>
        <v>郑州铁英街外卖薯条盒</v>
      </c>
      <c r="B843" s="3" t="s">
        <v>707</v>
      </c>
      <c r="C843" s="3">
        <v>44377</v>
      </c>
      <c r="D843" s="3" t="s">
        <v>651</v>
      </c>
      <c r="E843" s="3" t="s">
        <v>337</v>
      </c>
      <c r="F843" s="3" t="s">
        <v>337</v>
      </c>
      <c r="G843" s="70" t="s">
        <v>668</v>
      </c>
      <c r="H843" s="3" t="s">
        <v>669</v>
      </c>
      <c r="I843" s="3" t="s">
        <v>339</v>
      </c>
      <c r="J843" s="3">
        <v>1000</v>
      </c>
      <c r="K843" s="3">
        <v>0</v>
      </c>
      <c r="L843" s="3">
        <v>389</v>
      </c>
      <c r="M843" s="3">
        <v>646</v>
      </c>
      <c r="N843" s="3">
        <v>611</v>
      </c>
      <c r="O843" s="70">
        <v>35</v>
      </c>
      <c r="P843" s="3">
        <v>0</v>
      </c>
      <c r="Q843" s="3">
        <v>0</v>
      </c>
      <c r="R843" s="3">
        <v>0.16797200000000001</v>
      </c>
      <c r="S843" s="3">
        <v>5.88</v>
      </c>
      <c r="T843" s="3">
        <v>108.51</v>
      </c>
      <c r="U843" s="3">
        <v>102.63</v>
      </c>
      <c r="V843" s="70" t="s">
        <v>592</v>
      </c>
      <c r="W843" s="3" t="s">
        <v>343</v>
      </c>
      <c r="X843" s="3" t="s">
        <v>337</v>
      </c>
      <c r="Y843" s="3" t="s">
        <v>337</v>
      </c>
    </row>
    <row r="844" spans="1:25" hidden="1" x14ac:dyDescent="0.2">
      <c r="A844" s="83" t="str">
        <f t="shared" si="13"/>
        <v>郑州西悦城外卖薯条盒</v>
      </c>
      <c r="B844" s="3" t="s">
        <v>708</v>
      </c>
      <c r="C844" s="3">
        <v>44377</v>
      </c>
      <c r="D844" s="3" t="s">
        <v>651</v>
      </c>
      <c r="E844" s="3" t="s">
        <v>337</v>
      </c>
      <c r="F844" s="3" t="s">
        <v>337</v>
      </c>
      <c r="G844" s="70" t="s">
        <v>668</v>
      </c>
      <c r="H844" s="3" t="s">
        <v>669</v>
      </c>
      <c r="I844" s="3" t="s">
        <v>339</v>
      </c>
      <c r="J844" s="3">
        <v>1000</v>
      </c>
      <c r="K844" s="3">
        <v>0</v>
      </c>
      <c r="L844" s="3">
        <v>1036</v>
      </c>
      <c r="M844" s="3">
        <v>855</v>
      </c>
      <c r="N844" s="3">
        <v>-36</v>
      </c>
      <c r="O844" s="70">
        <v>891</v>
      </c>
      <c r="P844" s="3">
        <v>0</v>
      </c>
      <c r="Q844" s="3">
        <v>0</v>
      </c>
      <c r="R844" s="3">
        <v>0.16801199999999999</v>
      </c>
      <c r="S844" s="3">
        <v>149.69999999999999</v>
      </c>
      <c r="T844" s="3">
        <v>143.65</v>
      </c>
      <c r="U844" s="3">
        <v>-6.05</v>
      </c>
      <c r="V844" s="70" t="s">
        <v>332</v>
      </c>
      <c r="W844" s="3" t="s">
        <v>742</v>
      </c>
      <c r="X844" s="3" t="s">
        <v>337</v>
      </c>
      <c r="Y844" s="3" t="s">
        <v>337</v>
      </c>
    </row>
    <row r="845" spans="1:25" hidden="1" x14ac:dyDescent="0.2">
      <c r="A845" s="83" t="str">
        <f t="shared" si="13"/>
        <v>郑州瀚海海尚外卖薯条盒</v>
      </c>
      <c r="B845" s="3" t="s">
        <v>706</v>
      </c>
      <c r="C845" s="3">
        <v>44377</v>
      </c>
      <c r="D845" s="3" t="s">
        <v>651</v>
      </c>
      <c r="E845" s="3" t="s">
        <v>337</v>
      </c>
      <c r="F845" s="3" t="s">
        <v>337</v>
      </c>
      <c r="G845" s="70" t="s">
        <v>668</v>
      </c>
      <c r="H845" s="3" t="s">
        <v>669</v>
      </c>
      <c r="I845" s="3" t="s">
        <v>339</v>
      </c>
      <c r="J845" s="3">
        <v>0</v>
      </c>
      <c r="K845" s="3">
        <v>1000</v>
      </c>
      <c r="L845" s="3">
        <v>468</v>
      </c>
      <c r="M845" s="3">
        <v>754</v>
      </c>
      <c r="N845" s="3">
        <v>532</v>
      </c>
      <c r="O845" s="70">
        <v>222</v>
      </c>
      <c r="P845" s="3">
        <v>0</v>
      </c>
      <c r="Q845" s="3">
        <v>0</v>
      </c>
      <c r="R845" s="3">
        <v>0.16801099999999999</v>
      </c>
      <c r="S845" s="3">
        <v>37.299999999999997</v>
      </c>
      <c r="T845" s="3">
        <v>126.68</v>
      </c>
      <c r="U845" s="3">
        <v>89.38</v>
      </c>
      <c r="V845" s="70" t="s">
        <v>333</v>
      </c>
      <c r="W845" s="3" t="s">
        <v>343</v>
      </c>
      <c r="X845" s="3" t="s">
        <v>337</v>
      </c>
      <c r="Y845" s="3" t="s">
        <v>337</v>
      </c>
    </row>
    <row r="846" spans="1:25" hidden="1" x14ac:dyDescent="0.2">
      <c r="A846" s="83" t="str">
        <f t="shared" si="13"/>
        <v>华山龙源外卖薯条盒</v>
      </c>
      <c r="B846" s="3" t="s">
        <v>705</v>
      </c>
      <c r="C846" s="3">
        <v>44377</v>
      </c>
      <c r="D846" s="3" t="s">
        <v>651</v>
      </c>
      <c r="E846" s="3" t="s">
        <v>337</v>
      </c>
      <c r="F846" s="3" t="s">
        <v>337</v>
      </c>
      <c r="G846" s="70" t="s">
        <v>668</v>
      </c>
      <c r="H846" s="3" t="s">
        <v>669</v>
      </c>
      <c r="I846" s="3" t="s">
        <v>339</v>
      </c>
      <c r="J846" s="3">
        <v>0</v>
      </c>
      <c r="K846" s="3">
        <v>1000</v>
      </c>
      <c r="L846" s="3">
        <v>155</v>
      </c>
      <c r="M846" s="3">
        <v>856</v>
      </c>
      <c r="N846" s="3">
        <v>845</v>
      </c>
      <c r="O846" s="70">
        <v>11</v>
      </c>
      <c r="P846" s="3">
        <v>0</v>
      </c>
      <c r="Q846" s="3">
        <v>0</v>
      </c>
      <c r="R846" s="3">
        <v>0.16800200000000001</v>
      </c>
      <c r="S846" s="3">
        <v>1.85</v>
      </c>
      <c r="T846" s="3">
        <v>143.81</v>
      </c>
      <c r="U846" s="3">
        <v>141.96</v>
      </c>
      <c r="V846" s="70" t="s">
        <v>643</v>
      </c>
      <c r="W846" s="3" t="s">
        <v>343</v>
      </c>
      <c r="X846" s="3" t="s">
        <v>337</v>
      </c>
      <c r="Y846" s="3" t="s">
        <v>337</v>
      </c>
    </row>
    <row r="847" spans="1:25" hidden="1" x14ac:dyDescent="0.2">
      <c r="A847" s="83" t="str">
        <f t="shared" si="13"/>
        <v>郑州康复中街外卖薯条盒</v>
      </c>
      <c r="B847" s="3" t="s">
        <v>704</v>
      </c>
      <c r="C847" s="3">
        <v>44377</v>
      </c>
      <c r="D847" s="3" t="s">
        <v>651</v>
      </c>
      <c r="E847" s="3" t="s">
        <v>337</v>
      </c>
      <c r="F847" s="3" t="s">
        <v>337</v>
      </c>
      <c r="G847" s="70" t="s">
        <v>668</v>
      </c>
      <c r="H847" s="3" t="s">
        <v>669</v>
      </c>
      <c r="I847" s="3" t="s">
        <v>339</v>
      </c>
      <c r="J847" s="3">
        <v>935</v>
      </c>
      <c r="K847" s="3">
        <v>1000</v>
      </c>
      <c r="L847" s="3">
        <v>1101</v>
      </c>
      <c r="M847" s="3">
        <v>1759</v>
      </c>
      <c r="N847" s="3">
        <v>834</v>
      </c>
      <c r="O847" s="70">
        <v>925</v>
      </c>
      <c r="P847" s="3">
        <v>0</v>
      </c>
      <c r="Q847" s="3">
        <v>0</v>
      </c>
      <c r="R847" s="3">
        <v>0.16800499999999999</v>
      </c>
      <c r="S847" s="3">
        <v>155.4</v>
      </c>
      <c r="T847" s="3">
        <v>295.52</v>
      </c>
      <c r="U847" s="3">
        <v>140.12</v>
      </c>
      <c r="V847" s="70" t="s">
        <v>593</v>
      </c>
      <c r="W847" s="3" t="s">
        <v>343</v>
      </c>
      <c r="X847" s="3" t="s">
        <v>337</v>
      </c>
      <c r="Y847" s="3" t="s">
        <v>337</v>
      </c>
    </row>
    <row r="848" spans="1:25" hidden="1" x14ac:dyDescent="0.2">
      <c r="A848" s="83" t="str">
        <f t="shared" si="13"/>
        <v>新蔡水韵天街外卖薯条盒</v>
      </c>
      <c r="B848" s="3" t="s">
        <v>703</v>
      </c>
      <c r="C848" s="3">
        <v>44377</v>
      </c>
      <c r="D848" s="3" t="s">
        <v>651</v>
      </c>
      <c r="E848" s="3" t="s">
        <v>337</v>
      </c>
      <c r="F848" s="3" t="s">
        <v>337</v>
      </c>
      <c r="G848" s="70" t="s">
        <v>668</v>
      </c>
      <c r="H848" s="3" t="s">
        <v>669</v>
      </c>
      <c r="I848" s="3" t="s">
        <v>339</v>
      </c>
      <c r="J848" s="3">
        <v>950</v>
      </c>
      <c r="K848" s="3">
        <v>0</v>
      </c>
      <c r="L848" s="3">
        <v>193</v>
      </c>
      <c r="M848" s="3">
        <v>520</v>
      </c>
      <c r="N848" s="3">
        <v>757</v>
      </c>
      <c r="O848" s="70">
        <v>-237</v>
      </c>
      <c r="P848" s="3">
        <v>0</v>
      </c>
      <c r="Q848" s="3">
        <v>0</v>
      </c>
      <c r="R848" s="3">
        <v>0.167962</v>
      </c>
      <c r="S848" s="3">
        <v>-39.81</v>
      </c>
      <c r="T848" s="3">
        <v>87.34</v>
      </c>
      <c r="U848" s="3">
        <v>127.15</v>
      </c>
      <c r="V848" s="70" t="s">
        <v>335</v>
      </c>
      <c r="W848" s="3" t="s">
        <v>343</v>
      </c>
      <c r="X848" s="3" t="s">
        <v>337</v>
      </c>
      <c r="Y848" s="3" t="s">
        <v>337</v>
      </c>
    </row>
    <row r="849" spans="1:25" hidden="1" x14ac:dyDescent="0.2">
      <c r="A849" s="83" t="str">
        <f t="shared" si="13"/>
        <v>郑州康复中街霸王翅袋子</v>
      </c>
      <c r="B849" s="3" t="s">
        <v>704</v>
      </c>
      <c r="C849" s="3">
        <v>44377</v>
      </c>
      <c r="D849" s="3" t="s">
        <v>717</v>
      </c>
      <c r="E849" s="3" t="s">
        <v>337</v>
      </c>
      <c r="F849" s="3" t="s">
        <v>337</v>
      </c>
      <c r="G849" s="70" t="s">
        <v>743</v>
      </c>
      <c r="H849" s="3" t="s">
        <v>744</v>
      </c>
      <c r="I849" s="3" t="s">
        <v>339</v>
      </c>
      <c r="J849" s="3">
        <v>0</v>
      </c>
      <c r="K849" s="3">
        <v>350</v>
      </c>
      <c r="L849" s="3">
        <v>0</v>
      </c>
      <c r="M849" s="3">
        <v>350</v>
      </c>
      <c r="N849" s="3">
        <v>350</v>
      </c>
      <c r="O849" s="70">
        <v>0</v>
      </c>
      <c r="P849" s="3">
        <v>0</v>
      </c>
      <c r="Q849" s="3">
        <v>0</v>
      </c>
      <c r="R849" s="3">
        <v>9.2399999999999996E-2</v>
      </c>
      <c r="S849" s="3">
        <v>0</v>
      </c>
      <c r="T849" s="3">
        <v>32.340000000000003</v>
      </c>
      <c r="U849" s="3">
        <v>32.340000000000003</v>
      </c>
      <c r="V849" s="70" t="s">
        <v>593</v>
      </c>
      <c r="W849" s="3" t="s">
        <v>343</v>
      </c>
      <c r="X849" s="3" t="s">
        <v>337</v>
      </c>
      <c r="Y849" s="3" t="s">
        <v>337</v>
      </c>
    </row>
    <row r="850" spans="1:25" hidden="1" x14ac:dyDescent="0.2">
      <c r="A850" s="83" t="str">
        <f t="shared" si="13"/>
        <v>郑州瀚海海尚霸王翅袋子</v>
      </c>
      <c r="B850" s="3" t="s">
        <v>706</v>
      </c>
      <c r="C850" s="3">
        <v>44377</v>
      </c>
      <c r="D850" s="3" t="s">
        <v>717</v>
      </c>
      <c r="E850" s="3" t="s">
        <v>337</v>
      </c>
      <c r="F850" s="3" t="s">
        <v>337</v>
      </c>
      <c r="G850" s="70" t="s">
        <v>743</v>
      </c>
      <c r="H850" s="3" t="s">
        <v>744</v>
      </c>
      <c r="I850" s="3" t="s">
        <v>339</v>
      </c>
      <c r="J850" s="3">
        <v>0</v>
      </c>
      <c r="K850" s="3">
        <v>0</v>
      </c>
      <c r="L850" s="3">
        <v>0</v>
      </c>
      <c r="M850" s="3">
        <v>0</v>
      </c>
      <c r="N850" s="3">
        <v>0</v>
      </c>
      <c r="O850" s="70">
        <v>0</v>
      </c>
      <c r="P850" s="3">
        <v>0</v>
      </c>
      <c r="Q850" s="3">
        <v>0</v>
      </c>
      <c r="R850" s="3">
        <v>0</v>
      </c>
      <c r="S850" s="3">
        <v>0</v>
      </c>
      <c r="T850" s="3">
        <v>0</v>
      </c>
      <c r="U850" s="3">
        <v>0</v>
      </c>
      <c r="V850" s="70" t="s">
        <v>333</v>
      </c>
      <c r="W850" s="3" t="s">
        <v>343</v>
      </c>
      <c r="X850" s="3" t="s">
        <v>337</v>
      </c>
      <c r="Y850" s="3" t="s">
        <v>337</v>
      </c>
    </row>
    <row r="851" spans="1:25" hidden="1" x14ac:dyDescent="0.2">
      <c r="A851" s="83" t="str">
        <f t="shared" si="13"/>
        <v>郑州铁英街霸王翅袋子</v>
      </c>
      <c r="B851" s="3" t="s">
        <v>707</v>
      </c>
      <c r="C851" s="3">
        <v>44377</v>
      </c>
      <c r="D851" s="3" t="s">
        <v>717</v>
      </c>
      <c r="E851" s="3" t="s">
        <v>337</v>
      </c>
      <c r="F851" s="3" t="s">
        <v>337</v>
      </c>
      <c r="G851" s="70" t="s">
        <v>743</v>
      </c>
      <c r="H851" s="3" t="s">
        <v>744</v>
      </c>
      <c r="I851" s="3" t="s">
        <v>339</v>
      </c>
      <c r="J851" s="3">
        <v>0</v>
      </c>
      <c r="K851" s="3">
        <v>350</v>
      </c>
      <c r="L851" s="3">
        <v>0</v>
      </c>
      <c r="M851" s="3">
        <v>350</v>
      </c>
      <c r="N851" s="3">
        <v>350</v>
      </c>
      <c r="O851" s="70">
        <v>0</v>
      </c>
      <c r="P851" s="3">
        <v>0</v>
      </c>
      <c r="Q851" s="3">
        <v>0</v>
      </c>
      <c r="R851" s="3">
        <v>9.2399999999999996E-2</v>
      </c>
      <c r="S851" s="3">
        <v>0</v>
      </c>
      <c r="T851" s="3">
        <v>32.340000000000003</v>
      </c>
      <c r="U851" s="3">
        <v>32.340000000000003</v>
      </c>
      <c r="V851" s="70" t="s">
        <v>592</v>
      </c>
      <c r="W851" s="3" t="s">
        <v>343</v>
      </c>
      <c r="X851" s="3" t="s">
        <v>337</v>
      </c>
      <c r="Y851" s="3" t="s">
        <v>337</v>
      </c>
    </row>
    <row r="852" spans="1:25" hidden="1" x14ac:dyDescent="0.2">
      <c r="A852" s="83" t="str">
        <f t="shared" si="13"/>
        <v>郑州裕华霸王翅袋子</v>
      </c>
      <c r="B852" s="3" t="s">
        <v>711</v>
      </c>
      <c r="C852" s="3">
        <v>44377</v>
      </c>
      <c r="D852" s="3" t="s">
        <v>717</v>
      </c>
      <c r="E852" s="3" t="s">
        <v>337</v>
      </c>
      <c r="F852" s="3" t="s">
        <v>337</v>
      </c>
      <c r="G852" s="70" t="s">
        <v>743</v>
      </c>
      <c r="H852" s="3" t="s">
        <v>744</v>
      </c>
      <c r="I852" s="3" t="s">
        <v>339</v>
      </c>
      <c r="J852" s="3">
        <v>0</v>
      </c>
      <c r="K852" s="3">
        <v>0</v>
      </c>
      <c r="L852" s="3">
        <v>0</v>
      </c>
      <c r="M852" s="3">
        <v>0</v>
      </c>
      <c r="N852" s="3">
        <v>0</v>
      </c>
      <c r="O852" s="70">
        <v>0</v>
      </c>
      <c r="P852" s="3">
        <v>0</v>
      </c>
      <c r="Q852" s="3">
        <v>0</v>
      </c>
      <c r="R852" s="3">
        <v>0</v>
      </c>
      <c r="S852" s="3">
        <v>0</v>
      </c>
      <c r="T852" s="3">
        <v>0</v>
      </c>
      <c r="U852" s="3">
        <v>0</v>
      </c>
      <c r="V852" s="70" t="s">
        <v>641</v>
      </c>
      <c r="W852" s="3" t="s">
        <v>343</v>
      </c>
      <c r="X852" s="3" t="s">
        <v>337</v>
      </c>
      <c r="Y852" s="3" t="s">
        <v>337</v>
      </c>
    </row>
    <row r="853" spans="1:25" hidden="1" x14ac:dyDescent="0.2">
      <c r="A853" s="83" t="str">
        <f t="shared" si="13"/>
        <v>郑州盛华里霸王翅袋子</v>
      </c>
      <c r="B853" s="3" t="s">
        <v>709</v>
      </c>
      <c r="C853" s="3">
        <v>44377</v>
      </c>
      <c r="D853" s="3" t="s">
        <v>717</v>
      </c>
      <c r="E853" s="3" t="s">
        <v>337</v>
      </c>
      <c r="F853" s="3" t="s">
        <v>337</v>
      </c>
      <c r="G853" s="70" t="s">
        <v>743</v>
      </c>
      <c r="H853" s="3" t="s">
        <v>744</v>
      </c>
      <c r="I853" s="3" t="s">
        <v>339</v>
      </c>
      <c r="J853" s="3">
        <v>0</v>
      </c>
      <c r="K853" s="3">
        <v>350</v>
      </c>
      <c r="L853" s="3">
        <v>0</v>
      </c>
      <c r="M853" s="3">
        <v>350</v>
      </c>
      <c r="N853" s="3">
        <v>350</v>
      </c>
      <c r="O853" s="70">
        <v>0</v>
      </c>
      <c r="P853" s="3">
        <v>0</v>
      </c>
      <c r="Q853" s="3">
        <v>0</v>
      </c>
      <c r="R853" s="3">
        <v>9.2399999999999996E-2</v>
      </c>
      <c r="S853" s="3">
        <v>0</v>
      </c>
      <c r="T853" s="3">
        <v>32.340000000000003</v>
      </c>
      <c r="U853" s="3">
        <v>32.340000000000003</v>
      </c>
      <c r="V853" s="70" t="s">
        <v>637</v>
      </c>
      <c r="W853" s="3" t="s">
        <v>343</v>
      </c>
      <c r="X853" s="3" t="s">
        <v>337</v>
      </c>
      <c r="Y853" s="3" t="s">
        <v>337</v>
      </c>
    </row>
    <row r="854" spans="1:25" hidden="1" x14ac:dyDescent="0.2">
      <c r="A854" s="83" t="str">
        <f t="shared" si="13"/>
        <v>郑州政六街霸王翅袋子</v>
      </c>
      <c r="B854" s="3" t="s">
        <v>714</v>
      </c>
      <c r="C854" s="3">
        <v>44377</v>
      </c>
      <c r="D854" s="3" t="s">
        <v>717</v>
      </c>
      <c r="E854" s="3" t="s">
        <v>337</v>
      </c>
      <c r="F854" s="3" t="s">
        <v>337</v>
      </c>
      <c r="G854" s="70" t="s">
        <v>743</v>
      </c>
      <c r="H854" s="3" t="s">
        <v>744</v>
      </c>
      <c r="I854" s="3" t="s">
        <v>339</v>
      </c>
      <c r="J854" s="3">
        <v>0</v>
      </c>
      <c r="K854" s="3">
        <v>350</v>
      </c>
      <c r="L854" s="3">
        <v>0</v>
      </c>
      <c r="M854" s="3">
        <v>350</v>
      </c>
      <c r="N854" s="3">
        <v>350</v>
      </c>
      <c r="O854" s="70">
        <v>0</v>
      </c>
      <c r="P854" s="3">
        <v>0</v>
      </c>
      <c r="Q854" s="3">
        <v>0</v>
      </c>
      <c r="R854" s="3">
        <v>9.2399999999999996E-2</v>
      </c>
      <c r="S854" s="3">
        <v>0</v>
      </c>
      <c r="T854" s="3">
        <v>32.340000000000003</v>
      </c>
      <c r="U854" s="3">
        <v>32.340000000000003</v>
      </c>
      <c r="V854" s="70" t="s">
        <v>591</v>
      </c>
      <c r="W854" s="3" t="s">
        <v>343</v>
      </c>
      <c r="X854" s="3" t="s">
        <v>337</v>
      </c>
      <c r="Y854" s="3" t="s">
        <v>337</v>
      </c>
    </row>
    <row r="855" spans="1:25" hidden="1" x14ac:dyDescent="0.2">
      <c r="A855" s="83" t="str">
        <f t="shared" si="13"/>
        <v>郑州政六街菠萝啤酒风味糖浆</v>
      </c>
      <c r="B855" s="3" t="s">
        <v>714</v>
      </c>
      <c r="C855" s="3">
        <v>44377</v>
      </c>
      <c r="D855" s="3" t="s">
        <v>718</v>
      </c>
      <c r="E855" s="3" t="s">
        <v>337</v>
      </c>
      <c r="F855" s="3" t="s">
        <v>337</v>
      </c>
      <c r="G855" s="70" t="s">
        <v>745</v>
      </c>
      <c r="H855" s="3" t="s">
        <v>746</v>
      </c>
      <c r="I855" s="3" t="s">
        <v>452</v>
      </c>
      <c r="J855" s="3">
        <v>0</v>
      </c>
      <c r="K855" s="3">
        <v>4000</v>
      </c>
      <c r="L855" s="3">
        <v>0</v>
      </c>
      <c r="M855" s="3">
        <v>1000</v>
      </c>
      <c r="N855" s="3">
        <v>4000</v>
      </c>
      <c r="O855" s="70">
        <v>-3000</v>
      </c>
      <c r="P855" s="3">
        <v>0</v>
      </c>
      <c r="Q855" s="3">
        <v>0</v>
      </c>
      <c r="R855" s="3">
        <v>2.5999999999999999E-2</v>
      </c>
      <c r="S855" s="3">
        <v>-78</v>
      </c>
      <c r="T855" s="3">
        <v>26</v>
      </c>
      <c r="U855" s="3">
        <v>104</v>
      </c>
      <c r="V855" s="70" t="s">
        <v>591</v>
      </c>
      <c r="W855" s="3" t="s">
        <v>343</v>
      </c>
      <c r="X855" s="3" t="s">
        <v>337</v>
      </c>
      <c r="Y855" s="3" t="s">
        <v>337</v>
      </c>
    </row>
    <row r="856" spans="1:25" hidden="1" x14ac:dyDescent="0.2">
      <c r="A856" s="83" t="str">
        <f t="shared" si="13"/>
        <v>郑州盛华里菠萝啤酒风味糖浆</v>
      </c>
      <c r="B856" s="3" t="s">
        <v>709</v>
      </c>
      <c r="C856" s="3">
        <v>44377</v>
      </c>
      <c r="D856" s="3" t="s">
        <v>718</v>
      </c>
      <c r="E856" s="3" t="s">
        <v>337</v>
      </c>
      <c r="F856" s="3" t="s">
        <v>337</v>
      </c>
      <c r="G856" s="70" t="s">
        <v>745</v>
      </c>
      <c r="H856" s="3" t="s">
        <v>746</v>
      </c>
      <c r="I856" s="3" t="s">
        <v>452</v>
      </c>
      <c r="J856" s="3">
        <v>0</v>
      </c>
      <c r="K856" s="3">
        <v>4000</v>
      </c>
      <c r="L856" s="3">
        <v>0</v>
      </c>
      <c r="M856" s="3">
        <v>4000</v>
      </c>
      <c r="N856" s="3">
        <v>4000</v>
      </c>
      <c r="O856" s="70">
        <v>0</v>
      </c>
      <c r="P856" s="3">
        <v>0</v>
      </c>
      <c r="Q856" s="3">
        <v>0</v>
      </c>
      <c r="R856" s="3">
        <v>2.5999999999999999E-2</v>
      </c>
      <c r="S856" s="3">
        <v>0</v>
      </c>
      <c r="T856" s="3">
        <v>104</v>
      </c>
      <c r="U856" s="3">
        <v>104</v>
      </c>
      <c r="V856" s="70" t="s">
        <v>637</v>
      </c>
      <c r="W856" s="3" t="s">
        <v>343</v>
      </c>
      <c r="X856" s="3" t="s">
        <v>337</v>
      </c>
      <c r="Y856" s="3" t="s">
        <v>337</v>
      </c>
    </row>
    <row r="857" spans="1:25" hidden="1" x14ac:dyDescent="0.2">
      <c r="A857" s="83" t="str">
        <f t="shared" si="13"/>
        <v>滑县滑台菠萝啤酒风味糖浆</v>
      </c>
      <c r="B857" s="3" t="s">
        <v>710</v>
      </c>
      <c r="C857" s="3">
        <v>44377</v>
      </c>
      <c r="D857" s="3" t="s">
        <v>718</v>
      </c>
      <c r="E857" s="3" t="s">
        <v>337</v>
      </c>
      <c r="F857" s="3" t="s">
        <v>337</v>
      </c>
      <c r="G857" s="70" t="s">
        <v>745</v>
      </c>
      <c r="H857" s="3" t="s">
        <v>746</v>
      </c>
      <c r="I857" s="3" t="s">
        <v>452</v>
      </c>
      <c r="J857" s="3">
        <v>0</v>
      </c>
      <c r="K857" s="3">
        <v>4000</v>
      </c>
      <c r="L857" s="3">
        <v>0</v>
      </c>
      <c r="M857" s="3">
        <v>4000</v>
      </c>
      <c r="N857" s="3">
        <v>4000</v>
      </c>
      <c r="O857" s="70">
        <v>0</v>
      </c>
      <c r="P857" s="3">
        <v>0</v>
      </c>
      <c r="Q857" s="3">
        <v>0</v>
      </c>
      <c r="R857" s="3">
        <v>2.5999999999999999E-2</v>
      </c>
      <c r="S857" s="3">
        <v>0</v>
      </c>
      <c r="T857" s="3">
        <v>104</v>
      </c>
      <c r="U857" s="3">
        <v>104</v>
      </c>
      <c r="V857" s="70" t="s">
        <v>639</v>
      </c>
      <c r="W857" s="3" t="s">
        <v>343</v>
      </c>
      <c r="X857" s="3" t="s">
        <v>337</v>
      </c>
      <c r="Y857" s="3" t="s">
        <v>337</v>
      </c>
    </row>
    <row r="858" spans="1:25" hidden="1" x14ac:dyDescent="0.2">
      <c r="A858" s="83" t="str">
        <f t="shared" si="13"/>
        <v>郑州裕华菠萝啤酒风味糖浆</v>
      </c>
      <c r="B858" s="3" t="s">
        <v>711</v>
      </c>
      <c r="C858" s="3">
        <v>44377</v>
      </c>
      <c r="D858" s="3" t="s">
        <v>718</v>
      </c>
      <c r="E858" s="3" t="s">
        <v>337</v>
      </c>
      <c r="F858" s="3" t="s">
        <v>337</v>
      </c>
      <c r="G858" s="70" t="s">
        <v>745</v>
      </c>
      <c r="H858" s="3" t="s">
        <v>746</v>
      </c>
      <c r="I858" s="3" t="s">
        <v>452</v>
      </c>
      <c r="J858" s="3">
        <v>0</v>
      </c>
      <c r="K858" s="3">
        <v>4000</v>
      </c>
      <c r="L858" s="3">
        <v>0</v>
      </c>
      <c r="M858" s="3">
        <v>4000</v>
      </c>
      <c r="N858" s="3">
        <v>4000</v>
      </c>
      <c r="O858" s="70">
        <v>0</v>
      </c>
      <c r="P858" s="3">
        <v>0</v>
      </c>
      <c r="Q858" s="3">
        <v>0</v>
      </c>
      <c r="R858" s="3">
        <v>2.5999999999999999E-2</v>
      </c>
      <c r="S858" s="3">
        <v>0</v>
      </c>
      <c r="T858" s="3">
        <v>104</v>
      </c>
      <c r="U858" s="3">
        <v>104</v>
      </c>
      <c r="V858" s="70" t="s">
        <v>641</v>
      </c>
      <c r="W858" s="3" t="s">
        <v>343</v>
      </c>
      <c r="X858" s="3" t="s">
        <v>337</v>
      </c>
      <c r="Y858" s="3" t="s">
        <v>337</v>
      </c>
    </row>
    <row r="859" spans="1:25" hidden="1" x14ac:dyDescent="0.2">
      <c r="A859" s="83" t="str">
        <f t="shared" si="13"/>
        <v>清丰凤鸣菠萝啤酒风味糖浆</v>
      </c>
      <c r="B859" s="3" t="s">
        <v>713</v>
      </c>
      <c r="C859" s="3">
        <v>44377</v>
      </c>
      <c r="D859" s="3" t="s">
        <v>718</v>
      </c>
      <c r="E859" s="3" t="s">
        <v>337</v>
      </c>
      <c r="F859" s="3" t="s">
        <v>337</v>
      </c>
      <c r="G859" s="70" t="s">
        <v>745</v>
      </c>
      <c r="H859" s="3" t="s">
        <v>746</v>
      </c>
      <c r="I859" s="3" t="s">
        <v>452</v>
      </c>
      <c r="J859" s="3">
        <v>0</v>
      </c>
      <c r="K859" s="3">
        <v>4000</v>
      </c>
      <c r="L859" s="3">
        <v>0</v>
      </c>
      <c r="M859" s="3">
        <v>4000</v>
      </c>
      <c r="N859" s="3">
        <v>4000</v>
      </c>
      <c r="O859" s="70">
        <v>0</v>
      </c>
      <c r="P859" s="3">
        <v>0</v>
      </c>
      <c r="Q859" s="3">
        <v>0</v>
      </c>
      <c r="R859" s="3">
        <v>2.5999999999999999E-2</v>
      </c>
      <c r="S859" s="3">
        <v>0</v>
      </c>
      <c r="T859" s="3">
        <v>104</v>
      </c>
      <c r="U859" s="3">
        <v>104</v>
      </c>
      <c r="V859" s="70" t="s">
        <v>334</v>
      </c>
      <c r="W859" s="3" t="s">
        <v>343</v>
      </c>
      <c r="X859" s="3" t="s">
        <v>337</v>
      </c>
      <c r="Y859" s="3" t="s">
        <v>337</v>
      </c>
    </row>
    <row r="860" spans="1:25" hidden="1" x14ac:dyDescent="0.2">
      <c r="A860" s="83" t="str">
        <f t="shared" si="13"/>
        <v>方城锦城国际菠萝啤酒风味糖浆</v>
      </c>
      <c r="B860" s="3" t="s">
        <v>712</v>
      </c>
      <c r="C860" s="3">
        <v>44377</v>
      </c>
      <c r="D860" s="3" t="s">
        <v>718</v>
      </c>
      <c r="E860" s="3" t="s">
        <v>337</v>
      </c>
      <c r="F860" s="3" t="s">
        <v>337</v>
      </c>
      <c r="G860" s="70" t="s">
        <v>745</v>
      </c>
      <c r="H860" s="3" t="s">
        <v>746</v>
      </c>
      <c r="I860" s="3" t="s">
        <v>452</v>
      </c>
      <c r="J860" s="3">
        <v>0</v>
      </c>
      <c r="K860" s="3">
        <v>4000</v>
      </c>
      <c r="L860" s="3">
        <v>0</v>
      </c>
      <c r="M860" s="3">
        <v>4000</v>
      </c>
      <c r="N860" s="3">
        <v>4000</v>
      </c>
      <c r="O860" s="70">
        <v>0</v>
      </c>
      <c r="P860" s="3">
        <v>0</v>
      </c>
      <c r="Q860" s="3">
        <v>0</v>
      </c>
      <c r="R860" s="3">
        <v>2.5999999999999999E-2</v>
      </c>
      <c r="S860" s="3">
        <v>0</v>
      </c>
      <c r="T860" s="3">
        <v>104</v>
      </c>
      <c r="U860" s="3">
        <v>104</v>
      </c>
      <c r="V860" s="70" t="s">
        <v>594</v>
      </c>
      <c r="W860" s="3" t="s">
        <v>343</v>
      </c>
      <c r="X860" s="3" t="s">
        <v>337</v>
      </c>
      <c r="Y860" s="3" t="s">
        <v>337</v>
      </c>
    </row>
    <row r="861" spans="1:25" hidden="1" x14ac:dyDescent="0.2">
      <c r="A861" s="83" t="str">
        <f t="shared" si="13"/>
        <v>郑州铁英街菠萝啤酒风味糖浆</v>
      </c>
      <c r="B861" s="3" t="s">
        <v>707</v>
      </c>
      <c r="C861" s="3">
        <v>44377</v>
      </c>
      <c r="D861" s="3" t="s">
        <v>718</v>
      </c>
      <c r="E861" s="3" t="s">
        <v>337</v>
      </c>
      <c r="F861" s="3" t="s">
        <v>337</v>
      </c>
      <c r="G861" s="70" t="s">
        <v>745</v>
      </c>
      <c r="H861" s="3" t="s">
        <v>746</v>
      </c>
      <c r="I861" s="3" t="s">
        <v>452</v>
      </c>
      <c r="J861" s="3">
        <v>0</v>
      </c>
      <c r="K861" s="3">
        <v>4000</v>
      </c>
      <c r="L861" s="3">
        <v>0</v>
      </c>
      <c r="M861" s="3">
        <v>4000</v>
      </c>
      <c r="N861" s="3">
        <v>4000</v>
      </c>
      <c r="O861" s="70">
        <v>0</v>
      </c>
      <c r="P861" s="3">
        <v>0</v>
      </c>
      <c r="Q861" s="3">
        <v>0</v>
      </c>
      <c r="R861" s="3">
        <v>2.5999999999999999E-2</v>
      </c>
      <c r="S861" s="3">
        <v>0</v>
      </c>
      <c r="T861" s="3">
        <v>104</v>
      </c>
      <c r="U861" s="3">
        <v>104</v>
      </c>
      <c r="V861" s="70" t="s">
        <v>592</v>
      </c>
      <c r="W861" s="3" t="s">
        <v>343</v>
      </c>
      <c r="X861" s="3" t="s">
        <v>337</v>
      </c>
      <c r="Y861" s="3" t="s">
        <v>337</v>
      </c>
    </row>
    <row r="862" spans="1:25" hidden="1" x14ac:dyDescent="0.2">
      <c r="A862" s="83" t="str">
        <f t="shared" si="13"/>
        <v>郑州西悦城菠萝啤酒风味糖浆</v>
      </c>
      <c r="B862" s="3" t="s">
        <v>708</v>
      </c>
      <c r="C862" s="3">
        <v>44377</v>
      </c>
      <c r="D862" s="3" t="s">
        <v>718</v>
      </c>
      <c r="E862" s="3" t="s">
        <v>337</v>
      </c>
      <c r="F862" s="3" t="s">
        <v>337</v>
      </c>
      <c r="G862" s="70" t="s">
        <v>745</v>
      </c>
      <c r="H862" s="3" t="s">
        <v>746</v>
      </c>
      <c r="I862" s="3" t="s">
        <v>452</v>
      </c>
      <c r="J862" s="3">
        <v>0</v>
      </c>
      <c r="K862" s="3">
        <v>4000</v>
      </c>
      <c r="L862" s="3">
        <v>0</v>
      </c>
      <c r="M862" s="3">
        <v>4000</v>
      </c>
      <c r="N862" s="3">
        <v>4000</v>
      </c>
      <c r="O862" s="70">
        <v>0</v>
      </c>
      <c r="P862" s="3">
        <v>0</v>
      </c>
      <c r="Q862" s="3">
        <v>0</v>
      </c>
      <c r="R862" s="3">
        <v>2.5999999999999999E-2</v>
      </c>
      <c r="S862" s="3">
        <v>0</v>
      </c>
      <c r="T862" s="3">
        <v>104</v>
      </c>
      <c r="U862" s="3">
        <v>104</v>
      </c>
      <c r="V862" s="70" t="s">
        <v>332</v>
      </c>
      <c r="W862" s="3" t="s">
        <v>343</v>
      </c>
      <c r="X862" s="3" t="s">
        <v>337</v>
      </c>
      <c r="Y862" s="3" t="s">
        <v>337</v>
      </c>
    </row>
    <row r="863" spans="1:25" hidden="1" x14ac:dyDescent="0.2">
      <c r="A863" s="83" t="str">
        <f t="shared" si="13"/>
        <v>郑州瀚海海尚菠萝啤酒风味糖浆</v>
      </c>
      <c r="B863" s="3" t="s">
        <v>706</v>
      </c>
      <c r="C863" s="3">
        <v>44377</v>
      </c>
      <c r="D863" s="3" t="s">
        <v>718</v>
      </c>
      <c r="E863" s="3" t="s">
        <v>337</v>
      </c>
      <c r="F863" s="3" t="s">
        <v>337</v>
      </c>
      <c r="G863" s="70" t="s">
        <v>745</v>
      </c>
      <c r="H863" s="3" t="s">
        <v>746</v>
      </c>
      <c r="I863" s="3" t="s">
        <v>452</v>
      </c>
      <c r="J863" s="3">
        <v>0</v>
      </c>
      <c r="K863" s="3">
        <v>4000</v>
      </c>
      <c r="L863" s="3">
        <v>0</v>
      </c>
      <c r="M863" s="3">
        <v>4000</v>
      </c>
      <c r="N863" s="3">
        <v>4000</v>
      </c>
      <c r="O863" s="70">
        <v>0</v>
      </c>
      <c r="P863" s="3">
        <v>0</v>
      </c>
      <c r="Q863" s="3">
        <v>0</v>
      </c>
      <c r="R863" s="3">
        <v>2.5999999999999999E-2</v>
      </c>
      <c r="S863" s="3">
        <v>0</v>
      </c>
      <c r="T863" s="3">
        <v>104</v>
      </c>
      <c r="U863" s="3">
        <v>104</v>
      </c>
      <c r="V863" s="70" t="s">
        <v>333</v>
      </c>
      <c r="W863" s="3" t="s">
        <v>343</v>
      </c>
      <c r="X863" s="3" t="s">
        <v>337</v>
      </c>
      <c r="Y863" s="3" t="s">
        <v>337</v>
      </c>
    </row>
    <row r="864" spans="1:25" hidden="1" x14ac:dyDescent="0.2">
      <c r="A864" s="83" t="str">
        <f t="shared" si="13"/>
        <v>华山龙源菠萝啤酒风味糖浆</v>
      </c>
      <c r="B864" s="3" t="s">
        <v>705</v>
      </c>
      <c r="C864" s="3">
        <v>44377</v>
      </c>
      <c r="D864" s="3" t="s">
        <v>718</v>
      </c>
      <c r="E864" s="3" t="s">
        <v>337</v>
      </c>
      <c r="F864" s="3" t="s">
        <v>337</v>
      </c>
      <c r="G864" s="70" t="s">
        <v>745</v>
      </c>
      <c r="H864" s="3" t="s">
        <v>746</v>
      </c>
      <c r="I864" s="3" t="s">
        <v>452</v>
      </c>
      <c r="J864" s="3">
        <v>0</v>
      </c>
      <c r="K864" s="3">
        <v>4000</v>
      </c>
      <c r="L864" s="3">
        <v>0</v>
      </c>
      <c r="M864" s="3">
        <v>0</v>
      </c>
      <c r="N864" s="3">
        <v>4000</v>
      </c>
      <c r="O864" s="70">
        <v>-4000</v>
      </c>
      <c r="P864" s="3">
        <v>0</v>
      </c>
      <c r="Q864" s="3">
        <v>0</v>
      </c>
      <c r="R864" s="3">
        <v>2.5999999999999999E-2</v>
      </c>
      <c r="S864" s="3">
        <v>-104</v>
      </c>
      <c r="T864" s="3">
        <v>0</v>
      </c>
      <c r="U864" s="3">
        <v>104</v>
      </c>
      <c r="V864" s="70" t="s">
        <v>643</v>
      </c>
      <c r="W864" s="3" t="s">
        <v>343</v>
      </c>
      <c r="X864" s="3" t="s">
        <v>337</v>
      </c>
      <c r="Y864" s="3" t="s">
        <v>337</v>
      </c>
    </row>
    <row r="865" spans="1:25" hidden="1" x14ac:dyDescent="0.2">
      <c r="A865" s="83" t="str">
        <f t="shared" si="13"/>
        <v>郑州康复中街菠萝啤酒风味糖浆</v>
      </c>
      <c r="B865" s="3" t="s">
        <v>704</v>
      </c>
      <c r="C865" s="3">
        <v>44377</v>
      </c>
      <c r="D865" s="3" t="s">
        <v>718</v>
      </c>
      <c r="E865" s="3" t="s">
        <v>337</v>
      </c>
      <c r="F865" s="3" t="s">
        <v>337</v>
      </c>
      <c r="G865" s="70" t="s">
        <v>745</v>
      </c>
      <c r="H865" s="3" t="s">
        <v>746</v>
      </c>
      <c r="I865" s="3" t="s">
        <v>452</v>
      </c>
      <c r="J865" s="3">
        <v>0</v>
      </c>
      <c r="K865" s="3">
        <v>4000</v>
      </c>
      <c r="L865" s="3">
        <v>0</v>
      </c>
      <c r="M865" s="3">
        <v>4000</v>
      </c>
      <c r="N865" s="3">
        <v>4000</v>
      </c>
      <c r="O865" s="70">
        <v>0</v>
      </c>
      <c r="P865" s="3">
        <v>0</v>
      </c>
      <c r="Q865" s="3">
        <v>0</v>
      </c>
      <c r="R865" s="3">
        <v>2.5999999999999999E-2</v>
      </c>
      <c r="S865" s="3">
        <v>0</v>
      </c>
      <c r="T865" s="3">
        <v>104</v>
      </c>
      <c r="U865" s="3">
        <v>104</v>
      </c>
      <c r="V865" s="70" t="s">
        <v>593</v>
      </c>
      <c r="W865" s="3" t="s">
        <v>343</v>
      </c>
      <c r="X865" s="3" t="s">
        <v>337</v>
      </c>
      <c r="Y865" s="3" t="s">
        <v>337</v>
      </c>
    </row>
    <row r="866" spans="1:25" hidden="1" x14ac:dyDescent="0.2">
      <c r="A866" s="83" t="str">
        <f t="shared" si="13"/>
        <v>新蔡水韵天街菠萝啤酒风味糖浆</v>
      </c>
      <c r="B866" s="3" t="s">
        <v>703</v>
      </c>
      <c r="C866" s="3">
        <v>44377</v>
      </c>
      <c r="D866" s="3" t="s">
        <v>718</v>
      </c>
      <c r="E866" s="3" t="s">
        <v>337</v>
      </c>
      <c r="F866" s="3" t="s">
        <v>337</v>
      </c>
      <c r="G866" s="70" t="s">
        <v>745</v>
      </c>
      <c r="H866" s="3" t="s">
        <v>746</v>
      </c>
      <c r="I866" s="3" t="s">
        <v>452</v>
      </c>
      <c r="J866" s="3">
        <v>0</v>
      </c>
      <c r="K866" s="3">
        <v>4000</v>
      </c>
      <c r="L866" s="3">
        <v>0</v>
      </c>
      <c r="M866" s="3">
        <v>4000</v>
      </c>
      <c r="N866" s="3">
        <v>4000</v>
      </c>
      <c r="O866" s="70">
        <v>0</v>
      </c>
      <c r="P866" s="3">
        <v>0</v>
      </c>
      <c r="Q866" s="3">
        <v>0</v>
      </c>
      <c r="R866" s="3">
        <v>2.5999999999999999E-2</v>
      </c>
      <c r="S866" s="3">
        <v>0</v>
      </c>
      <c r="T866" s="3">
        <v>104</v>
      </c>
      <c r="U866" s="3">
        <v>104</v>
      </c>
      <c r="V866" s="70" t="s">
        <v>335</v>
      </c>
      <c r="W866" s="3" t="s">
        <v>343</v>
      </c>
      <c r="X866" s="3" t="s">
        <v>337</v>
      </c>
      <c r="Y866" s="3" t="s">
        <v>337</v>
      </c>
    </row>
    <row r="867" spans="1:25" hidden="1" x14ac:dyDescent="0.2">
      <c r="A867" s="83" t="str">
        <f t="shared" si="13"/>
        <v>新蔡水韵天街小号方底纸袋（牛皮）</v>
      </c>
      <c r="B867" s="3" t="s">
        <v>703</v>
      </c>
      <c r="C867" s="3">
        <v>44377</v>
      </c>
      <c r="D867" s="3" t="s">
        <v>502</v>
      </c>
      <c r="E867" s="3" t="s">
        <v>337</v>
      </c>
      <c r="F867" s="3" t="s">
        <v>337</v>
      </c>
      <c r="G867" s="70" t="s">
        <v>503</v>
      </c>
      <c r="H867" s="3" t="s">
        <v>504</v>
      </c>
      <c r="I867" s="3" t="s">
        <v>339</v>
      </c>
      <c r="J867" s="3">
        <v>900</v>
      </c>
      <c r="K867" s="3">
        <v>1000</v>
      </c>
      <c r="L867" s="3">
        <v>0</v>
      </c>
      <c r="M867" s="3">
        <v>600</v>
      </c>
      <c r="N867" s="3">
        <v>1900</v>
      </c>
      <c r="O867" s="70">
        <v>-1300</v>
      </c>
      <c r="P867" s="3">
        <v>0</v>
      </c>
      <c r="Q867" s="3">
        <v>0</v>
      </c>
      <c r="R867" s="3">
        <v>0.230133</v>
      </c>
      <c r="S867" s="3">
        <v>-299.17</v>
      </c>
      <c r="T867" s="3">
        <v>138.08000000000001</v>
      </c>
      <c r="U867" s="3">
        <v>437.25</v>
      </c>
      <c r="V867" s="70" t="s">
        <v>335</v>
      </c>
      <c r="W867" s="3" t="s">
        <v>343</v>
      </c>
      <c r="X867" s="3" t="s">
        <v>337</v>
      </c>
      <c r="Y867" s="3" t="s">
        <v>337</v>
      </c>
    </row>
    <row r="868" spans="1:25" hidden="1" x14ac:dyDescent="0.2">
      <c r="A868" s="83" t="str">
        <f t="shared" si="13"/>
        <v>郑州康复中街小号方底纸袋（牛皮）</v>
      </c>
      <c r="B868" s="3" t="s">
        <v>704</v>
      </c>
      <c r="C868" s="3">
        <v>44377</v>
      </c>
      <c r="D868" s="3" t="s">
        <v>502</v>
      </c>
      <c r="E868" s="3" t="s">
        <v>337</v>
      </c>
      <c r="F868" s="3" t="s">
        <v>337</v>
      </c>
      <c r="G868" s="70" t="s">
        <v>503</v>
      </c>
      <c r="H868" s="3" t="s">
        <v>504</v>
      </c>
      <c r="I868" s="3" t="s">
        <v>339</v>
      </c>
      <c r="J868" s="3">
        <v>729</v>
      </c>
      <c r="K868" s="3">
        <v>3000</v>
      </c>
      <c r="L868" s="3">
        <v>0</v>
      </c>
      <c r="M868" s="3">
        <v>1900</v>
      </c>
      <c r="N868" s="3">
        <v>3729</v>
      </c>
      <c r="O868" s="70">
        <v>-1829</v>
      </c>
      <c r="P868" s="3">
        <v>0</v>
      </c>
      <c r="Q868" s="3">
        <v>0</v>
      </c>
      <c r="R868" s="3">
        <v>0.229411</v>
      </c>
      <c r="S868" s="3">
        <v>-419.59</v>
      </c>
      <c r="T868" s="3">
        <v>435.88</v>
      </c>
      <c r="U868" s="3">
        <v>855.47</v>
      </c>
      <c r="V868" s="70" t="s">
        <v>593</v>
      </c>
      <c r="W868" s="3" t="s">
        <v>343</v>
      </c>
      <c r="X868" s="3" t="s">
        <v>337</v>
      </c>
      <c r="Y868" s="3" t="s">
        <v>337</v>
      </c>
    </row>
    <row r="869" spans="1:25" hidden="1" x14ac:dyDescent="0.2">
      <c r="A869" s="83" t="str">
        <f t="shared" si="13"/>
        <v>华山龙源小号方底纸袋（牛皮）</v>
      </c>
      <c r="B869" s="3" t="s">
        <v>705</v>
      </c>
      <c r="C869" s="3">
        <v>44377</v>
      </c>
      <c r="D869" s="3" t="s">
        <v>502</v>
      </c>
      <c r="E869" s="3" t="s">
        <v>337</v>
      </c>
      <c r="F869" s="3" t="s">
        <v>337</v>
      </c>
      <c r="G869" s="70" t="s">
        <v>503</v>
      </c>
      <c r="H869" s="3" t="s">
        <v>504</v>
      </c>
      <c r="I869" s="3" t="s">
        <v>339</v>
      </c>
      <c r="J869" s="3">
        <v>982</v>
      </c>
      <c r="K869" s="3">
        <v>0</v>
      </c>
      <c r="L869" s="3">
        <v>0</v>
      </c>
      <c r="M869" s="3">
        <v>703</v>
      </c>
      <c r="N869" s="3">
        <v>982</v>
      </c>
      <c r="O869" s="70">
        <v>-279</v>
      </c>
      <c r="P869" s="3">
        <v>0</v>
      </c>
      <c r="Q869" s="3">
        <v>0</v>
      </c>
      <c r="R869" s="3">
        <v>0.22795199999999999</v>
      </c>
      <c r="S869" s="3">
        <v>-63.6</v>
      </c>
      <c r="T869" s="3">
        <v>160.25</v>
      </c>
      <c r="U869" s="3">
        <v>223.85</v>
      </c>
      <c r="V869" s="70" t="s">
        <v>643</v>
      </c>
      <c r="W869" s="3" t="s">
        <v>343</v>
      </c>
      <c r="X869" s="3" t="s">
        <v>337</v>
      </c>
      <c r="Y869" s="3" t="s">
        <v>337</v>
      </c>
    </row>
    <row r="870" spans="1:25" hidden="1" x14ac:dyDescent="0.2">
      <c r="A870" s="83" t="str">
        <f t="shared" si="13"/>
        <v>郑州瀚海海尚小号方底纸袋（牛皮）</v>
      </c>
      <c r="B870" s="3" t="s">
        <v>706</v>
      </c>
      <c r="C870" s="3">
        <v>44377</v>
      </c>
      <c r="D870" s="3" t="s">
        <v>502</v>
      </c>
      <c r="E870" s="3" t="s">
        <v>337</v>
      </c>
      <c r="F870" s="3" t="s">
        <v>337</v>
      </c>
      <c r="G870" s="70" t="s">
        <v>503</v>
      </c>
      <c r="H870" s="3" t="s">
        <v>504</v>
      </c>
      <c r="I870" s="3" t="s">
        <v>339</v>
      </c>
      <c r="J870" s="3">
        <v>40</v>
      </c>
      <c r="K870" s="3">
        <v>2000</v>
      </c>
      <c r="L870" s="3">
        <v>0</v>
      </c>
      <c r="M870" s="3">
        <v>1120</v>
      </c>
      <c r="N870" s="3">
        <v>2040</v>
      </c>
      <c r="O870" s="70">
        <v>-920</v>
      </c>
      <c r="P870" s="3">
        <v>0</v>
      </c>
      <c r="Q870" s="3">
        <v>0</v>
      </c>
      <c r="R870" s="3">
        <v>0.22795499999999999</v>
      </c>
      <c r="S870" s="3">
        <v>-209.72</v>
      </c>
      <c r="T870" s="3">
        <v>255.31</v>
      </c>
      <c r="U870" s="3">
        <v>465.03</v>
      </c>
      <c r="V870" s="70" t="s">
        <v>333</v>
      </c>
      <c r="W870" s="3" t="s">
        <v>343</v>
      </c>
      <c r="X870" s="3" t="s">
        <v>337</v>
      </c>
      <c r="Y870" s="3" t="s">
        <v>337</v>
      </c>
    </row>
    <row r="871" spans="1:25" hidden="1" x14ac:dyDescent="0.2">
      <c r="A871" s="83" t="str">
        <f t="shared" si="13"/>
        <v>郑州铁英街小号方底纸袋（牛皮）</v>
      </c>
      <c r="B871" s="3" t="s">
        <v>707</v>
      </c>
      <c r="C871" s="3">
        <v>44377</v>
      </c>
      <c r="D871" s="3" t="s">
        <v>502</v>
      </c>
      <c r="E871" s="3" t="s">
        <v>337</v>
      </c>
      <c r="F871" s="3" t="s">
        <v>337</v>
      </c>
      <c r="G871" s="70" t="s">
        <v>503</v>
      </c>
      <c r="H871" s="3" t="s">
        <v>504</v>
      </c>
      <c r="I871" s="3" t="s">
        <v>339</v>
      </c>
      <c r="J871" s="3">
        <v>303</v>
      </c>
      <c r="K871" s="3">
        <v>1000</v>
      </c>
      <c r="L871" s="3">
        <v>0</v>
      </c>
      <c r="M871" s="3">
        <v>515</v>
      </c>
      <c r="N871" s="3">
        <v>1303</v>
      </c>
      <c r="O871" s="70">
        <v>-788</v>
      </c>
      <c r="P871" s="3">
        <v>0</v>
      </c>
      <c r="Q871" s="3">
        <v>0</v>
      </c>
      <c r="R871" s="3">
        <v>0.22794200000000001</v>
      </c>
      <c r="S871" s="3">
        <v>-179.62</v>
      </c>
      <c r="T871" s="3">
        <v>117.39</v>
      </c>
      <c r="U871" s="3">
        <v>297.01</v>
      </c>
      <c r="V871" s="70" t="s">
        <v>592</v>
      </c>
      <c r="W871" s="3" t="s">
        <v>343</v>
      </c>
      <c r="X871" s="3" t="s">
        <v>337</v>
      </c>
      <c r="Y871" s="3" t="s">
        <v>337</v>
      </c>
    </row>
    <row r="872" spans="1:25" hidden="1" x14ac:dyDescent="0.2">
      <c r="A872" s="83" t="str">
        <f t="shared" si="13"/>
        <v>郑州西悦城小号方底纸袋（牛皮）</v>
      </c>
      <c r="B872" s="3" t="s">
        <v>708</v>
      </c>
      <c r="C872" s="3">
        <v>44377</v>
      </c>
      <c r="D872" s="3" t="s">
        <v>502</v>
      </c>
      <c r="E872" s="3" t="s">
        <v>337</v>
      </c>
      <c r="F872" s="3" t="s">
        <v>337</v>
      </c>
      <c r="G872" s="70" t="s">
        <v>503</v>
      </c>
      <c r="H872" s="3" t="s">
        <v>504</v>
      </c>
      <c r="I872" s="3" t="s">
        <v>339</v>
      </c>
      <c r="J872" s="3">
        <v>1500</v>
      </c>
      <c r="K872" s="3">
        <v>2000</v>
      </c>
      <c r="L872" s="3">
        <v>0</v>
      </c>
      <c r="M872" s="3">
        <v>500</v>
      </c>
      <c r="N872" s="3">
        <v>3500</v>
      </c>
      <c r="O872" s="70">
        <v>-3000</v>
      </c>
      <c r="P872" s="3">
        <v>0</v>
      </c>
      <c r="Q872" s="3">
        <v>0</v>
      </c>
      <c r="R872" s="3">
        <v>0.22794</v>
      </c>
      <c r="S872" s="3">
        <v>-683.82</v>
      </c>
      <c r="T872" s="3">
        <v>113.97</v>
      </c>
      <c r="U872" s="3">
        <v>797.79</v>
      </c>
      <c r="V872" s="70" t="s">
        <v>332</v>
      </c>
      <c r="W872" s="3" t="s">
        <v>343</v>
      </c>
      <c r="X872" s="3" t="s">
        <v>337</v>
      </c>
      <c r="Y872" s="3" t="s">
        <v>337</v>
      </c>
    </row>
    <row r="873" spans="1:25" hidden="1" x14ac:dyDescent="0.2">
      <c r="A873" s="83" t="str">
        <f t="shared" si="13"/>
        <v>方城锦城国际小号方底纸袋（牛皮）</v>
      </c>
      <c r="B873" s="3" t="s">
        <v>712</v>
      </c>
      <c r="C873" s="3">
        <v>44377</v>
      </c>
      <c r="D873" s="3" t="s">
        <v>502</v>
      </c>
      <c r="E873" s="3" t="s">
        <v>337</v>
      </c>
      <c r="F873" s="3" t="s">
        <v>337</v>
      </c>
      <c r="G873" s="70" t="s">
        <v>503</v>
      </c>
      <c r="H873" s="3" t="s">
        <v>504</v>
      </c>
      <c r="I873" s="3" t="s">
        <v>339</v>
      </c>
      <c r="J873" s="3">
        <v>527</v>
      </c>
      <c r="K873" s="3">
        <v>1000</v>
      </c>
      <c r="L873" s="3">
        <v>0</v>
      </c>
      <c r="M873" s="3">
        <v>1000</v>
      </c>
      <c r="N873" s="3">
        <v>1527</v>
      </c>
      <c r="O873" s="70">
        <v>-527</v>
      </c>
      <c r="P873" s="3">
        <v>0</v>
      </c>
      <c r="Q873" s="3">
        <v>0</v>
      </c>
      <c r="R873" s="3">
        <v>0.22917000000000001</v>
      </c>
      <c r="S873" s="3">
        <v>-120.77</v>
      </c>
      <c r="T873" s="3">
        <v>229.17</v>
      </c>
      <c r="U873" s="3">
        <v>349.94</v>
      </c>
      <c r="V873" s="70" t="s">
        <v>594</v>
      </c>
      <c r="W873" s="3" t="s">
        <v>343</v>
      </c>
      <c r="X873" s="3" t="s">
        <v>337</v>
      </c>
      <c r="Y873" s="3" t="s">
        <v>337</v>
      </c>
    </row>
    <row r="874" spans="1:25" hidden="1" x14ac:dyDescent="0.2">
      <c r="A874" s="83" t="str">
        <f t="shared" si="13"/>
        <v>清丰凤鸣小号方底纸袋（牛皮）</v>
      </c>
      <c r="B874" s="3" t="s">
        <v>713</v>
      </c>
      <c r="C874" s="3">
        <v>44377</v>
      </c>
      <c r="D874" s="3" t="s">
        <v>502</v>
      </c>
      <c r="E874" s="3" t="s">
        <v>337</v>
      </c>
      <c r="F874" s="3" t="s">
        <v>337</v>
      </c>
      <c r="G874" s="70" t="s">
        <v>503</v>
      </c>
      <c r="H874" s="3" t="s">
        <v>504</v>
      </c>
      <c r="I874" s="3" t="s">
        <v>339</v>
      </c>
      <c r="J874" s="3">
        <v>1000</v>
      </c>
      <c r="K874" s="3">
        <v>0</v>
      </c>
      <c r="L874" s="3">
        <v>0</v>
      </c>
      <c r="M874" s="3">
        <v>850</v>
      </c>
      <c r="N874" s="3">
        <v>1000</v>
      </c>
      <c r="O874" s="70">
        <v>-150</v>
      </c>
      <c r="P874" s="3">
        <v>0</v>
      </c>
      <c r="Q874" s="3">
        <v>0</v>
      </c>
      <c r="R874" s="3">
        <v>0.22795299999999999</v>
      </c>
      <c r="S874" s="3">
        <v>-34.19</v>
      </c>
      <c r="T874" s="3">
        <v>193.76</v>
      </c>
      <c r="U874" s="3">
        <v>227.95</v>
      </c>
      <c r="V874" s="70" t="s">
        <v>334</v>
      </c>
      <c r="W874" s="3" t="s">
        <v>343</v>
      </c>
      <c r="X874" s="3" t="s">
        <v>337</v>
      </c>
      <c r="Y874" s="3" t="s">
        <v>337</v>
      </c>
    </row>
    <row r="875" spans="1:25" hidden="1" x14ac:dyDescent="0.2">
      <c r="A875" s="83" t="str">
        <f t="shared" si="13"/>
        <v>郑州裕华小号方底纸袋（牛皮）</v>
      </c>
      <c r="B875" s="3" t="s">
        <v>711</v>
      </c>
      <c r="C875" s="3">
        <v>44377</v>
      </c>
      <c r="D875" s="3" t="s">
        <v>502</v>
      </c>
      <c r="E875" s="3" t="s">
        <v>337</v>
      </c>
      <c r="F875" s="3" t="s">
        <v>337</v>
      </c>
      <c r="G875" s="70" t="s">
        <v>503</v>
      </c>
      <c r="H875" s="3" t="s">
        <v>504</v>
      </c>
      <c r="I875" s="3" t="s">
        <v>339</v>
      </c>
      <c r="J875" s="3">
        <v>1000</v>
      </c>
      <c r="K875" s="3">
        <v>0</v>
      </c>
      <c r="L875" s="3">
        <v>0</v>
      </c>
      <c r="M875" s="3">
        <v>500</v>
      </c>
      <c r="N875" s="3">
        <v>1000</v>
      </c>
      <c r="O875" s="70">
        <v>-500</v>
      </c>
      <c r="P875" s="3">
        <v>0</v>
      </c>
      <c r="Q875" s="3">
        <v>0</v>
      </c>
      <c r="R875" s="3">
        <v>0.22794</v>
      </c>
      <c r="S875" s="3">
        <v>-113.97</v>
      </c>
      <c r="T875" s="3">
        <v>113.97</v>
      </c>
      <c r="U875" s="3">
        <v>227.94</v>
      </c>
      <c r="V875" s="70" t="s">
        <v>641</v>
      </c>
      <c r="W875" s="3" t="s">
        <v>343</v>
      </c>
      <c r="X875" s="3" t="s">
        <v>337</v>
      </c>
      <c r="Y875" s="3" t="s">
        <v>337</v>
      </c>
    </row>
    <row r="876" spans="1:25" hidden="1" x14ac:dyDescent="0.2">
      <c r="A876" s="83" t="str">
        <f t="shared" si="13"/>
        <v>滑县滑台小号方底纸袋（牛皮）</v>
      </c>
      <c r="B876" s="3" t="s">
        <v>710</v>
      </c>
      <c r="C876" s="3">
        <v>44377</v>
      </c>
      <c r="D876" s="3" t="s">
        <v>502</v>
      </c>
      <c r="E876" s="3" t="s">
        <v>337</v>
      </c>
      <c r="F876" s="3" t="s">
        <v>337</v>
      </c>
      <c r="G876" s="70" t="s">
        <v>503</v>
      </c>
      <c r="H876" s="3" t="s">
        <v>504</v>
      </c>
      <c r="I876" s="3" t="s">
        <v>339</v>
      </c>
      <c r="J876" s="3">
        <v>575</v>
      </c>
      <c r="K876" s="3">
        <v>2000</v>
      </c>
      <c r="L876" s="3">
        <v>0</v>
      </c>
      <c r="M876" s="3">
        <v>900</v>
      </c>
      <c r="N876" s="3">
        <v>2575</v>
      </c>
      <c r="O876" s="70">
        <v>-1675</v>
      </c>
      <c r="P876" s="3">
        <v>0</v>
      </c>
      <c r="Q876" s="3">
        <v>0</v>
      </c>
      <c r="R876" s="3">
        <v>0.22794400000000001</v>
      </c>
      <c r="S876" s="3">
        <v>-381.81</v>
      </c>
      <c r="T876" s="3">
        <v>205.15</v>
      </c>
      <c r="U876" s="3">
        <v>586.96</v>
      </c>
      <c r="V876" s="70" t="s">
        <v>639</v>
      </c>
      <c r="W876" s="3" t="s">
        <v>343</v>
      </c>
      <c r="X876" s="3" t="s">
        <v>337</v>
      </c>
      <c r="Y876" s="3" t="s">
        <v>337</v>
      </c>
    </row>
    <row r="877" spans="1:25" hidden="1" x14ac:dyDescent="0.2">
      <c r="A877" s="83" t="str">
        <f t="shared" si="13"/>
        <v>郑州盛华里小号方底纸袋（牛皮）</v>
      </c>
      <c r="B877" s="3" t="s">
        <v>709</v>
      </c>
      <c r="C877" s="3">
        <v>44377</v>
      </c>
      <c r="D877" s="3" t="s">
        <v>502</v>
      </c>
      <c r="E877" s="3" t="s">
        <v>337</v>
      </c>
      <c r="F877" s="3" t="s">
        <v>337</v>
      </c>
      <c r="G877" s="70" t="s">
        <v>503</v>
      </c>
      <c r="H877" s="3" t="s">
        <v>504</v>
      </c>
      <c r="I877" s="3" t="s">
        <v>339</v>
      </c>
      <c r="J877" s="3">
        <v>1700</v>
      </c>
      <c r="K877" s="3">
        <v>0</v>
      </c>
      <c r="L877" s="3">
        <v>0</v>
      </c>
      <c r="M877" s="3">
        <v>1700</v>
      </c>
      <c r="N877" s="3">
        <v>1700</v>
      </c>
      <c r="O877" s="70">
        <v>0</v>
      </c>
      <c r="P877" s="3">
        <v>0</v>
      </c>
      <c r="Q877" s="3">
        <v>0</v>
      </c>
      <c r="R877" s="3">
        <v>0.22794700000000001</v>
      </c>
      <c r="S877" s="3">
        <v>0</v>
      </c>
      <c r="T877" s="3">
        <v>387.51</v>
      </c>
      <c r="U877" s="3">
        <v>387.51</v>
      </c>
      <c r="V877" s="70" t="s">
        <v>637</v>
      </c>
      <c r="W877" s="3" t="s">
        <v>343</v>
      </c>
      <c r="X877" s="3" t="s">
        <v>337</v>
      </c>
      <c r="Y877" s="3" t="s">
        <v>337</v>
      </c>
    </row>
    <row r="878" spans="1:25" hidden="1" x14ac:dyDescent="0.2">
      <c r="A878" s="83" t="str">
        <f t="shared" si="13"/>
        <v>郑州政六街小号方底纸袋（牛皮）</v>
      </c>
      <c r="B878" s="3" t="s">
        <v>714</v>
      </c>
      <c r="C878" s="3">
        <v>44377</v>
      </c>
      <c r="D878" s="3" t="s">
        <v>502</v>
      </c>
      <c r="E878" s="3" t="s">
        <v>337</v>
      </c>
      <c r="F878" s="3" t="s">
        <v>337</v>
      </c>
      <c r="G878" s="70" t="s">
        <v>503</v>
      </c>
      <c r="H878" s="3" t="s">
        <v>504</v>
      </c>
      <c r="I878" s="3" t="s">
        <v>339</v>
      </c>
      <c r="J878" s="3">
        <v>909</v>
      </c>
      <c r="K878" s="3">
        <v>4000</v>
      </c>
      <c r="L878" s="3">
        <v>0</v>
      </c>
      <c r="M878" s="3">
        <v>1335</v>
      </c>
      <c r="N878" s="3">
        <v>4909</v>
      </c>
      <c r="O878" s="70">
        <v>-3574</v>
      </c>
      <c r="P878" s="3">
        <v>0</v>
      </c>
      <c r="Q878" s="3">
        <v>0</v>
      </c>
      <c r="R878" s="3">
        <v>0.22794800000000001</v>
      </c>
      <c r="S878" s="3">
        <v>-814.69</v>
      </c>
      <c r="T878" s="3">
        <v>304.31</v>
      </c>
      <c r="U878" s="3">
        <v>1119</v>
      </c>
      <c r="V878" s="70" t="s">
        <v>591</v>
      </c>
      <c r="W878" s="3" t="s">
        <v>343</v>
      </c>
      <c r="X878" s="3" t="s">
        <v>337</v>
      </c>
      <c r="Y878" s="3" t="s">
        <v>337</v>
      </c>
    </row>
    <row r="879" spans="1:25" hidden="1" x14ac:dyDescent="0.2">
      <c r="A879" s="83" t="str">
        <f t="shared" si="13"/>
        <v>郑州政六街封口膜</v>
      </c>
      <c r="B879" s="3" t="s">
        <v>714</v>
      </c>
      <c r="C879" s="3">
        <v>44377</v>
      </c>
      <c r="D879" s="3" t="s">
        <v>505</v>
      </c>
      <c r="E879" s="3" t="s">
        <v>337</v>
      </c>
      <c r="F879" s="3" t="s">
        <v>337</v>
      </c>
      <c r="G879" s="70" t="s">
        <v>506</v>
      </c>
      <c r="H879" s="3" t="s">
        <v>441</v>
      </c>
      <c r="I879" s="3" t="s">
        <v>413</v>
      </c>
      <c r="J879" s="3">
        <v>1</v>
      </c>
      <c r="K879" s="3">
        <v>3</v>
      </c>
      <c r="L879" s="3">
        <v>0</v>
      </c>
      <c r="M879" s="3">
        <v>2</v>
      </c>
      <c r="N879" s="3">
        <v>4</v>
      </c>
      <c r="O879" s="70">
        <v>-2</v>
      </c>
      <c r="P879" s="3">
        <v>0</v>
      </c>
      <c r="Q879" s="3">
        <v>0</v>
      </c>
      <c r="R879" s="3">
        <v>59.655000000000001</v>
      </c>
      <c r="S879" s="3">
        <v>-119.31</v>
      </c>
      <c r="T879" s="3">
        <v>119.31</v>
      </c>
      <c r="U879" s="3">
        <v>238.62</v>
      </c>
      <c r="V879" s="70" t="s">
        <v>591</v>
      </c>
      <c r="W879" s="3" t="s">
        <v>343</v>
      </c>
      <c r="X879" s="3" t="s">
        <v>337</v>
      </c>
      <c r="Y879" s="3" t="s">
        <v>337</v>
      </c>
    </row>
    <row r="880" spans="1:25" hidden="1" x14ac:dyDescent="0.2">
      <c r="A880" s="83" t="str">
        <f t="shared" si="13"/>
        <v>郑州盛华里封口膜</v>
      </c>
      <c r="B880" s="3" t="s">
        <v>709</v>
      </c>
      <c r="C880" s="3">
        <v>44377</v>
      </c>
      <c r="D880" s="3" t="s">
        <v>505</v>
      </c>
      <c r="E880" s="3" t="s">
        <v>337</v>
      </c>
      <c r="F880" s="3" t="s">
        <v>337</v>
      </c>
      <c r="G880" s="70" t="s">
        <v>506</v>
      </c>
      <c r="H880" s="3" t="s">
        <v>441</v>
      </c>
      <c r="I880" s="3" t="s">
        <v>413</v>
      </c>
      <c r="J880" s="3">
        <v>0.5</v>
      </c>
      <c r="K880" s="3">
        <v>2</v>
      </c>
      <c r="L880" s="3">
        <v>0</v>
      </c>
      <c r="M880" s="3">
        <v>2</v>
      </c>
      <c r="N880" s="3">
        <v>2.5</v>
      </c>
      <c r="O880" s="70">
        <v>-0.5</v>
      </c>
      <c r="P880" s="3">
        <v>0</v>
      </c>
      <c r="Q880" s="3">
        <v>0</v>
      </c>
      <c r="R880" s="3">
        <v>59.405000000000001</v>
      </c>
      <c r="S880" s="3">
        <v>-29.7</v>
      </c>
      <c r="T880" s="3">
        <v>118.81</v>
      </c>
      <c r="U880" s="3">
        <v>148.51</v>
      </c>
      <c r="V880" s="70" t="s">
        <v>637</v>
      </c>
      <c r="W880" s="3" t="s">
        <v>343</v>
      </c>
      <c r="X880" s="3" t="s">
        <v>337</v>
      </c>
      <c r="Y880" s="3" t="s">
        <v>337</v>
      </c>
    </row>
    <row r="881" spans="1:25" hidden="1" x14ac:dyDescent="0.2">
      <c r="A881" s="83" t="str">
        <f t="shared" si="13"/>
        <v>滑县滑台封口膜</v>
      </c>
      <c r="B881" s="3" t="s">
        <v>710</v>
      </c>
      <c r="C881" s="3">
        <v>44377</v>
      </c>
      <c r="D881" s="3" t="s">
        <v>505</v>
      </c>
      <c r="E881" s="3" t="s">
        <v>337</v>
      </c>
      <c r="F881" s="3" t="s">
        <v>337</v>
      </c>
      <c r="G881" s="70" t="s">
        <v>506</v>
      </c>
      <c r="H881" s="3" t="s">
        <v>441</v>
      </c>
      <c r="I881" s="3" t="s">
        <v>413</v>
      </c>
      <c r="J881" s="3">
        <v>0.5</v>
      </c>
      <c r="K881" s="3">
        <v>1</v>
      </c>
      <c r="L881" s="3">
        <v>0</v>
      </c>
      <c r="M881" s="3">
        <v>0.7</v>
      </c>
      <c r="N881" s="3">
        <v>1.5</v>
      </c>
      <c r="O881" s="70">
        <v>-0.8</v>
      </c>
      <c r="P881" s="3">
        <v>0</v>
      </c>
      <c r="Q881" s="3">
        <v>0</v>
      </c>
      <c r="R881" s="3">
        <v>59.528570999999999</v>
      </c>
      <c r="S881" s="3">
        <v>-47.62</v>
      </c>
      <c r="T881" s="3">
        <v>41.67</v>
      </c>
      <c r="U881" s="3">
        <v>89.29</v>
      </c>
      <c r="V881" s="70" t="s">
        <v>639</v>
      </c>
      <c r="W881" s="3" t="s">
        <v>343</v>
      </c>
      <c r="X881" s="3" t="s">
        <v>337</v>
      </c>
      <c r="Y881" s="3" t="s">
        <v>337</v>
      </c>
    </row>
    <row r="882" spans="1:25" hidden="1" x14ac:dyDescent="0.2">
      <c r="A882" s="83" t="str">
        <f t="shared" si="13"/>
        <v>郑州裕华封口膜</v>
      </c>
      <c r="B882" s="3" t="s">
        <v>711</v>
      </c>
      <c r="C882" s="3">
        <v>44377</v>
      </c>
      <c r="D882" s="3" t="s">
        <v>505</v>
      </c>
      <c r="E882" s="3" t="s">
        <v>337</v>
      </c>
      <c r="F882" s="3" t="s">
        <v>337</v>
      </c>
      <c r="G882" s="70" t="s">
        <v>506</v>
      </c>
      <c r="H882" s="3" t="s">
        <v>441</v>
      </c>
      <c r="I882" s="3" t="s">
        <v>413</v>
      </c>
      <c r="J882" s="3">
        <v>1.5</v>
      </c>
      <c r="K882" s="3">
        <v>0</v>
      </c>
      <c r="L882" s="3">
        <v>0</v>
      </c>
      <c r="M882" s="3">
        <v>1</v>
      </c>
      <c r="N882" s="3">
        <v>1.5</v>
      </c>
      <c r="O882" s="70">
        <v>-0.5</v>
      </c>
      <c r="P882" s="3">
        <v>0</v>
      </c>
      <c r="Q882" s="3">
        <v>0</v>
      </c>
      <c r="R882" s="3">
        <v>58.5</v>
      </c>
      <c r="S882" s="3">
        <v>-29.25</v>
      </c>
      <c r="T882" s="3">
        <v>58.5</v>
      </c>
      <c r="U882" s="3">
        <v>87.75</v>
      </c>
      <c r="V882" s="70" t="s">
        <v>641</v>
      </c>
      <c r="W882" s="3" t="s">
        <v>343</v>
      </c>
      <c r="X882" s="3" t="s">
        <v>337</v>
      </c>
      <c r="Y882" s="3" t="s">
        <v>337</v>
      </c>
    </row>
    <row r="883" spans="1:25" hidden="1" x14ac:dyDescent="0.2">
      <c r="A883" s="83" t="str">
        <f t="shared" si="13"/>
        <v>方城锦城国际封口膜</v>
      </c>
      <c r="B883" s="3" t="s">
        <v>712</v>
      </c>
      <c r="C883" s="3">
        <v>44377</v>
      </c>
      <c r="D883" s="3" t="s">
        <v>505</v>
      </c>
      <c r="E883" s="3" t="s">
        <v>337</v>
      </c>
      <c r="F883" s="3" t="s">
        <v>337</v>
      </c>
      <c r="G883" s="70" t="s">
        <v>506</v>
      </c>
      <c r="H883" s="3" t="s">
        <v>441</v>
      </c>
      <c r="I883" s="3" t="s">
        <v>413</v>
      </c>
      <c r="J883" s="3">
        <v>1</v>
      </c>
      <c r="K883" s="3">
        <v>1</v>
      </c>
      <c r="L883" s="3">
        <v>0</v>
      </c>
      <c r="M883" s="3">
        <v>0.7</v>
      </c>
      <c r="N883" s="3">
        <v>2</v>
      </c>
      <c r="O883" s="70">
        <v>-1.3</v>
      </c>
      <c r="P883" s="3">
        <v>0</v>
      </c>
      <c r="Q883" s="3">
        <v>0</v>
      </c>
      <c r="R883" s="3">
        <v>58.5</v>
      </c>
      <c r="S883" s="3">
        <v>-76.05</v>
      </c>
      <c r="T883" s="3">
        <v>40.950000000000003</v>
      </c>
      <c r="U883" s="3">
        <v>117</v>
      </c>
      <c r="V883" s="70" t="s">
        <v>594</v>
      </c>
      <c r="W883" s="3" t="s">
        <v>343</v>
      </c>
      <c r="X883" s="3" t="s">
        <v>337</v>
      </c>
      <c r="Y883" s="3" t="s">
        <v>337</v>
      </c>
    </row>
    <row r="884" spans="1:25" hidden="1" x14ac:dyDescent="0.2">
      <c r="A884" s="83" t="str">
        <f t="shared" si="13"/>
        <v>清丰凤鸣封口膜</v>
      </c>
      <c r="B884" s="3" t="s">
        <v>713</v>
      </c>
      <c r="C884" s="3">
        <v>44377</v>
      </c>
      <c r="D884" s="3" t="s">
        <v>505</v>
      </c>
      <c r="E884" s="3" t="s">
        <v>337</v>
      </c>
      <c r="F884" s="3" t="s">
        <v>337</v>
      </c>
      <c r="G884" s="70" t="s">
        <v>506</v>
      </c>
      <c r="H884" s="3" t="s">
        <v>441</v>
      </c>
      <c r="I884" s="3" t="s">
        <v>413</v>
      </c>
      <c r="J884" s="3">
        <v>0.8</v>
      </c>
      <c r="K884" s="3">
        <v>0</v>
      </c>
      <c r="L884" s="3">
        <v>0</v>
      </c>
      <c r="M884" s="3">
        <v>0.6</v>
      </c>
      <c r="N884" s="3">
        <v>0.8</v>
      </c>
      <c r="O884" s="70">
        <v>-0.2</v>
      </c>
      <c r="P884" s="3">
        <v>0</v>
      </c>
      <c r="Q884" s="3">
        <v>0</v>
      </c>
      <c r="R884" s="3">
        <v>58.5</v>
      </c>
      <c r="S884" s="3">
        <v>-11.7</v>
      </c>
      <c r="T884" s="3">
        <v>35.1</v>
      </c>
      <c r="U884" s="3">
        <v>46.8</v>
      </c>
      <c r="V884" s="70" t="s">
        <v>334</v>
      </c>
      <c r="W884" s="3" t="s">
        <v>343</v>
      </c>
      <c r="X884" s="3" t="s">
        <v>337</v>
      </c>
      <c r="Y884" s="3" t="s">
        <v>337</v>
      </c>
    </row>
    <row r="885" spans="1:25" hidden="1" x14ac:dyDescent="0.2">
      <c r="A885" s="83" t="str">
        <f t="shared" si="13"/>
        <v>郑州铁英街封口膜</v>
      </c>
      <c r="B885" s="3" t="s">
        <v>707</v>
      </c>
      <c r="C885" s="3">
        <v>44377</v>
      </c>
      <c r="D885" s="3" t="s">
        <v>505</v>
      </c>
      <c r="E885" s="3" t="s">
        <v>337</v>
      </c>
      <c r="F885" s="3" t="s">
        <v>337</v>
      </c>
      <c r="G885" s="70" t="s">
        <v>506</v>
      </c>
      <c r="H885" s="3" t="s">
        <v>441</v>
      </c>
      <c r="I885" s="3" t="s">
        <v>413</v>
      </c>
      <c r="J885" s="3">
        <v>1</v>
      </c>
      <c r="K885" s="3">
        <v>1</v>
      </c>
      <c r="L885" s="3">
        <v>0</v>
      </c>
      <c r="M885" s="3">
        <v>1</v>
      </c>
      <c r="N885" s="3">
        <v>2</v>
      </c>
      <c r="O885" s="70">
        <v>-1</v>
      </c>
      <c r="P885" s="3">
        <v>0</v>
      </c>
      <c r="Q885" s="3">
        <v>0</v>
      </c>
      <c r="R885" s="3">
        <v>58.86</v>
      </c>
      <c r="S885" s="3">
        <v>-58.86</v>
      </c>
      <c r="T885" s="3">
        <v>58.86</v>
      </c>
      <c r="U885" s="3">
        <v>117.72</v>
      </c>
      <c r="V885" s="70" t="s">
        <v>592</v>
      </c>
      <c r="W885" s="3" t="s">
        <v>343</v>
      </c>
      <c r="X885" s="3" t="s">
        <v>337</v>
      </c>
      <c r="Y885" s="3" t="s">
        <v>337</v>
      </c>
    </row>
    <row r="886" spans="1:25" hidden="1" x14ac:dyDescent="0.2">
      <c r="A886" s="83" t="str">
        <f t="shared" si="13"/>
        <v>郑州西悦城封口膜</v>
      </c>
      <c r="B886" s="3" t="s">
        <v>708</v>
      </c>
      <c r="C886" s="3">
        <v>44377</v>
      </c>
      <c r="D886" s="3" t="s">
        <v>505</v>
      </c>
      <c r="E886" s="3" t="s">
        <v>337</v>
      </c>
      <c r="F886" s="3" t="s">
        <v>337</v>
      </c>
      <c r="G886" s="70" t="s">
        <v>506</v>
      </c>
      <c r="H886" s="3" t="s">
        <v>441</v>
      </c>
      <c r="I886" s="3" t="s">
        <v>413</v>
      </c>
      <c r="J886" s="3">
        <v>0.5</v>
      </c>
      <c r="K886" s="3">
        <v>2</v>
      </c>
      <c r="L886" s="3">
        <v>0</v>
      </c>
      <c r="M886" s="3">
        <v>1.3</v>
      </c>
      <c r="N886" s="3">
        <v>2.5</v>
      </c>
      <c r="O886" s="70">
        <v>-1.2</v>
      </c>
      <c r="P886" s="3">
        <v>0</v>
      </c>
      <c r="Q886" s="3">
        <v>0</v>
      </c>
      <c r="R886" s="3">
        <v>59.115385000000003</v>
      </c>
      <c r="S886" s="3">
        <v>-70.94</v>
      </c>
      <c r="T886" s="3">
        <v>76.849999999999994</v>
      </c>
      <c r="U886" s="3">
        <v>147.79</v>
      </c>
      <c r="V886" s="70" t="s">
        <v>332</v>
      </c>
      <c r="W886" s="3" t="s">
        <v>343</v>
      </c>
      <c r="X886" s="3" t="s">
        <v>337</v>
      </c>
      <c r="Y886" s="3" t="s">
        <v>337</v>
      </c>
    </row>
    <row r="887" spans="1:25" hidden="1" x14ac:dyDescent="0.2">
      <c r="A887" s="83" t="str">
        <f t="shared" si="13"/>
        <v>郑州瀚海海尚封口膜</v>
      </c>
      <c r="B887" s="3" t="s">
        <v>706</v>
      </c>
      <c r="C887" s="3">
        <v>44377</v>
      </c>
      <c r="D887" s="3" t="s">
        <v>505</v>
      </c>
      <c r="E887" s="3" t="s">
        <v>337</v>
      </c>
      <c r="F887" s="3" t="s">
        <v>337</v>
      </c>
      <c r="G887" s="70" t="s">
        <v>506</v>
      </c>
      <c r="H887" s="3" t="s">
        <v>441</v>
      </c>
      <c r="I887" s="3" t="s">
        <v>413</v>
      </c>
      <c r="J887" s="3">
        <v>2</v>
      </c>
      <c r="K887" s="3">
        <v>1</v>
      </c>
      <c r="L887" s="3">
        <v>0</v>
      </c>
      <c r="M887" s="3">
        <v>2</v>
      </c>
      <c r="N887" s="3">
        <v>3</v>
      </c>
      <c r="O887" s="70">
        <v>-1</v>
      </c>
      <c r="P887" s="3">
        <v>0</v>
      </c>
      <c r="Q887" s="3">
        <v>0</v>
      </c>
      <c r="R887" s="3">
        <v>59.015000000000001</v>
      </c>
      <c r="S887" s="3">
        <v>-59.02</v>
      </c>
      <c r="T887" s="3">
        <v>118.03</v>
      </c>
      <c r="U887" s="3">
        <v>177.05</v>
      </c>
      <c r="V887" s="70" t="s">
        <v>333</v>
      </c>
      <c r="W887" s="3" t="s">
        <v>343</v>
      </c>
      <c r="X887" s="3" t="s">
        <v>337</v>
      </c>
      <c r="Y887" s="3" t="s">
        <v>337</v>
      </c>
    </row>
    <row r="888" spans="1:25" hidden="1" x14ac:dyDescent="0.2">
      <c r="A888" s="83" t="str">
        <f t="shared" si="13"/>
        <v>郑州康复中街封口膜</v>
      </c>
      <c r="B888" s="3" t="s">
        <v>704</v>
      </c>
      <c r="C888" s="3">
        <v>44377</v>
      </c>
      <c r="D888" s="3" t="s">
        <v>505</v>
      </c>
      <c r="E888" s="3" t="s">
        <v>337</v>
      </c>
      <c r="F888" s="3" t="s">
        <v>337</v>
      </c>
      <c r="G888" s="70" t="s">
        <v>506</v>
      </c>
      <c r="H888" s="3" t="s">
        <v>441</v>
      </c>
      <c r="I888" s="3" t="s">
        <v>413</v>
      </c>
      <c r="J888" s="3">
        <v>0.9</v>
      </c>
      <c r="K888" s="3">
        <v>3</v>
      </c>
      <c r="L888" s="3">
        <v>0</v>
      </c>
      <c r="M888" s="3">
        <v>3.3</v>
      </c>
      <c r="N888" s="3">
        <v>3.9</v>
      </c>
      <c r="O888" s="70">
        <v>-0.6</v>
      </c>
      <c r="P888" s="3">
        <v>0</v>
      </c>
      <c r="Q888" s="3">
        <v>0</v>
      </c>
      <c r="R888" s="3">
        <v>59.687879000000002</v>
      </c>
      <c r="S888" s="3">
        <v>-35.81</v>
      </c>
      <c r="T888" s="3">
        <v>196.97</v>
      </c>
      <c r="U888" s="3">
        <v>232.78</v>
      </c>
      <c r="V888" s="70" t="s">
        <v>593</v>
      </c>
      <c r="W888" s="3" t="s">
        <v>343</v>
      </c>
      <c r="X888" s="3" t="s">
        <v>337</v>
      </c>
      <c r="Y888" s="3" t="s">
        <v>337</v>
      </c>
    </row>
    <row r="889" spans="1:25" hidden="1" x14ac:dyDescent="0.2">
      <c r="A889" s="83" t="str">
        <f t="shared" si="13"/>
        <v>新蔡水韵天街封口膜</v>
      </c>
      <c r="B889" s="3" t="s">
        <v>703</v>
      </c>
      <c r="C889" s="3">
        <v>44377</v>
      </c>
      <c r="D889" s="3" t="s">
        <v>505</v>
      </c>
      <c r="E889" s="3" t="s">
        <v>337</v>
      </c>
      <c r="F889" s="3" t="s">
        <v>337</v>
      </c>
      <c r="G889" s="70" t="s">
        <v>506</v>
      </c>
      <c r="H889" s="3" t="s">
        <v>441</v>
      </c>
      <c r="I889" s="3" t="s">
        <v>413</v>
      </c>
      <c r="J889" s="3">
        <v>0.4</v>
      </c>
      <c r="K889" s="3">
        <v>1</v>
      </c>
      <c r="L889" s="3">
        <v>0</v>
      </c>
      <c r="M889" s="3">
        <v>1</v>
      </c>
      <c r="N889" s="3">
        <v>1.4</v>
      </c>
      <c r="O889" s="70">
        <v>-0.4</v>
      </c>
      <c r="P889" s="3">
        <v>0</v>
      </c>
      <c r="Q889" s="3">
        <v>0</v>
      </c>
      <c r="R889" s="3">
        <v>58.5</v>
      </c>
      <c r="S889" s="3">
        <v>-23.4</v>
      </c>
      <c r="T889" s="3">
        <v>58.5</v>
      </c>
      <c r="U889" s="3">
        <v>81.900000000000006</v>
      </c>
      <c r="V889" s="70" t="s">
        <v>335</v>
      </c>
      <c r="W889" s="3" t="s">
        <v>343</v>
      </c>
      <c r="X889" s="3" t="s">
        <v>337</v>
      </c>
      <c r="Y889" s="3" t="s">
        <v>337</v>
      </c>
    </row>
    <row r="890" spans="1:25" hidden="1" x14ac:dyDescent="0.2">
      <c r="A890" s="83" t="str">
        <f t="shared" si="13"/>
        <v>新蔡水韵天街腿肉</v>
      </c>
      <c r="B890" s="3" t="s">
        <v>703</v>
      </c>
      <c r="C890" s="3">
        <v>44377</v>
      </c>
      <c r="D890" s="3" t="s">
        <v>507</v>
      </c>
      <c r="E890" s="3" t="s">
        <v>508</v>
      </c>
      <c r="F890" s="3" t="s">
        <v>508</v>
      </c>
      <c r="G890" s="70" t="s">
        <v>509</v>
      </c>
      <c r="H890" s="3" t="s">
        <v>510</v>
      </c>
      <c r="I890" s="3" t="s">
        <v>511</v>
      </c>
      <c r="J890" s="3">
        <v>741</v>
      </c>
      <c r="K890" s="3">
        <v>600</v>
      </c>
      <c r="L890" s="3">
        <v>760</v>
      </c>
      <c r="M890" s="3">
        <v>810</v>
      </c>
      <c r="N890" s="3">
        <v>581</v>
      </c>
      <c r="O890" s="70">
        <v>229</v>
      </c>
      <c r="P890" s="3">
        <v>0</v>
      </c>
      <c r="Q890" s="3">
        <v>0</v>
      </c>
      <c r="R890" s="3">
        <v>1.508691</v>
      </c>
      <c r="S890" s="3">
        <v>345.49</v>
      </c>
      <c r="T890" s="3">
        <v>1222.04</v>
      </c>
      <c r="U890" s="3">
        <v>876.55</v>
      </c>
      <c r="V890" s="70" t="s">
        <v>335</v>
      </c>
      <c r="W890" s="3" t="s">
        <v>747</v>
      </c>
      <c r="X890" s="3" t="s">
        <v>508</v>
      </c>
      <c r="Y890" s="3" t="s">
        <v>508</v>
      </c>
    </row>
    <row r="891" spans="1:25" hidden="1" x14ac:dyDescent="0.2">
      <c r="A891" s="83" t="str">
        <f t="shared" si="13"/>
        <v>郑州康复中街腿肉</v>
      </c>
      <c r="B891" s="3" t="s">
        <v>704</v>
      </c>
      <c r="C891" s="3">
        <v>44377</v>
      </c>
      <c r="D891" s="3" t="s">
        <v>507</v>
      </c>
      <c r="E891" s="3" t="s">
        <v>508</v>
      </c>
      <c r="F891" s="3" t="s">
        <v>508</v>
      </c>
      <c r="G891" s="70" t="s">
        <v>509</v>
      </c>
      <c r="H891" s="3" t="s">
        <v>510</v>
      </c>
      <c r="I891" s="3" t="s">
        <v>511</v>
      </c>
      <c r="J891" s="3">
        <v>199</v>
      </c>
      <c r="K891" s="3">
        <v>2550</v>
      </c>
      <c r="L891" s="3">
        <v>2360</v>
      </c>
      <c r="M891" s="3">
        <v>270</v>
      </c>
      <c r="N891" s="3">
        <v>389</v>
      </c>
      <c r="O891" s="70">
        <v>-119</v>
      </c>
      <c r="P891" s="3">
        <v>0</v>
      </c>
      <c r="Q891" s="3">
        <v>0</v>
      </c>
      <c r="R891" s="3">
        <v>1.580667</v>
      </c>
      <c r="S891" s="3">
        <v>-188.1</v>
      </c>
      <c r="T891" s="3">
        <v>426.78</v>
      </c>
      <c r="U891" s="3">
        <v>614.88</v>
      </c>
      <c r="V891" s="70" t="s">
        <v>593</v>
      </c>
      <c r="W891" s="3" t="s">
        <v>748</v>
      </c>
      <c r="X891" s="3" t="s">
        <v>508</v>
      </c>
      <c r="Y891" s="3" t="s">
        <v>508</v>
      </c>
    </row>
    <row r="892" spans="1:25" hidden="1" x14ac:dyDescent="0.2">
      <c r="A892" s="83" t="str">
        <f t="shared" si="13"/>
        <v>郑州瀚海海尚腿肉</v>
      </c>
      <c r="B892" s="3" t="s">
        <v>706</v>
      </c>
      <c r="C892" s="3">
        <v>44377</v>
      </c>
      <c r="D892" s="3" t="s">
        <v>507</v>
      </c>
      <c r="E892" s="3" t="s">
        <v>508</v>
      </c>
      <c r="F892" s="3" t="s">
        <v>508</v>
      </c>
      <c r="G892" s="70" t="s">
        <v>509</v>
      </c>
      <c r="H892" s="3" t="s">
        <v>510</v>
      </c>
      <c r="I892" s="3" t="s">
        <v>511</v>
      </c>
      <c r="J892" s="3">
        <v>542</v>
      </c>
      <c r="K892" s="3">
        <v>2100</v>
      </c>
      <c r="L892" s="3">
        <v>1975</v>
      </c>
      <c r="M892" s="3">
        <v>1042</v>
      </c>
      <c r="N892" s="3">
        <v>667</v>
      </c>
      <c r="O892" s="70">
        <v>375</v>
      </c>
      <c r="P892" s="3">
        <v>0</v>
      </c>
      <c r="Q892" s="3">
        <v>0</v>
      </c>
      <c r="R892" s="3">
        <v>1.576152</v>
      </c>
      <c r="S892" s="3">
        <v>591.05999999999995</v>
      </c>
      <c r="T892" s="3">
        <v>1642.35</v>
      </c>
      <c r="U892" s="3">
        <v>1051.29</v>
      </c>
      <c r="V892" s="70" t="s">
        <v>333</v>
      </c>
      <c r="W892" s="3" t="s">
        <v>749</v>
      </c>
      <c r="X892" s="3" t="s">
        <v>508</v>
      </c>
      <c r="Y892" s="3" t="s">
        <v>508</v>
      </c>
    </row>
    <row r="893" spans="1:25" hidden="1" x14ac:dyDescent="0.2">
      <c r="A893" s="83" t="str">
        <f t="shared" si="13"/>
        <v>华山龙源腿肉</v>
      </c>
      <c r="B893" s="3" t="s">
        <v>705</v>
      </c>
      <c r="C893" s="3">
        <v>44377</v>
      </c>
      <c r="D893" s="3" t="s">
        <v>507</v>
      </c>
      <c r="E893" s="3" t="s">
        <v>508</v>
      </c>
      <c r="F893" s="3" t="s">
        <v>508</v>
      </c>
      <c r="G893" s="70" t="s">
        <v>509</v>
      </c>
      <c r="H893" s="3" t="s">
        <v>510</v>
      </c>
      <c r="I893" s="3" t="s">
        <v>511</v>
      </c>
      <c r="J893" s="3">
        <v>362</v>
      </c>
      <c r="K893" s="3">
        <v>900</v>
      </c>
      <c r="L893" s="3">
        <v>767</v>
      </c>
      <c r="M893" s="3">
        <v>423</v>
      </c>
      <c r="N893" s="3">
        <v>495</v>
      </c>
      <c r="O893" s="70">
        <v>-72</v>
      </c>
      <c r="P893" s="3">
        <v>0</v>
      </c>
      <c r="Q893" s="3">
        <v>0</v>
      </c>
      <c r="R893" s="3">
        <v>1.566927</v>
      </c>
      <c r="S893" s="3">
        <v>-112.82</v>
      </c>
      <c r="T893" s="3">
        <v>662.81</v>
      </c>
      <c r="U893" s="3">
        <v>775.63</v>
      </c>
      <c r="V893" s="70" t="s">
        <v>643</v>
      </c>
      <c r="W893" s="3" t="s">
        <v>750</v>
      </c>
      <c r="X893" s="3" t="s">
        <v>508</v>
      </c>
      <c r="Y893" s="3" t="s">
        <v>508</v>
      </c>
    </row>
    <row r="894" spans="1:25" hidden="1" x14ac:dyDescent="0.2">
      <c r="A894" s="83" t="str">
        <f t="shared" si="13"/>
        <v>郑州西悦城腿肉</v>
      </c>
      <c r="B894" s="3" t="s">
        <v>708</v>
      </c>
      <c r="C894" s="3">
        <v>44377</v>
      </c>
      <c r="D894" s="3" t="s">
        <v>507</v>
      </c>
      <c r="E894" s="3" t="s">
        <v>508</v>
      </c>
      <c r="F894" s="3" t="s">
        <v>508</v>
      </c>
      <c r="G894" s="70" t="s">
        <v>509</v>
      </c>
      <c r="H894" s="3" t="s">
        <v>510</v>
      </c>
      <c r="I894" s="3" t="s">
        <v>511</v>
      </c>
      <c r="J894" s="3">
        <v>850</v>
      </c>
      <c r="K894" s="3">
        <v>1500</v>
      </c>
      <c r="L894" s="3">
        <v>1988</v>
      </c>
      <c r="M894" s="3">
        <v>360</v>
      </c>
      <c r="N894" s="3">
        <v>362</v>
      </c>
      <c r="O894" s="70">
        <v>-2</v>
      </c>
      <c r="P894" s="3">
        <v>0</v>
      </c>
      <c r="Q894" s="3">
        <v>0</v>
      </c>
      <c r="R894" s="3">
        <v>1.569583</v>
      </c>
      <c r="S894" s="3">
        <v>-3.14</v>
      </c>
      <c r="T894" s="3">
        <v>565.04999999999995</v>
      </c>
      <c r="U894" s="3">
        <v>568.19000000000005</v>
      </c>
      <c r="V894" s="70" t="s">
        <v>332</v>
      </c>
      <c r="W894" s="3" t="s">
        <v>343</v>
      </c>
      <c r="X894" s="3" t="s">
        <v>508</v>
      </c>
      <c r="Y894" s="3" t="s">
        <v>508</v>
      </c>
    </row>
    <row r="895" spans="1:25" hidden="1" x14ac:dyDescent="0.2">
      <c r="A895" s="83" t="str">
        <f t="shared" si="13"/>
        <v>郑州铁英街腿肉</v>
      </c>
      <c r="B895" s="3" t="s">
        <v>707</v>
      </c>
      <c r="C895" s="3">
        <v>44377</v>
      </c>
      <c r="D895" s="3" t="s">
        <v>507</v>
      </c>
      <c r="E895" s="3" t="s">
        <v>508</v>
      </c>
      <c r="F895" s="3" t="s">
        <v>508</v>
      </c>
      <c r="G895" s="70" t="s">
        <v>509</v>
      </c>
      <c r="H895" s="3" t="s">
        <v>510</v>
      </c>
      <c r="I895" s="3" t="s">
        <v>511</v>
      </c>
      <c r="J895" s="3">
        <v>285</v>
      </c>
      <c r="K895" s="3">
        <v>1650</v>
      </c>
      <c r="L895" s="3">
        <v>1401</v>
      </c>
      <c r="M895" s="3">
        <v>552</v>
      </c>
      <c r="N895" s="3">
        <v>534</v>
      </c>
      <c r="O895" s="70">
        <v>18</v>
      </c>
      <c r="P895" s="3">
        <v>0</v>
      </c>
      <c r="Q895" s="3">
        <v>0</v>
      </c>
      <c r="R895" s="3">
        <v>1.579529</v>
      </c>
      <c r="S895" s="3">
        <v>28.43</v>
      </c>
      <c r="T895" s="3">
        <v>871.9</v>
      </c>
      <c r="U895" s="3">
        <v>843.47</v>
      </c>
      <c r="V895" s="70" t="s">
        <v>592</v>
      </c>
      <c r="W895" s="3" t="s">
        <v>751</v>
      </c>
      <c r="X895" s="3" t="s">
        <v>508</v>
      </c>
      <c r="Y895" s="3" t="s">
        <v>508</v>
      </c>
    </row>
    <row r="896" spans="1:25" hidden="1" x14ac:dyDescent="0.2">
      <c r="A896" s="83" t="str">
        <f t="shared" si="13"/>
        <v>清丰凤鸣腿肉</v>
      </c>
      <c r="B896" s="3" t="s">
        <v>713</v>
      </c>
      <c r="C896" s="3">
        <v>44377</v>
      </c>
      <c r="D896" s="3" t="s">
        <v>507</v>
      </c>
      <c r="E896" s="3" t="s">
        <v>508</v>
      </c>
      <c r="F896" s="3" t="s">
        <v>508</v>
      </c>
      <c r="G896" s="70" t="s">
        <v>509</v>
      </c>
      <c r="H896" s="3" t="s">
        <v>510</v>
      </c>
      <c r="I896" s="3" t="s">
        <v>511</v>
      </c>
      <c r="J896" s="3">
        <v>38</v>
      </c>
      <c r="K896" s="3">
        <v>1800</v>
      </c>
      <c r="L896" s="3">
        <v>1196</v>
      </c>
      <c r="M896" s="3">
        <v>643</v>
      </c>
      <c r="N896" s="3">
        <v>642</v>
      </c>
      <c r="O896" s="70">
        <v>1</v>
      </c>
      <c r="P896" s="3">
        <v>0</v>
      </c>
      <c r="Q896" s="3">
        <v>0</v>
      </c>
      <c r="R896" s="3">
        <v>1.5815859999999999</v>
      </c>
      <c r="S896" s="3">
        <v>1.58</v>
      </c>
      <c r="T896" s="3">
        <v>1016.96</v>
      </c>
      <c r="U896" s="3">
        <v>1015.38</v>
      </c>
      <c r="V896" s="70" t="s">
        <v>334</v>
      </c>
      <c r="W896" s="3" t="s">
        <v>752</v>
      </c>
      <c r="X896" s="3" t="s">
        <v>508</v>
      </c>
      <c r="Y896" s="3" t="s">
        <v>508</v>
      </c>
    </row>
    <row r="897" spans="1:25" hidden="1" x14ac:dyDescent="0.2">
      <c r="A897" s="83" t="str">
        <f t="shared" si="13"/>
        <v>方城锦城国际腿肉</v>
      </c>
      <c r="B897" s="3" t="s">
        <v>712</v>
      </c>
      <c r="C897" s="3">
        <v>44377</v>
      </c>
      <c r="D897" s="3" t="s">
        <v>507</v>
      </c>
      <c r="E897" s="3" t="s">
        <v>508</v>
      </c>
      <c r="F897" s="3" t="s">
        <v>508</v>
      </c>
      <c r="G897" s="70" t="s">
        <v>509</v>
      </c>
      <c r="H897" s="3" t="s">
        <v>510</v>
      </c>
      <c r="I897" s="3" t="s">
        <v>511</v>
      </c>
      <c r="J897" s="3">
        <v>246</v>
      </c>
      <c r="K897" s="3">
        <v>1950</v>
      </c>
      <c r="L897" s="3">
        <v>1612</v>
      </c>
      <c r="M897" s="3">
        <v>566</v>
      </c>
      <c r="N897" s="3">
        <v>584</v>
      </c>
      <c r="O897" s="70">
        <v>-18</v>
      </c>
      <c r="P897" s="3">
        <v>0</v>
      </c>
      <c r="Q897" s="3">
        <v>0</v>
      </c>
      <c r="R897" s="3">
        <v>1.5752470000000001</v>
      </c>
      <c r="S897" s="3">
        <v>-28.35</v>
      </c>
      <c r="T897" s="3">
        <v>891.59</v>
      </c>
      <c r="U897" s="3">
        <v>919.94</v>
      </c>
      <c r="V897" s="70" t="s">
        <v>594</v>
      </c>
      <c r="W897" s="3" t="s">
        <v>751</v>
      </c>
      <c r="X897" s="3" t="s">
        <v>508</v>
      </c>
      <c r="Y897" s="3" t="s">
        <v>508</v>
      </c>
    </row>
    <row r="898" spans="1:25" hidden="1" x14ac:dyDescent="0.2">
      <c r="A898" s="83" t="str">
        <f t="shared" si="13"/>
        <v>郑州裕华腿肉</v>
      </c>
      <c r="B898" s="3" t="s">
        <v>711</v>
      </c>
      <c r="C898" s="3">
        <v>44377</v>
      </c>
      <c r="D898" s="3" t="s">
        <v>507</v>
      </c>
      <c r="E898" s="3" t="s">
        <v>508</v>
      </c>
      <c r="F898" s="3" t="s">
        <v>508</v>
      </c>
      <c r="G898" s="70" t="s">
        <v>509</v>
      </c>
      <c r="H898" s="3" t="s">
        <v>510</v>
      </c>
      <c r="I898" s="3" t="s">
        <v>511</v>
      </c>
      <c r="J898" s="3">
        <v>175</v>
      </c>
      <c r="K898" s="3">
        <v>1050</v>
      </c>
      <c r="L898" s="3">
        <v>1319</v>
      </c>
      <c r="M898" s="3">
        <v>216</v>
      </c>
      <c r="N898" s="3">
        <v>-94</v>
      </c>
      <c r="O898" s="70">
        <v>310</v>
      </c>
      <c r="P898" s="3">
        <v>0</v>
      </c>
      <c r="Q898" s="3">
        <v>0</v>
      </c>
      <c r="R898" s="3">
        <v>1.5793060000000001</v>
      </c>
      <c r="S898" s="3">
        <v>489.58</v>
      </c>
      <c r="T898" s="3">
        <v>341.13</v>
      </c>
      <c r="U898" s="3">
        <v>-148.44999999999999</v>
      </c>
      <c r="V898" s="70" t="s">
        <v>641</v>
      </c>
      <c r="W898" s="3" t="s">
        <v>753</v>
      </c>
      <c r="X898" s="3" t="s">
        <v>508</v>
      </c>
      <c r="Y898" s="3" t="s">
        <v>508</v>
      </c>
    </row>
    <row r="899" spans="1:25" hidden="1" x14ac:dyDescent="0.2">
      <c r="A899" s="83" t="str">
        <f t="shared" ref="A899:A962" si="14">V899&amp;G899</f>
        <v>滑县滑台腿肉</v>
      </c>
      <c r="B899" s="3" t="s">
        <v>710</v>
      </c>
      <c r="C899" s="3">
        <v>44377</v>
      </c>
      <c r="D899" s="3" t="s">
        <v>507</v>
      </c>
      <c r="E899" s="3" t="s">
        <v>508</v>
      </c>
      <c r="F899" s="3" t="s">
        <v>508</v>
      </c>
      <c r="G899" s="70" t="s">
        <v>509</v>
      </c>
      <c r="H899" s="3" t="s">
        <v>510</v>
      </c>
      <c r="I899" s="3" t="s">
        <v>511</v>
      </c>
      <c r="J899" s="3">
        <v>846</v>
      </c>
      <c r="K899" s="3">
        <v>2700</v>
      </c>
      <c r="L899" s="3">
        <v>2216</v>
      </c>
      <c r="M899" s="3">
        <v>1329</v>
      </c>
      <c r="N899" s="3">
        <v>1330</v>
      </c>
      <c r="O899" s="70">
        <v>-1</v>
      </c>
      <c r="P899" s="3">
        <v>0</v>
      </c>
      <c r="Q899" s="3">
        <v>0</v>
      </c>
      <c r="R899" s="3">
        <v>1.575561</v>
      </c>
      <c r="S899" s="3">
        <v>-1.58</v>
      </c>
      <c r="T899" s="3">
        <v>2093.92</v>
      </c>
      <c r="U899" s="3">
        <v>2095.5</v>
      </c>
      <c r="V899" s="70" t="s">
        <v>639</v>
      </c>
      <c r="W899" s="3" t="s">
        <v>343</v>
      </c>
      <c r="X899" s="3" t="s">
        <v>508</v>
      </c>
      <c r="Y899" s="3" t="s">
        <v>508</v>
      </c>
    </row>
    <row r="900" spans="1:25" hidden="1" x14ac:dyDescent="0.2">
      <c r="A900" s="83" t="str">
        <f t="shared" si="14"/>
        <v>郑州盛华里腿肉</v>
      </c>
      <c r="B900" s="3" t="s">
        <v>709</v>
      </c>
      <c r="C900" s="3">
        <v>44377</v>
      </c>
      <c r="D900" s="3" t="s">
        <v>507</v>
      </c>
      <c r="E900" s="3" t="s">
        <v>508</v>
      </c>
      <c r="F900" s="3" t="s">
        <v>508</v>
      </c>
      <c r="G900" s="70" t="s">
        <v>509</v>
      </c>
      <c r="H900" s="3" t="s">
        <v>510</v>
      </c>
      <c r="I900" s="3" t="s">
        <v>511</v>
      </c>
      <c r="J900" s="3">
        <v>420</v>
      </c>
      <c r="K900" s="3">
        <v>1500</v>
      </c>
      <c r="L900" s="3">
        <v>885</v>
      </c>
      <c r="M900" s="3">
        <v>1030</v>
      </c>
      <c r="N900" s="3">
        <v>1035</v>
      </c>
      <c r="O900" s="70">
        <v>-5</v>
      </c>
      <c r="P900" s="3">
        <v>0</v>
      </c>
      <c r="Q900" s="3">
        <v>0</v>
      </c>
      <c r="R900" s="3">
        <v>1.5696209999999999</v>
      </c>
      <c r="S900" s="3">
        <v>-7.85</v>
      </c>
      <c r="T900" s="3">
        <v>1616.71</v>
      </c>
      <c r="U900" s="3">
        <v>1624.56</v>
      </c>
      <c r="V900" s="70" t="s">
        <v>637</v>
      </c>
      <c r="W900" s="3" t="s">
        <v>343</v>
      </c>
      <c r="X900" s="3" t="s">
        <v>508</v>
      </c>
      <c r="Y900" s="3" t="s">
        <v>508</v>
      </c>
    </row>
    <row r="901" spans="1:25" hidden="1" x14ac:dyDescent="0.2">
      <c r="A901" s="83" t="str">
        <f t="shared" si="14"/>
        <v>郑州政六街腿肉</v>
      </c>
      <c r="B901" s="3" t="s">
        <v>714</v>
      </c>
      <c r="C901" s="3">
        <v>44377</v>
      </c>
      <c r="D901" s="3" t="s">
        <v>507</v>
      </c>
      <c r="E901" s="3" t="s">
        <v>508</v>
      </c>
      <c r="F901" s="3" t="s">
        <v>508</v>
      </c>
      <c r="G901" s="70" t="s">
        <v>509</v>
      </c>
      <c r="H901" s="3" t="s">
        <v>510</v>
      </c>
      <c r="I901" s="3" t="s">
        <v>511</v>
      </c>
      <c r="J901" s="3">
        <v>199</v>
      </c>
      <c r="K901" s="3">
        <v>2700</v>
      </c>
      <c r="L901" s="3">
        <v>2564</v>
      </c>
      <c r="M901" s="3">
        <v>335</v>
      </c>
      <c r="N901" s="3">
        <v>335</v>
      </c>
      <c r="O901" s="70">
        <v>0</v>
      </c>
      <c r="P901" s="3">
        <v>0</v>
      </c>
      <c r="Q901" s="3">
        <v>0</v>
      </c>
      <c r="R901" s="3">
        <v>1.5764180000000001</v>
      </c>
      <c r="S901" s="3">
        <v>0</v>
      </c>
      <c r="T901" s="3">
        <v>528.1</v>
      </c>
      <c r="U901" s="3">
        <v>528.1</v>
      </c>
      <c r="V901" s="70" t="s">
        <v>591</v>
      </c>
      <c r="W901" s="3" t="s">
        <v>343</v>
      </c>
      <c r="X901" s="3" t="s">
        <v>508</v>
      </c>
      <c r="Y901" s="3" t="s">
        <v>508</v>
      </c>
    </row>
    <row r="902" spans="1:25" hidden="1" x14ac:dyDescent="0.2">
      <c r="A902" s="83" t="str">
        <f t="shared" si="14"/>
        <v>郑州政六街面饼</v>
      </c>
      <c r="B902" s="3" t="s">
        <v>714</v>
      </c>
      <c r="C902" s="3">
        <v>44377</v>
      </c>
      <c r="D902" s="3" t="s">
        <v>512</v>
      </c>
      <c r="E902" s="3" t="s">
        <v>508</v>
      </c>
      <c r="F902" s="3" t="s">
        <v>508</v>
      </c>
      <c r="G902" s="70" t="s">
        <v>513</v>
      </c>
      <c r="H902" s="3" t="s">
        <v>510</v>
      </c>
      <c r="I902" s="3" t="s">
        <v>511</v>
      </c>
      <c r="J902" s="3">
        <v>371</v>
      </c>
      <c r="K902" s="3">
        <v>1656</v>
      </c>
      <c r="L902" s="3">
        <v>1666</v>
      </c>
      <c r="M902" s="3">
        <v>337</v>
      </c>
      <c r="N902" s="3">
        <v>361</v>
      </c>
      <c r="O902" s="70">
        <v>-24</v>
      </c>
      <c r="P902" s="3">
        <v>0</v>
      </c>
      <c r="Q902" s="3">
        <v>0</v>
      </c>
      <c r="R902" s="3">
        <v>0.48765599999999998</v>
      </c>
      <c r="S902" s="3">
        <v>-11.7</v>
      </c>
      <c r="T902" s="3">
        <v>164.34</v>
      </c>
      <c r="U902" s="3">
        <v>176.04</v>
      </c>
      <c r="V902" s="70" t="s">
        <v>591</v>
      </c>
      <c r="W902" s="3" t="s">
        <v>343</v>
      </c>
      <c r="X902" s="3" t="s">
        <v>508</v>
      </c>
      <c r="Y902" s="3" t="s">
        <v>508</v>
      </c>
    </row>
    <row r="903" spans="1:25" hidden="1" x14ac:dyDescent="0.2">
      <c r="A903" s="83" t="str">
        <f t="shared" si="14"/>
        <v>郑州盛华里面饼</v>
      </c>
      <c r="B903" s="3" t="s">
        <v>709</v>
      </c>
      <c r="C903" s="3">
        <v>44377</v>
      </c>
      <c r="D903" s="3" t="s">
        <v>512</v>
      </c>
      <c r="E903" s="3" t="s">
        <v>508</v>
      </c>
      <c r="F903" s="3" t="s">
        <v>508</v>
      </c>
      <c r="G903" s="70" t="s">
        <v>513</v>
      </c>
      <c r="H903" s="3" t="s">
        <v>510</v>
      </c>
      <c r="I903" s="3" t="s">
        <v>511</v>
      </c>
      <c r="J903" s="3">
        <v>800</v>
      </c>
      <c r="K903" s="3">
        <v>0</v>
      </c>
      <c r="L903" s="3">
        <v>439</v>
      </c>
      <c r="M903" s="3">
        <v>360</v>
      </c>
      <c r="N903" s="3">
        <v>361</v>
      </c>
      <c r="O903" s="70">
        <v>-1</v>
      </c>
      <c r="P903" s="3">
        <v>0</v>
      </c>
      <c r="Q903" s="3">
        <v>0</v>
      </c>
      <c r="R903" s="3">
        <v>0.48627799999999999</v>
      </c>
      <c r="S903" s="3">
        <v>-0.49</v>
      </c>
      <c r="T903" s="3">
        <v>175.06</v>
      </c>
      <c r="U903" s="3">
        <v>175.55</v>
      </c>
      <c r="V903" s="70" t="s">
        <v>637</v>
      </c>
      <c r="W903" s="3" t="s">
        <v>343</v>
      </c>
      <c r="X903" s="3" t="s">
        <v>508</v>
      </c>
      <c r="Y903" s="3" t="s">
        <v>508</v>
      </c>
    </row>
    <row r="904" spans="1:25" hidden="1" x14ac:dyDescent="0.2">
      <c r="A904" s="83" t="str">
        <f t="shared" si="14"/>
        <v>滑县滑台面饼</v>
      </c>
      <c r="B904" s="3" t="s">
        <v>710</v>
      </c>
      <c r="C904" s="3">
        <v>44377</v>
      </c>
      <c r="D904" s="3" t="s">
        <v>512</v>
      </c>
      <c r="E904" s="3" t="s">
        <v>508</v>
      </c>
      <c r="F904" s="3" t="s">
        <v>508</v>
      </c>
      <c r="G904" s="70" t="s">
        <v>513</v>
      </c>
      <c r="H904" s="3" t="s">
        <v>510</v>
      </c>
      <c r="I904" s="3" t="s">
        <v>511</v>
      </c>
      <c r="J904" s="3">
        <v>131</v>
      </c>
      <c r="K904" s="3">
        <v>768</v>
      </c>
      <c r="L904" s="3">
        <v>759</v>
      </c>
      <c r="M904" s="3">
        <v>143</v>
      </c>
      <c r="N904" s="3">
        <v>140</v>
      </c>
      <c r="O904" s="70">
        <v>3</v>
      </c>
      <c r="P904" s="3">
        <v>0</v>
      </c>
      <c r="Q904" s="3">
        <v>0</v>
      </c>
      <c r="R904" s="3">
        <v>0.48622399999999999</v>
      </c>
      <c r="S904" s="3">
        <v>1.46</v>
      </c>
      <c r="T904" s="3">
        <v>69.53</v>
      </c>
      <c r="U904" s="3">
        <v>68.069999999999993</v>
      </c>
      <c r="V904" s="70" t="s">
        <v>639</v>
      </c>
      <c r="W904" s="3" t="s">
        <v>343</v>
      </c>
      <c r="X904" s="3" t="s">
        <v>508</v>
      </c>
      <c r="Y904" s="3" t="s">
        <v>508</v>
      </c>
    </row>
    <row r="905" spans="1:25" hidden="1" x14ac:dyDescent="0.2">
      <c r="A905" s="83" t="str">
        <f t="shared" si="14"/>
        <v>郑州裕华面饼</v>
      </c>
      <c r="B905" s="3" t="s">
        <v>711</v>
      </c>
      <c r="C905" s="3">
        <v>44377</v>
      </c>
      <c r="D905" s="3" t="s">
        <v>512</v>
      </c>
      <c r="E905" s="3" t="s">
        <v>508</v>
      </c>
      <c r="F905" s="3" t="s">
        <v>508</v>
      </c>
      <c r="G905" s="70" t="s">
        <v>513</v>
      </c>
      <c r="H905" s="3" t="s">
        <v>510</v>
      </c>
      <c r="I905" s="3" t="s">
        <v>511</v>
      </c>
      <c r="J905" s="3">
        <v>684</v>
      </c>
      <c r="K905" s="3">
        <v>0</v>
      </c>
      <c r="L905" s="3">
        <v>347</v>
      </c>
      <c r="M905" s="3">
        <v>336</v>
      </c>
      <c r="N905" s="3">
        <v>337</v>
      </c>
      <c r="O905" s="70">
        <v>-1</v>
      </c>
      <c r="P905" s="3">
        <v>0</v>
      </c>
      <c r="Q905" s="3">
        <v>0</v>
      </c>
      <c r="R905" s="3">
        <v>0.486369</v>
      </c>
      <c r="S905" s="3">
        <v>-0.49</v>
      </c>
      <c r="T905" s="3">
        <v>163.41999999999999</v>
      </c>
      <c r="U905" s="3">
        <v>163.91</v>
      </c>
      <c r="V905" s="70" t="s">
        <v>641</v>
      </c>
      <c r="W905" s="3" t="s">
        <v>343</v>
      </c>
      <c r="X905" s="3" t="s">
        <v>508</v>
      </c>
      <c r="Y905" s="3" t="s">
        <v>508</v>
      </c>
    </row>
    <row r="906" spans="1:25" hidden="1" x14ac:dyDescent="0.2">
      <c r="A906" s="83" t="str">
        <f t="shared" si="14"/>
        <v>方城锦城国际面饼</v>
      </c>
      <c r="B906" s="3" t="s">
        <v>712</v>
      </c>
      <c r="C906" s="3">
        <v>44377</v>
      </c>
      <c r="D906" s="3" t="s">
        <v>512</v>
      </c>
      <c r="E906" s="3" t="s">
        <v>508</v>
      </c>
      <c r="F906" s="3" t="s">
        <v>508</v>
      </c>
      <c r="G906" s="70" t="s">
        <v>513</v>
      </c>
      <c r="H906" s="3" t="s">
        <v>510</v>
      </c>
      <c r="I906" s="3" t="s">
        <v>511</v>
      </c>
      <c r="J906" s="3">
        <v>15</v>
      </c>
      <c r="K906" s="3">
        <v>576</v>
      </c>
      <c r="L906" s="3">
        <v>562</v>
      </c>
      <c r="M906" s="3">
        <v>29</v>
      </c>
      <c r="N906" s="3">
        <v>29</v>
      </c>
      <c r="O906" s="70">
        <v>0</v>
      </c>
      <c r="P906" s="3">
        <v>0</v>
      </c>
      <c r="Q906" s="3">
        <v>0</v>
      </c>
      <c r="R906" s="3">
        <v>0.48586200000000002</v>
      </c>
      <c r="S906" s="3">
        <v>0</v>
      </c>
      <c r="T906" s="3">
        <v>14.09</v>
      </c>
      <c r="U906" s="3">
        <v>14.09</v>
      </c>
      <c r="V906" s="70" t="s">
        <v>594</v>
      </c>
      <c r="W906" s="3" t="s">
        <v>343</v>
      </c>
      <c r="X906" s="3" t="s">
        <v>508</v>
      </c>
      <c r="Y906" s="3" t="s">
        <v>508</v>
      </c>
    </row>
    <row r="907" spans="1:25" hidden="1" x14ac:dyDescent="0.2">
      <c r="A907" s="83" t="str">
        <f t="shared" si="14"/>
        <v>清丰凤鸣面饼</v>
      </c>
      <c r="B907" s="3" t="s">
        <v>713</v>
      </c>
      <c r="C907" s="3">
        <v>44377</v>
      </c>
      <c r="D907" s="3" t="s">
        <v>512</v>
      </c>
      <c r="E907" s="3" t="s">
        <v>508</v>
      </c>
      <c r="F907" s="3" t="s">
        <v>508</v>
      </c>
      <c r="G907" s="70" t="s">
        <v>513</v>
      </c>
      <c r="H907" s="3" t="s">
        <v>510</v>
      </c>
      <c r="I907" s="3" t="s">
        <v>511</v>
      </c>
      <c r="J907" s="3">
        <v>165</v>
      </c>
      <c r="K907" s="3">
        <v>576</v>
      </c>
      <c r="L907" s="3">
        <v>347</v>
      </c>
      <c r="M907" s="3">
        <v>392</v>
      </c>
      <c r="N907" s="3">
        <v>394</v>
      </c>
      <c r="O907" s="70">
        <v>-2</v>
      </c>
      <c r="P907" s="3">
        <v>0</v>
      </c>
      <c r="Q907" s="3">
        <v>0</v>
      </c>
      <c r="R907" s="3">
        <v>0.48632700000000001</v>
      </c>
      <c r="S907" s="3">
        <v>-0.97</v>
      </c>
      <c r="T907" s="3">
        <v>190.64</v>
      </c>
      <c r="U907" s="3">
        <v>191.61</v>
      </c>
      <c r="V907" s="70" t="s">
        <v>334</v>
      </c>
      <c r="W907" s="3" t="s">
        <v>343</v>
      </c>
      <c r="X907" s="3" t="s">
        <v>508</v>
      </c>
      <c r="Y907" s="3" t="s">
        <v>508</v>
      </c>
    </row>
    <row r="908" spans="1:25" hidden="1" x14ac:dyDescent="0.2">
      <c r="A908" s="83" t="str">
        <f t="shared" si="14"/>
        <v>郑州铁英街面饼</v>
      </c>
      <c r="B908" s="3" t="s">
        <v>707</v>
      </c>
      <c r="C908" s="3">
        <v>44377</v>
      </c>
      <c r="D908" s="3" t="s">
        <v>512</v>
      </c>
      <c r="E908" s="3" t="s">
        <v>508</v>
      </c>
      <c r="F908" s="3" t="s">
        <v>508</v>
      </c>
      <c r="G908" s="70" t="s">
        <v>513</v>
      </c>
      <c r="H908" s="3" t="s">
        <v>510</v>
      </c>
      <c r="I908" s="3" t="s">
        <v>511</v>
      </c>
      <c r="J908" s="3">
        <v>169</v>
      </c>
      <c r="K908" s="3">
        <v>384</v>
      </c>
      <c r="L908" s="3">
        <v>485</v>
      </c>
      <c r="M908" s="3">
        <v>64</v>
      </c>
      <c r="N908" s="3">
        <v>68</v>
      </c>
      <c r="O908" s="70">
        <v>-4</v>
      </c>
      <c r="P908" s="3">
        <v>0</v>
      </c>
      <c r="Q908" s="3">
        <v>0</v>
      </c>
      <c r="R908" s="3">
        <v>0.48609400000000003</v>
      </c>
      <c r="S908" s="3">
        <v>-1.94</v>
      </c>
      <c r="T908" s="3">
        <v>31.11</v>
      </c>
      <c r="U908" s="3">
        <v>33.049999999999997</v>
      </c>
      <c r="V908" s="70" t="s">
        <v>592</v>
      </c>
      <c r="W908" s="3" t="s">
        <v>343</v>
      </c>
      <c r="X908" s="3" t="s">
        <v>508</v>
      </c>
      <c r="Y908" s="3" t="s">
        <v>508</v>
      </c>
    </row>
    <row r="909" spans="1:25" hidden="1" x14ac:dyDescent="0.2">
      <c r="A909" s="83" t="str">
        <f t="shared" si="14"/>
        <v>郑州西悦城面饼</v>
      </c>
      <c r="B909" s="3" t="s">
        <v>708</v>
      </c>
      <c r="C909" s="3">
        <v>44377</v>
      </c>
      <c r="D909" s="3" t="s">
        <v>512</v>
      </c>
      <c r="E909" s="3" t="s">
        <v>508</v>
      </c>
      <c r="F909" s="3" t="s">
        <v>508</v>
      </c>
      <c r="G909" s="70" t="s">
        <v>513</v>
      </c>
      <c r="H909" s="3" t="s">
        <v>510</v>
      </c>
      <c r="I909" s="3" t="s">
        <v>511</v>
      </c>
      <c r="J909" s="3">
        <v>120</v>
      </c>
      <c r="K909" s="3">
        <v>1152</v>
      </c>
      <c r="L909" s="3">
        <v>1240</v>
      </c>
      <c r="M909" s="3">
        <v>30</v>
      </c>
      <c r="N909" s="3">
        <v>32</v>
      </c>
      <c r="O909" s="70">
        <v>-2</v>
      </c>
      <c r="P909" s="3">
        <v>0</v>
      </c>
      <c r="Q909" s="3">
        <v>0</v>
      </c>
      <c r="R909" s="3">
        <v>0.48733300000000002</v>
      </c>
      <c r="S909" s="3">
        <v>-0.97</v>
      </c>
      <c r="T909" s="3">
        <v>14.62</v>
      </c>
      <c r="U909" s="3">
        <v>15.59</v>
      </c>
      <c r="V909" s="70" t="s">
        <v>332</v>
      </c>
      <c r="W909" s="3" t="s">
        <v>343</v>
      </c>
      <c r="X909" s="3" t="s">
        <v>508</v>
      </c>
      <c r="Y909" s="3" t="s">
        <v>508</v>
      </c>
    </row>
    <row r="910" spans="1:25" hidden="1" x14ac:dyDescent="0.2">
      <c r="A910" s="83" t="str">
        <f t="shared" si="14"/>
        <v>华山龙源面饼</v>
      </c>
      <c r="B910" s="3" t="s">
        <v>705</v>
      </c>
      <c r="C910" s="3">
        <v>44377</v>
      </c>
      <c r="D910" s="3" t="s">
        <v>512</v>
      </c>
      <c r="E910" s="3" t="s">
        <v>508</v>
      </c>
      <c r="F910" s="3" t="s">
        <v>508</v>
      </c>
      <c r="G910" s="70" t="s">
        <v>513</v>
      </c>
      <c r="H910" s="3" t="s">
        <v>510</v>
      </c>
      <c r="I910" s="3" t="s">
        <v>511</v>
      </c>
      <c r="J910" s="3">
        <v>132</v>
      </c>
      <c r="K910" s="3">
        <v>192</v>
      </c>
      <c r="L910" s="3">
        <v>260</v>
      </c>
      <c r="M910" s="3">
        <v>64</v>
      </c>
      <c r="N910" s="3">
        <v>64</v>
      </c>
      <c r="O910" s="70">
        <v>0</v>
      </c>
      <c r="P910" s="3">
        <v>0</v>
      </c>
      <c r="Q910" s="3">
        <v>0</v>
      </c>
      <c r="R910" s="3">
        <v>0.48562499999999997</v>
      </c>
      <c r="S910" s="3">
        <v>0</v>
      </c>
      <c r="T910" s="3">
        <v>31.08</v>
      </c>
      <c r="U910" s="3">
        <v>31.08</v>
      </c>
      <c r="V910" s="70" t="s">
        <v>643</v>
      </c>
      <c r="W910" s="3" t="s">
        <v>343</v>
      </c>
      <c r="X910" s="3" t="s">
        <v>508</v>
      </c>
      <c r="Y910" s="3" t="s">
        <v>508</v>
      </c>
    </row>
    <row r="911" spans="1:25" hidden="1" x14ac:dyDescent="0.2">
      <c r="A911" s="83" t="str">
        <f t="shared" si="14"/>
        <v>郑州瀚海海尚面饼</v>
      </c>
      <c r="B911" s="3" t="s">
        <v>706</v>
      </c>
      <c r="C911" s="3">
        <v>44377</v>
      </c>
      <c r="D911" s="3" t="s">
        <v>512</v>
      </c>
      <c r="E911" s="3" t="s">
        <v>508</v>
      </c>
      <c r="F911" s="3" t="s">
        <v>508</v>
      </c>
      <c r="G911" s="70" t="s">
        <v>513</v>
      </c>
      <c r="H911" s="3" t="s">
        <v>510</v>
      </c>
      <c r="I911" s="3" t="s">
        <v>511</v>
      </c>
      <c r="J911" s="3">
        <v>449</v>
      </c>
      <c r="K911" s="3">
        <v>192</v>
      </c>
      <c r="L911" s="3">
        <v>500</v>
      </c>
      <c r="M911" s="3">
        <v>140</v>
      </c>
      <c r="N911" s="3">
        <v>141</v>
      </c>
      <c r="O911" s="70">
        <v>-1</v>
      </c>
      <c r="P911" s="3">
        <v>0</v>
      </c>
      <c r="Q911" s="3">
        <v>0</v>
      </c>
      <c r="R911" s="3">
        <v>0.486286</v>
      </c>
      <c r="S911" s="3">
        <v>-0.49</v>
      </c>
      <c r="T911" s="3">
        <v>68.08</v>
      </c>
      <c r="U911" s="3">
        <v>68.569999999999993</v>
      </c>
      <c r="V911" s="70" t="s">
        <v>333</v>
      </c>
      <c r="W911" s="3" t="s">
        <v>343</v>
      </c>
      <c r="X911" s="3" t="s">
        <v>508</v>
      </c>
      <c r="Y911" s="3" t="s">
        <v>508</v>
      </c>
    </row>
    <row r="912" spans="1:25" hidden="1" x14ac:dyDescent="0.2">
      <c r="A912" s="83" t="str">
        <f t="shared" si="14"/>
        <v>郑州康复中街面饼</v>
      </c>
      <c r="B912" s="3" t="s">
        <v>704</v>
      </c>
      <c r="C912" s="3">
        <v>44377</v>
      </c>
      <c r="D912" s="3" t="s">
        <v>512</v>
      </c>
      <c r="E912" s="3" t="s">
        <v>508</v>
      </c>
      <c r="F912" s="3" t="s">
        <v>508</v>
      </c>
      <c r="G912" s="70" t="s">
        <v>513</v>
      </c>
      <c r="H912" s="3" t="s">
        <v>510</v>
      </c>
      <c r="I912" s="3" t="s">
        <v>511</v>
      </c>
      <c r="J912" s="3">
        <v>90</v>
      </c>
      <c r="K912" s="3">
        <v>1152</v>
      </c>
      <c r="L912" s="3">
        <v>1066</v>
      </c>
      <c r="M912" s="3">
        <v>176</v>
      </c>
      <c r="N912" s="3">
        <v>176</v>
      </c>
      <c r="O912" s="70">
        <v>0</v>
      </c>
      <c r="P912" s="3">
        <v>0</v>
      </c>
      <c r="Q912" s="3">
        <v>0</v>
      </c>
      <c r="R912" s="3">
        <v>0.48625000000000002</v>
      </c>
      <c r="S912" s="3">
        <v>0</v>
      </c>
      <c r="T912" s="3">
        <v>85.58</v>
      </c>
      <c r="U912" s="3">
        <v>85.58</v>
      </c>
      <c r="V912" s="70" t="s">
        <v>593</v>
      </c>
      <c r="W912" s="3" t="s">
        <v>343</v>
      </c>
      <c r="X912" s="3" t="s">
        <v>508</v>
      </c>
      <c r="Y912" s="3" t="s">
        <v>508</v>
      </c>
    </row>
    <row r="913" spans="1:25" hidden="1" x14ac:dyDescent="0.2">
      <c r="A913" s="83" t="str">
        <f t="shared" si="14"/>
        <v>新蔡水韵天街面饼</v>
      </c>
      <c r="B913" s="3" t="s">
        <v>703</v>
      </c>
      <c r="C913" s="3">
        <v>44377</v>
      </c>
      <c r="D913" s="3" t="s">
        <v>512</v>
      </c>
      <c r="E913" s="3" t="s">
        <v>508</v>
      </c>
      <c r="F913" s="3" t="s">
        <v>508</v>
      </c>
      <c r="G913" s="70" t="s">
        <v>513</v>
      </c>
      <c r="H913" s="3" t="s">
        <v>510</v>
      </c>
      <c r="I913" s="3" t="s">
        <v>511</v>
      </c>
      <c r="J913" s="3">
        <v>250</v>
      </c>
      <c r="K913" s="3">
        <v>384</v>
      </c>
      <c r="L913" s="3">
        <v>572</v>
      </c>
      <c r="M913" s="3">
        <v>60</v>
      </c>
      <c r="N913" s="3">
        <v>62</v>
      </c>
      <c r="O913" s="70">
        <v>-2</v>
      </c>
      <c r="P913" s="3">
        <v>0</v>
      </c>
      <c r="Q913" s="3">
        <v>0</v>
      </c>
      <c r="R913" s="3">
        <v>0.48566700000000002</v>
      </c>
      <c r="S913" s="3">
        <v>-0.97</v>
      </c>
      <c r="T913" s="3">
        <v>29.14</v>
      </c>
      <c r="U913" s="3">
        <v>30.11</v>
      </c>
      <c r="V913" s="70" t="s">
        <v>335</v>
      </c>
      <c r="W913" s="3" t="s">
        <v>343</v>
      </c>
      <c r="X913" s="3" t="s">
        <v>508</v>
      </c>
      <c r="Y913" s="3" t="s">
        <v>508</v>
      </c>
    </row>
    <row r="914" spans="1:25" hidden="1" x14ac:dyDescent="0.2">
      <c r="A914" s="83" t="str">
        <f t="shared" si="14"/>
        <v>新蔡水韵天街虾饼</v>
      </c>
      <c r="B914" s="3" t="s">
        <v>703</v>
      </c>
      <c r="C914" s="3">
        <v>44377</v>
      </c>
      <c r="D914" s="3" t="s">
        <v>514</v>
      </c>
      <c r="E914" s="3" t="s">
        <v>508</v>
      </c>
      <c r="F914" s="3" t="s">
        <v>508</v>
      </c>
      <c r="G914" s="70" t="s">
        <v>515</v>
      </c>
      <c r="H914" s="3" t="s">
        <v>510</v>
      </c>
      <c r="I914" s="3" t="s">
        <v>511</v>
      </c>
      <c r="J914" s="3">
        <v>95</v>
      </c>
      <c r="K914" s="3">
        <v>144</v>
      </c>
      <c r="L914" s="3">
        <v>221</v>
      </c>
      <c r="M914" s="3">
        <v>16</v>
      </c>
      <c r="N914" s="3">
        <v>18</v>
      </c>
      <c r="O914" s="70">
        <v>-2</v>
      </c>
      <c r="P914" s="3">
        <v>0</v>
      </c>
      <c r="Q914" s="3">
        <v>0</v>
      </c>
      <c r="R914" s="3">
        <v>3.006875</v>
      </c>
      <c r="S914" s="3">
        <v>-6.01</v>
      </c>
      <c r="T914" s="3">
        <v>48.11</v>
      </c>
      <c r="U914" s="3">
        <v>54.12</v>
      </c>
      <c r="V914" s="70" t="s">
        <v>335</v>
      </c>
      <c r="W914" s="3" t="s">
        <v>343</v>
      </c>
      <c r="X914" s="3" t="s">
        <v>508</v>
      </c>
      <c r="Y914" s="3" t="s">
        <v>508</v>
      </c>
    </row>
    <row r="915" spans="1:25" hidden="1" x14ac:dyDescent="0.2">
      <c r="A915" s="83" t="str">
        <f t="shared" si="14"/>
        <v>郑州康复中街虾饼</v>
      </c>
      <c r="B915" s="3" t="s">
        <v>704</v>
      </c>
      <c r="C915" s="3">
        <v>44377</v>
      </c>
      <c r="D915" s="3" t="s">
        <v>514</v>
      </c>
      <c r="E915" s="3" t="s">
        <v>508</v>
      </c>
      <c r="F915" s="3" t="s">
        <v>508</v>
      </c>
      <c r="G915" s="70" t="s">
        <v>515</v>
      </c>
      <c r="H915" s="3" t="s">
        <v>510</v>
      </c>
      <c r="I915" s="3" t="s">
        <v>511</v>
      </c>
      <c r="J915" s="3">
        <v>0</v>
      </c>
      <c r="K915" s="3">
        <v>448</v>
      </c>
      <c r="L915" s="3">
        <v>258</v>
      </c>
      <c r="M915" s="3">
        <v>189</v>
      </c>
      <c r="N915" s="3">
        <v>190</v>
      </c>
      <c r="O915" s="70">
        <v>-1</v>
      </c>
      <c r="P915" s="3">
        <v>0</v>
      </c>
      <c r="Q915" s="3">
        <v>0</v>
      </c>
      <c r="R915" s="3">
        <v>2.900423</v>
      </c>
      <c r="S915" s="3">
        <v>-2.9</v>
      </c>
      <c r="T915" s="3">
        <v>548.17999999999995</v>
      </c>
      <c r="U915" s="3">
        <v>551.08000000000004</v>
      </c>
      <c r="V915" s="70" t="s">
        <v>593</v>
      </c>
      <c r="W915" s="3" t="s">
        <v>343</v>
      </c>
      <c r="X915" s="3" t="s">
        <v>508</v>
      </c>
      <c r="Y915" s="3" t="s">
        <v>508</v>
      </c>
    </row>
    <row r="916" spans="1:25" hidden="1" x14ac:dyDescent="0.2">
      <c r="A916" s="83" t="str">
        <f t="shared" si="14"/>
        <v>郑州瀚海海尚虾饼</v>
      </c>
      <c r="B916" s="3" t="s">
        <v>706</v>
      </c>
      <c r="C916" s="3">
        <v>44377</v>
      </c>
      <c r="D916" s="3" t="s">
        <v>514</v>
      </c>
      <c r="E916" s="3" t="s">
        <v>508</v>
      </c>
      <c r="F916" s="3" t="s">
        <v>508</v>
      </c>
      <c r="G916" s="70" t="s">
        <v>515</v>
      </c>
      <c r="H916" s="3" t="s">
        <v>510</v>
      </c>
      <c r="I916" s="3" t="s">
        <v>511</v>
      </c>
      <c r="J916" s="3">
        <v>54</v>
      </c>
      <c r="K916" s="3">
        <v>288</v>
      </c>
      <c r="L916" s="3">
        <v>247</v>
      </c>
      <c r="M916" s="3">
        <v>90</v>
      </c>
      <c r="N916" s="3">
        <v>95</v>
      </c>
      <c r="O916" s="70">
        <v>-5</v>
      </c>
      <c r="P916" s="3">
        <v>0</v>
      </c>
      <c r="Q916" s="3">
        <v>0</v>
      </c>
      <c r="R916" s="3">
        <v>2.999333</v>
      </c>
      <c r="S916" s="3">
        <v>-15</v>
      </c>
      <c r="T916" s="3">
        <v>269.94</v>
      </c>
      <c r="U916" s="3">
        <v>284.94</v>
      </c>
      <c r="V916" s="70" t="s">
        <v>333</v>
      </c>
      <c r="W916" s="3" t="s">
        <v>343</v>
      </c>
      <c r="X916" s="3" t="s">
        <v>508</v>
      </c>
      <c r="Y916" s="3" t="s">
        <v>508</v>
      </c>
    </row>
    <row r="917" spans="1:25" hidden="1" x14ac:dyDescent="0.2">
      <c r="A917" s="83" t="str">
        <f t="shared" si="14"/>
        <v>华山龙源虾饼</v>
      </c>
      <c r="B917" s="3" t="s">
        <v>705</v>
      </c>
      <c r="C917" s="3">
        <v>44377</v>
      </c>
      <c r="D917" s="3" t="s">
        <v>514</v>
      </c>
      <c r="E917" s="3" t="s">
        <v>508</v>
      </c>
      <c r="F917" s="3" t="s">
        <v>508</v>
      </c>
      <c r="G917" s="70" t="s">
        <v>515</v>
      </c>
      <c r="H917" s="3" t="s">
        <v>510</v>
      </c>
      <c r="I917" s="3" t="s">
        <v>511</v>
      </c>
      <c r="J917" s="3">
        <v>183</v>
      </c>
      <c r="K917" s="3">
        <v>144</v>
      </c>
      <c r="L917" s="3">
        <v>201</v>
      </c>
      <c r="M917" s="3">
        <v>126</v>
      </c>
      <c r="N917" s="3">
        <v>126</v>
      </c>
      <c r="O917" s="70">
        <v>0</v>
      </c>
      <c r="P917" s="3">
        <v>0</v>
      </c>
      <c r="Q917" s="3">
        <v>0</v>
      </c>
      <c r="R917" s="3">
        <v>3.007063</v>
      </c>
      <c r="S917" s="3">
        <v>0</v>
      </c>
      <c r="T917" s="3">
        <v>378.89</v>
      </c>
      <c r="U917" s="3">
        <v>378.89</v>
      </c>
      <c r="V917" s="70" t="s">
        <v>643</v>
      </c>
      <c r="W917" s="3" t="s">
        <v>343</v>
      </c>
      <c r="X917" s="3" t="s">
        <v>508</v>
      </c>
      <c r="Y917" s="3" t="s">
        <v>508</v>
      </c>
    </row>
    <row r="918" spans="1:25" hidden="1" x14ac:dyDescent="0.2">
      <c r="A918" s="83" t="str">
        <f t="shared" si="14"/>
        <v>郑州西悦城虾饼</v>
      </c>
      <c r="B918" s="3" t="s">
        <v>708</v>
      </c>
      <c r="C918" s="3">
        <v>44377</v>
      </c>
      <c r="D918" s="3" t="s">
        <v>514</v>
      </c>
      <c r="E918" s="3" t="s">
        <v>508</v>
      </c>
      <c r="F918" s="3" t="s">
        <v>508</v>
      </c>
      <c r="G918" s="70" t="s">
        <v>515</v>
      </c>
      <c r="H918" s="3" t="s">
        <v>510</v>
      </c>
      <c r="I918" s="3" t="s">
        <v>511</v>
      </c>
      <c r="J918" s="3">
        <v>105</v>
      </c>
      <c r="K918" s="3">
        <v>432</v>
      </c>
      <c r="L918" s="3">
        <v>435</v>
      </c>
      <c r="M918" s="3">
        <v>95</v>
      </c>
      <c r="N918" s="3">
        <v>102</v>
      </c>
      <c r="O918" s="70">
        <v>-7</v>
      </c>
      <c r="P918" s="3">
        <v>0</v>
      </c>
      <c r="Q918" s="3">
        <v>0</v>
      </c>
      <c r="R918" s="3">
        <v>3.0027370000000002</v>
      </c>
      <c r="S918" s="3">
        <v>-21.02</v>
      </c>
      <c r="T918" s="3">
        <v>285.26</v>
      </c>
      <c r="U918" s="3">
        <v>306.27999999999997</v>
      </c>
      <c r="V918" s="70" t="s">
        <v>332</v>
      </c>
      <c r="W918" s="3" t="s">
        <v>343</v>
      </c>
      <c r="X918" s="3" t="s">
        <v>508</v>
      </c>
      <c r="Y918" s="3" t="s">
        <v>508</v>
      </c>
    </row>
    <row r="919" spans="1:25" hidden="1" x14ac:dyDescent="0.2">
      <c r="A919" s="83" t="str">
        <f t="shared" si="14"/>
        <v>郑州铁英街虾饼</v>
      </c>
      <c r="B919" s="3" t="s">
        <v>707</v>
      </c>
      <c r="C919" s="3">
        <v>44377</v>
      </c>
      <c r="D919" s="3" t="s">
        <v>514</v>
      </c>
      <c r="E919" s="3" t="s">
        <v>508</v>
      </c>
      <c r="F919" s="3" t="s">
        <v>508</v>
      </c>
      <c r="G919" s="70" t="s">
        <v>515</v>
      </c>
      <c r="H919" s="3" t="s">
        <v>510</v>
      </c>
      <c r="I919" s="3" t="s">
        <v>511</v>
      </c>
      <c r="J919" s="3">
        <v>45</v>
      </c>
      <c r="K919" s="3">
        <v>288</v>
      </c>
      <c r="L919" s="3">
        <v>225</v>
      </c>
      <c r="M919" s="3">
        <v>104</v>
      </c>
      <c r="N919" s="3">
        <v>108</v>
      </c>
      <c r="O919" s="70">
        <v>-4</v>
      </c>
      <c r="P919" s="3">
        <v>0</v>
      </c>
      <c r="Q919" s="3">
        <v>0</v>
      </c>
      <c r="R919" s="3">
        <v>3.0071150000000002</v>
      </c>
      <c r="S919" s="3">
        <v>-12.03</v>
      </c>
      <c r="T919" s="3">
        <v>312.74</v>
      </c>
      <c r="U919" s="3">
        <v>324.77</v>
      </c>
      <c r="V919" s="70" t="s">
        <v>592</v>
      </c>
      <c r="W919" s="3" t="s">
        <v>343</v>
      </c>
      <c r="X919" s="3" t="s">
        <v>508</v>
      </c>
      <c r="Y919" s="3" t="s">
        <v>508</v>
      </c>
    </row>
    <row r="920" spans="1:25" hidden="1" x14ac:dyDescent="0.2">
      <c r="A920" s="83" t="str">
        <f t="shared" si="14"/>
        <v>清丰凤鸣虾饼</v>
      </c>
      <c r="B920" s="3" t="s">
        <v>713</v>
      </c>
      <c r="C920" s="3">
        <v>44377</v>
      </c>
      <c r="D920" s="3" t="s">
        <v>514</v>
      </c>
      <c r="E920" s="3" t="s">
        <v>508</v>
      </c>
      <c r="F920" s="3" t="s">
        <v>508</v>
      </c>
      <c r="G920" s="70" t="s">
        <v>515</v>
      </c>
      <c r="H920" s="3" t="s">
        <v>510</v>
      </c>
      <c r="I920" s="3" t="s">
        <v>511</v>
      </c>
      <c r="J920" s="3">
        <v>141</v>
      </c>
      <c r="K920" s="3">
        <v>144</v>
      </c>
      <c r="L920" s="3">
        <v>223</v>
      </c>
      <c r="M920" s="3">
        <v>60</v>
      </c>
      <c r="N920" s="3">
        <v>62</v>
      </c>
      <c r="O920" s="70">
        <v>-2</v>
      </c>
      <c r="P920" s="3">
        <v>0</v>
      </c>
      <c r="Q920" s="3">
        <v>0</v>
      </c>
      <c r="R920" s="3">
        <v>3.007333</v>
      </c>
      <c r="S920" s="3">
        <v>-6.01</v>
      </c>
      <c r="T920" s="3">
        <v>180.44</v>
      </c>
      <c r="U920" s="3">
        <v>186.45</v>
      </c>
      <c r="V920" s="70" t="s">
        <v>334</v>
      </c>
      <c r="W920" s="3" t="s">
        <v>343</v>
      </c>
      <c r="X920" s="3" t="s">
        <v>508</v>
      </c>
      <c r="Y920" s="3" t="s">
        <v>508</v>
      </c>
    </row>
    <row r="921" spans="1:25" hidden="1" x14ac:dyDescent="0.2">
      <c r="A921" s="83" t="str">
        <f t="shared" si="14"/>
        <v>方城锦城国际虾饼</v>
      </c>
      <c r="B921" s="3" t="s">
        <v>712</v>
      </c>
      <c r="C921" s="3">
        <v>44377</v>
      </c>
      <c r="D921" s="3" t="s">
        <v>514</v>
      </c>
      <c r="E921" s="3" t="s">
        <v>508</v>
      </c>
      <c r="F921" s="3" t="s">
        <v>508</v>
      </c>
      <c r="G921" s="70" t="s">
        <v>515</v>
      </c>
      <c r="H921" s="3" t="s">
        <v>510</v>
      </c>
      <c r="I921" s="3" t="s">
        <v>511</v>
      </c>
      <c r="J921" s="3">
        <v>63</v>
      </c>
      <c r="K921" s="3">
        <v>288</v>
      </c>
      <c r="L921" s="3">
        <v>295</v>
      </c>
      <c r="M921" s="3">
        <v>56</v>
      </c>
      <c r="N921" s="3">
        <v>56</v>
      </c>
      <c r="O921" s="70">
        <v>0</v>
      </c>
      <c r="P921" s="3">
        <v>0</v>
      </c>
      <c r="Q921" s="3">
        <v>0</v>
      </c>
      <c r="R921" s="3">
        <v>3.0071430000000001</v>
      </c>
      <c r="S921" s="3">
        <v>0</v>
      </c>
      <c r="T921" s="3">
        <v>168.4</v>
      </c>
      <c r="U921" s="3">
        <v>168.4</v>
      </c>
      <c r="V921" s="70" t="s">
        <v>594</v>
      </c>
      <c r="W921" s="3" t="s">
        <v>343</v>
      </c>
      <c r="X921" s="3" t="s">
        <v>508</v>
      </c>
      <c r="Y921" s="3" t="s">
        <v>508</v>
      </c>
    </row>
    <row r="922" spans="1:25" hidden="1" x14ac:dyDescent="0.2">
      <c r="A922" s="83" t="str">
        <f t="shared" si="14"/>
        <v>郑州裕华虾饼</v>
      </c>
      <c r="B922" s="3" t="s">
        <v>711</v>
      </c>
      <c r="C922" s="3">
        <v>44377</v>
      </c>
      <c r="D922" s="3" t="s">
        <v>514</v>
      </c>
      <c r="E922" s="3" t="s">
        <v>508</v>
      </c>
      <c r="F922" s="3" t="s">
        <v>508</v>
      </c>
      <c r="G922" s="70" t="s">
        <v>515</v>
      </c>
      <c r="H922" s="3" t="s">
        <v>510</v>
      </c>
      <c r="I922" s="3" t="s">
        <v>511</v>
      </c>
      <c r="J922" s="3">
        <v>130</v>
      </c>
      <c r="K922" s="3">
        <v>288</v>
      </c>
      <c r="L922" s="3">
        <v>229</v>
      </c>
      <c r="M922" s="3">
        <v>123</v>
      </c>
      <c r="N922" s="3">
        <v>189</v>
      </c>
      <c r="O922" s="70">
        <v>-66</v>
      </c>
      <c r="P922" s="3">
        <v>0</v>
      </c>
      <c r="Q922" s="3">
        <v>0</v>
      </c>
      <c r="R922" s="3">
        <v>3.0071539999999999</v>
      </c>
      <c r="S922" s="3">
        <v>-198.47</v>
      </c>
      <c r="T922" s="3">
        <v>369.88</v>
      </c>
      <c r="U922" s="3">
        <v>568.35</v>
      </c>
      <c r="V922" s="70" t="s">
        <v>641</v>
      </c>
      <c r="W922" s="3" t="s">
        <v>343</v>
      </c>
      <c r="X922" s="3" t="s">
        <v>508</v>
      </c>
      <c r="Y922" s="3" t="s">
        <v>508</v>
      </c>
    </row>
    <row r="923" spans="1:25" hidden="1" x14ac:dyDescent="0.2">
      <c r="A923" s="83" t="str">
        <f t="shared" si="14"/>
        <v>滑县滑台虾饼</v>
      </c>
      <c r="B923" s="3" t="s">
        <v>710</v>
      </c>
      <c r="C923" s="3">
        <v>44377</v>
      </c>
      <c r="D923" s="3" t="s">
        <v>514</v>
      </c>
      <c r="E923" s="3" t="s">
        <v>508</v>
      </c>
      <c r="F923" s="3" t="s">
        <v>508</v>
      </c>
      <c r="G923" s="70" t="s">
        <v>515</v>
      </c>
      <c r="H923" s="3" t="s">
        <v>510</v>
      </c>
      <c r="I923" s="3" t="s">
        <v>511</v>
      </c>
      <c r="J923" s="3">
        <v>160</v>
      </c>
      <c r="K923" s="3">
        <v>288</v>
      </c>
      <c r="L923" s="3">
        <v>356</v>
      </c>
      <c r="M923" s="3">
        <v>91</v>
      </c>
      <c r="N923" s="3">
        <v>92</v>
      </c>
      <c r="O923" s="70">
        <v>-1</v>
      </c>
      <c r="P923" s="3">
        <v>0</v>
      </c>
      <c r="Q923" s="3">
        <v>0</v>
      </c>
      <c r="R923" s="3">
        <v>3.0070329999999998</v>
      </c>
      <c r="S923" s="3">
        <v>-3.01</v>
      </c>
      <c r="T923" s="3">
        <v>273.64</v>
      </c>
      <c r="U923" s="3">
        <v>276.64999999999998</v>
      </c>
      <c r="V923" s="70" t="s">
        <v>639</v>
      </c>
      <c r="W923" s="3" t="s">
        <v>343</v>
      </c>
      <c r="X923" s="3" t="s">
        <v>508</v>
      </c>
      <c r="Y923" s="3" t="s">
        <v>508</v>
      </c>
    </row>
    <row r="924" spans="1:25" hidden="1" x14ac:dyDescent="0.2">
      <c r="A924" s="83" t="str">
        <f t="shared" si="14"/>
        <v>郑州盛华里虾饼</v>
      </c>
      <c r="B924" s="3" t="s">
        <v>709</v>
      </c>
      <c r="C924" s="3">
        <v>44377</v>
      </c>
      <c r="D924" s="3" t="s">
        <v>514</v>
      </c>
      <c r="E924" s="3" t="s">
        <v>508</v>
      </c>
      <c r="F924" s="3" t="s">
        <v>508</v>
      </c>
      <c r="G924" s="70" t="s">
        <v>515</v>
      </c>
      <c r="H924" s="3" t="s">
        <v>510</v>
      </c>
      <c r="I924" s="3" t="s">
        <v>511</v>
      </c>
      <c r="J924" s="3">
        <v>89</v>
      </c>
      <c r="K924" s="3">
        <v>144</v>
      </c>
      <c r="L924" s="3">
        <v>64</v>
      </c>
      <c r="M924" s="3">
        <v>169</v>
      </c>
      <c r="N924" s="3">
        <v>169</v>
      </c>
      <c r="O924" s="70">
        <v>0</v>
      </c>
      <c r="P924" s="3">
        <v>0</v>
      </c>
      <c r="Q924" s="3">
        <v>0</v>
      </c>
      <c r="R924" s="3">
        <v>3.007101</v>
      </c>
      <c r="S924" s="3">
        <v>0</v>
      </c>
      <c r="T924" s="3">
        <v>508.2</v>
      </c>
      <c r="U924" s="3">
        <v>508.2</v>
      </c>
      <c r="V924" s="70" t="s">
        <v>637</v>
      </c>
      <c r="W924" s="3" t="s">
        <v>343</v>
      </c>
      <c r="X924" s="3" t="s">
        <v>508</v>
      </c>
      <c r="Y924" s="3" t="s">
        <v>508</v>
      </c>
    </row>
    <row r="925" spans="1:25" hidden="1" x14ac:dyDescent="0.2">
      <c r="A925" s="83" t="str">
        <f t="shared" si="14"/>
        <v>郑州政六街虾饼</v>
      </c>
      <c r="B925" s="3" t="s">
        <v>714</v>
      </c>
      <c r="C925" s="3">
        <v>44377</v>
      </c>
      <c r="D925" s="3" t="s">
        <v>514</v>
      </c>
      <c r="E925" s="3" t="s">
        <v>508</v>
      </c>
      <c r="F925" s="3" t="s">
        <v>508</v>
      </c>
      <c r="G925" s="70" t="s">
        <v>515</v>
      </c>
      <c r="H925" s="3" t="s">
        <v>510</v>
      </c>
      <c r="I925" s="3" t="s">
        <v>511</v>
      </c>
      <c r="J925" s="3">
        <v>48</v>
      </c>
      <c r="K925" s="3">
        <v>144</v>
      </c>
      <c r="L925" s="3">
        <v>125</v>
      </c>
      <c r="M925" s="3">
        <v>66</v>
      </c>
      <c r="N925" s="3">
        <v>67</v>
      </c>
      <c r="O925" s="70">
        <v>-1</v>
      </c>
      <c r="P925" s="3">
        <v>0</v>
      </c>
      <c r="Q925" s="3">
        <v>0</v>
      </c>
      <c r="R925" s="3">
        <v>3.0069699999999999</v>
      </c>
      <c r="S925" s="3">
        <v>-3.01</v>
      </c>
      <c r="T925" s="3">
        <v>198.46</v>
      </c>
      <c r="U925" s="3">
        <v>201.47</v>
      </c>
      <c r="V925" s="70" t="s">
        <v>591</v>
      </c>
      <c r="W925" s="3" t="s">
        <v>343</v>
      </c>
      <c r="X925" s="3" t="s">
        <v>508</v>
      </c>
      <c r="Y925" s="3" t="s">
        <v>508</v>
      </c>
    </row>
    <row r="926" spans="1:25" hidden="1" x14ac:dyDescent="0.2">
      <c r="A926" s="83" t="str">
        <f t="shared" si="14"/>
        <v>清丰凤鸣牛肉饼</v>
      </c>
      <c r="B926" s="3" t="s">
        <v>713</v>
      </c>
      <c r="C926" s="3">
        <v>44377</v>
      </c>
      <c r="D926" s="3" t="s">
        <v>652</v>
      </c>
      <c r="E926" s="3" t="s">
        <v>508</v>
      </c>
      <c r="F926" s="3" t="s">
        <v>508</v>
      </c>
      <c r="G926" s="70" t="s">
        <v>670</v>
      </c>
      <c r="H926" s="3" t="s">
        <v>363</v>
      </c>
      <c r="I926" s="3" t="s">
        <v>339</v>
      </c>
      <c r="J926" s="3">
        <v>0</v>
      </c>
      <c r="K926" s="3">
        <v>0</v>
      </c>
      <c r="L926" s="3">
        <v>25</v>
      </c>
      <c r="M926" s="3">
        <v>0</v>
      </c>
      <c r="N926" s="3">
        <v>-25</v>
      </c>
      <c r="O926" s="70">
        <v>25</v>
      </c>
      <c r="P926" s="3">
        <v>0</v>
      </c>
      <c r="Q926" s="3">
        <v>0</v>
      </c>
      <c r="R926" s="3">
        <v>1.1874420000000001</v>
      </c>
      <c r="S926" s="3">
        <v>29.69</v>
      </c>
      <c r="T926" s="3">
        <v>0</v>
      </c>
      <c r="U926" s="3">
        <v>-29.69</v>
      </c>
      <c r="V926" s="70" t="s">
        <v>334</v>
      </c>
      <c r="W926" s="3" t="s">
        <v>754</v>
      </c>
      <c r="X926" s="3" t="s">
        <v>508</v>
      </c>
      <c r="Y926" s="3" t="s">
        <v>508</v>
      </c>
    </row>
    <row r="927" spans="1:25" hidden="1" x14ac:dyDescent="0.2">
      <c r="A927" s="83" t="str">
        <f t="shared" si="14"/>
        <v>新蔡水韵天街牛肉饼</v>
      </c>
      <c r="B927" s="3" t="s">
        <v>703</v>
      </c>
      <c r="C927" s="3">
        <v>44377</v>
      </c>
      <c r="D927" s="3" t="s">
        <v>652</v>
      </c>
      <c r="E927" s="3" t="s">
        <v>508</v>
      </c>
      <c r="F927" s="3" t="s">
        <v>508</v>
      </c>
      <c r="G927" s="70" t="s">
        <v>670</v>
      </c>
      <c r="H927" s="3" t="s">
        <v>363</v>
      </c>
      <c r="I927" s="3" t="s">
        <v>339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70">
        <v>0</v>
      </c>
      <c r="P927" s="3">
        <v>0</v>
      </c>
      <c r="Q927" s="3">
        <v>0</v>
      </c>
      <c r="R927" s="3">
        <v>1.1874420000000001</v>
      </c>
      <c r="S927" s="3">
        <v>0</v>
      </c>
      <c r="T927" s="3">
        <v>0</v>
      </c>
      <c r="U927" s="3">
        <v>0</v>
      </c>
      <c r="V927" s="70" t="s">
        <v>335</v>
      </c>
      <c r="W927" s="3" t="s">
        <v>343</v>
      </c>
      <c r="X927" s="3" t="s">
        <v>508</v>
      </c>
      <c r="Y927" s="3" t="s">
        <v>508</v>
      </c>
    </row>
    <row r="928" spans="1:25" hidden="1" x14ac:dyDescent="0.2">
      <c r="A928" s="83" t="str">
        <f t="shared" si="14"/>
        <v>新蔡水韵天街翅中</v>
      </c>
      <c r="B928" s="3" t="s">
        <v>703</v>
      </c>
      <c r="C928" s="3">
        <v>44377</v>
      </c>
      <c r="D928" s="3" t="s">
        <v>516</v>
      </c>
      <c r="E928" s="3" t="s">
        <v>508</v>
      </c>
      <c r="F928" s="3" t="s">
        <v>508</v>
      </c>
      <c r="G928" s="70" t="s">
        <v>517</v>
      </c>
      <c r="H928" s="3" t="s">
        <v>363</v>
      </c>
      <c r="I928" s="3" t="s">
        <v>339</v>
      </c>
      <c r="J928" s="3">
        <v>273</v>
      </c>
      <c r="K928" s="3">
        <v>0</v>
      </c>
      <c r="L928" s="3">
        <v>174</v>
      </c>
      <c r="M928" s="3">
        <v>95</v>
      </c>
      <c r="N928" s="3">
        <v>99</v>
      </c>
      <c r="O928" s="70">
        <v>-4</v>
      </c>
      <c r="P928" s="3">
        <v>0</v>
      </c>
      <c r="Q928" s="3">
        <v>0</v>
      </c>
      <c r="R928" s="3">
        <v>1.6810529999999999</v>
      </c>
      <c r="S928" s="3">
        <v>-6.72</v>
      </c>
      <c r="T928" s="3">
        <v>159.69999999999999</v>
      </c>
      <c r="U928" s="3">
        <v>166.42</v>
      </c>
      <c r="V928" s="70" t="s">
        <v>335</v>
      </c>
      <c r="W928" s="3" t="s">
        <v>343</v>
      </c>
      <c r="X928" s="3" t="s">
        <v>508</v>
      </c>
      <c r="Y928" s="3" t="s">
        <v>508</v>
      </c>
    </row>
    <row r="929" spans="1:25" hidden="1" x14ac:dyDescent="0.2">
      <c r="A929" s="83" t="str">
        <f t="shared" si="14"/>
        <v>郑州康复中街翅中</v>
      </c>
      <c r="B929" s="3" t="s">
        <v>704</v>
      </c>
      <c r="C929" s="3">
        <v>44377</v>
      </c>
      <c r="D929" s="3" t="s">
        <v>516</v>
      </c>
      <c r="E929" s="3" t="s">
        <v>508</v>
      </c>
      <c r="F929" s="3" t="s">
        <v>508</v>
      </c>
      <c r="G929" s="70" t="s">
        <v>517</v>
      </c>
      <c r="H929" s="3" t="s">
        <v>363</v>
      </c>
      <c r="I929" s="3" t="s">
        <v>339</v>
      </c>
      <c r="J929" s="3">
        <v>697</v>
      </c>
      <c r="K929" s="3">
        <v>240</v>
      </c>
      <c r="L929" s="3">
        <v>338</v>
      </c>
      <c r="M929" s="3">
        <v>580</v>
      </c>
      <c r="N929" s="3">
        <v>599</v>
      </c>
      <c r="O929" s="70">
        <v>-19</v>
      </c>
      <c r="P929" s="3">
        <v>0</v>
      </c>
      <c r="Q929" s="3">
        <v>0</v>
      </c>
      <c r="R929" s="3">
        <v>1.496966</v>
      </c>
      <c r="S929" s="3">
        <v>-28.44</v>
      </c>
      <c r="T929" s="3">
        <v>868.24</v>
      </c>
      <c r="U929" s="3">
        <v>896.68</v>
      </c>
      <c r="V929" s="70" t="s">
        <v>593</v>
      </c>
      <c r="W929" s="3" t="s">
        <v>755</v>
      </c>
      <c r="X929" s="3" t="s">
        <v>508</v>
      </c>
      <c r="Y929" s="3" t="s">
        <v>508</v>
      </c>
    </row>
    <row r="930" spans="1:25" hidden="1" x14ac:dyDescent="0.2">
      <c r="A930" s="83" t="str">
        <f t="shared" si="14"/>
        <v>郑州铁英街翅中</v>
      </c>
      <c r="B930" s="3" t="s">
        <v>707</v>
      </c>
      <c r="C930" s="3">
        <v>44377</v>
      </c>
      <c r="D930" s="3" t="s">
        <v>516</v>
      </c>
      <c r="E930" s="3" t="s">
        <v>508</v>
      </c>
      <c r="F930" s="3" t="s">
        <v>508</v>
      </c>
      <c r="G930" s="70" t="s">
        <v>517</v>
      </c>
      <c r="H930" s="3" t="s">
        <v>363</v>
      </c>
      <c r="I930" s="3" t="s">
        <v>339</v>
      </c>
      <c r="J930" s="3">
        <v>280</v>
      </c>
      <c r="K930" s="3">
        <v>240</v>
      </c>
      <c r="L930" s="3">
        <v>222</v>
      </c>
      <c r="M930" s="3">
        <v>293</v>
      </c>
      <c r="N930" s="3">
        <v>298</v>
      </c>
      <c r="O930" s="70">
        <v>-5</v>
      </c>
      <c r="P930" s="3">
        <v>0</v>
      </c>
      <c r="Q930" s="3">
        <v>0</v>
      </c>
      <c r="R930" s="3">
        <v>1.6431739999999999</v>
      </c>
      <c r="S930" s="3">
        <v>-8.2200000000000006</v>
      </c>
      <c r="T930" s="3">
        <v>481.45</v>
      </c>
      <c r="U930" s="3">
        <v>489.67</v>
      </c>
      <c r="V930" s="70" t="s">
        <v>592</v>
      </c>
      <c r="W930" s="3" t="s">
        <v>343</v>
      </c>
      <c r="X930" s="3" t="s">
        <v>508</v>
      </c>
      <c r="Y930" s="3" t="s">
        <v>508</v>
      </c>
    </row>
    <row r="931" spans="1:25" hidden="1" x14ac:dyDescent="0.2">
      <c r="A931" s="83" t="str">
        <f t="shared" si="14"/>
        <v>郑州西悦城翅中</v>
      </c>
      <c r="B931" s="3" t="s">
        <v>708</v>
      </c>
      <c r="C931" s="3">
        <v>44377</v>
      </c>
      <c r="D931" s="3" t="s">
        <v>516</v>
      </c>
      <c r="E931" s="3" t="s">
        <v>508</v>
      </c>
      <c r="F931" s="3" t="s">
        <v>508</v>
      </c>
      <c r="G931" s="70" t="s">
        <v>517</v>
      </c>
      <c r="H931" s="3" t="s">
        <v>363</v>
      </c>
      <c r="I931" s="3" t="s">
        <v>339</v>
      </c>
      <c r="J931" s="3">
        <v>112</v>
      </c>
      <c r="K931" s="3">
        <v>480</v>
      </c>
      <c r="L931" s="3">
        <v>479</v>
      </c>
      <c r="M931" s="3">
        <v>110</v>
      </c>
      <c r="N931" s="3">
        <v>113</v>
      </c>
      <c r="O931" s="70">
        <v>-3</v>
      </c>
      <c r="P931" s="3">
        <v>0</v>
      </c>
      <c r="Q931" s="3">
        <v>0</v>
      </c>
      <c r="R931" s="3">
        <v>1.5960909999999999</v>
      </c>
      <c r="S931" s="3">
        <v>-4.79</v>
      </c>
      <c r="T931" s="3">
        <v>175.57</v>
      </c>
      <c r="U931" s="3">
        <v>180.36</v>
      </c>
      <c r="V931" s="70" t="s">
        <v>332</v>
      </c>
      <c r="W931" s="3" t="s">
        <v>343</v>
      </c>
      <c r="X931" s="3" t="s">
        <v>508</v>
      </c>
      <c r="Y931" s="3" t="s">
        <v>508</v>
      </c>
    </row>
    <row r="932" spans="1:25" hidden="1" x14ac:dyDescent="0.2">
      <c r="A932" s="83" t="str">
        <f t="shared" si="14"/>
        <v>华山龙源翅中</v>
      </c>
      <c r="B932" s="3" t="s">
        <v>705</v>
      </c>
      <c r="C932" s="3">
        <v>44377</v>
      </c>
      <c r="D932" s="3" t="s">
        <v>516</v>
      </c>
      <c r="E932" s="3" t="s">
        <v>508</v>
      </c>
      <c r="F932" s="3" t="s">
        <v>508</v>
      </c>
      <c r="G932" s="70" t="s">
        <v>517</v>
      </c>
      <c r="H932" s="3" t="s">
        <v>363</v>
      </c>
      <c r="I932" s="3" t="s">
        <v>339</v>
      </c>
      <c r="J932" s="3">
        <v>289</v>
      </c>
      <c r="K932" s="3">
        <v>0</v>
      </c>
      <c r="L932" s="3">
        <v>166</v>
      </c>
      <c r="M932" s="3">
        <v>123</v>
      </c>
      <c r="N932" s="3">
        <v>123</v>
      </c>
      <c r="O932" s="70">
        <v>0</v>
      </c>
      <c r="P932" s="3">
        <v>0</v>
      </c>
      <c r="Q932" s="3">
        <v>0</v>
      </c>
      <c r="R932" s="3">
        <v>1.3651219999999999</v>
      </c>
      <c r="S932" s="3">
        <v>0</v>
      </c>
      <c r="T932" s="3">
        <v>167.91</v>
      </c>
      <c r="U932" s="3">
        <v>167.91</v>
      </c>
      <c r="V932" s="70" t="s">
        <v>643</v>
      </c>
      <c r="W932" s="3" t="s">
        <v>343</v>
      </c>
      <c r="X932" s="3" t="s">
        <v>508</v>
      </c>
      <c r="Y932" s="3" t="s">
        <v>508</v>
      </c>
    </row>
    <row r="933" spans="1:25" hidden="1" x14ac:dyDescent="0.2">
      <c r="A933" s="83" t="str">
        <f t="shared" si="14"/>
        <v>郑州瀚海海尚翅中</v>
      </c>
      <c r="B933" s="3" t="s">
        <v>706</v>
      </c>
      <c r="C933" s="3">
        <v>44377</v>
      </c>
      <c r="D933" s="3" t="s">
        <v>516</v>
      </c>
      <c r="E933" s="3" t="s">
        <v>508</v>
      </c>
      <c r="F933" s="3" t="s">
        <v>508</v>
      </c>
      <c r="G933" s="70" t="s">
        <v>517</v>
      </c>
      <c r="H933" s="3" t="s">
        <v>363</v>
      </c>
      <c r="I933" s="3" t="s">
        <v>339</v>
      </c>
      <c r="J933" s="3">
        <v>376</v>
      </c>
      <c r="K933" s="3">
        <v>0</v>
      </c>
      <c r="L933" s="3">
        <v>306</v>
      </c>
      <c r="M933" s="3">
        <v>80</v>
      </c>
      <c r="N933" s="3">
        <v>70</v>
      </c>
      <c r="O933" s="70">
        <v>10</v>
      </c>
      <c r="P933" s="3">
        <v>0</v>
      </c>
      <c r="Q933" s="3">
        <v>0</v>
      </c>
      <c r="R933" s="3">
        <v>1.5337499999999999</v>
      </c>
      <c r="S933" s="3">
        <v>15.34</v>
      </c>
      <c r="T933" s="3">
        <v>122.7</v>
      </c>
      <c r="U933" s="3">
        <v>107.36</v>
      </c>
      <c r="V933" s="70" t="s">
        <v>333</v>
      </c>
      <c r="W933" s="3" t="s">
        <v>343</v>
      </c>
      <c r="X933" s="3" t="s">
        <v>508</v>
      </c>
      <c r="Y933" s="3" t="s">
        <v>508</v>
      </c>
    </row>
    <row r="934" spans="1:25" hidden="1" x14ac:dyDescent="0.2">
      <c r="A934" s="83" t="str">
        <f t="shared" si="14"/>
        <v>清丰凤鸣翅中</v>
      </c>
      <c r="B934" s="3" t="s">
        <v>713</v>
      </c>
      <c r="C934" s="3">
        <v>44377</v>
      </c>
      <c r="D934" s="3" t="s">
        <v>516</v>
      </c>
      <c r="E934" s="3" t="s">
        <v>508</v>
      </c>
      <c r="F934" s="3" t="s">
        <v>508</v>
      </c>
      <c r="G934" s="70" t="s">
        <v>517</v>
      </c>
      <c r="H934" s="3" t="s">
        <v>363</v>
      </c>
      <c r="I934" s="3" t="s">
        <v>339</v>
      </c>
      <c r="J934" s="3">
        <v>331</v>
      </c>
      <c r="K934" s="3">
        <v>0</v>
      </c>
      <c r="L934" s="3">
        <v>102</v>
      </c>
      <c r="M934" s="3">
        <v>227</v>
      </c>
      <c r="N934" s="3">
        <v>229</v>
      </c>
      <c r="O934" s="70">
        <v>-2</v>
      </c>
      <c r="P934" s="3">
        <v>0</v>
      </c>
      <c r="Q934" s="3">
        <v>0</v>
      </c>
      <c r="R934" s="3">
        <v>1.3941410000000001</v>
      </c>
      <c r="S934" s="3">
        <v>-2.79</v>
      </c>
      <c r="T934" s="3">
        <v>316.47000000000003</v>
      </c>
      <c r="U934" s="3">
        <v>319.26</v>
      </c>
      <c r="V934" s="70" t="s">
        <v>334</v>
      </c>
      <c r="W934" s="3" t="s">
        <v>756</v>
      </c>
      <c r="X934" s="3" t="s">
        <v>508</v>
      </c>
      <c r="Y934" s="3" t="s">
        <v>508</v>
      </c>
    </row>
    <row r="935" spans="1:25" hidden="1" x14ac:dyDescent="0.2">
      <c r="A935" s="83" t="str">
        <f t="shared" si="14"/>
        <v>方城锦城国际翅中</v>
      </c>
      <c r="B935" s="3" t="s">
        <v>712</v>
      </c>
      <c r="C935" s="3">
        <v>44377</v>
      </c>
      <c r="D935" s="3" t="s">
        <v>516</v>
      </c>
      <c r="E935" s="3" t="s">
        <v>508</v>
      </c>
      <c r="F935" s="3" t="s">
        <v>508</v>
      </c>
      <c r="G935" s="70" t="s">
        <v>517</v>
      </c>
      <c r="H935" s="3" t="s">
        <v>363</v>
      </c>
      <c r="I935" s="3" t="s">
        <v>339</v>
      </c>
      <c r="J935" s="3">
        <v>215</v>
      </c>
      <c r="K935" s="3">
        <v>300</v>
      </c>
      <c r="L935" s="3">
        <v>220</v>
      </c>
      <c r="M935" s="3">
        <v>295</v>
      </c>
      <c r="N935" s="3">
        <v>295</v>
      </c>
      <c r="O935" s="70">
        <v>0</v>
      </c>
      <c r="P935" s="3">
        <v>0</v>
      </c>
      <c r="Q935" s="3">
        <v>0</v>
      </c>
      <c r="R935" s="3">
        <v>1.5720000000000001</v>
      </c>
      <c r="S935" s="3">
        <v>0</v>
      </c>
      <c r="T935" s="3">
        <v>463.74</v>
      </c>
      <c r="U935" s="3">
        <v>463.74</v>
      </c>
      <c r="V935" s="70" t="s">
        <v>594</v>
      </c>
      <c r="W935" s="3" t="s">
        <v>343</v>
      </c>
      <c r="X935" s="3" t="s">
        <v>508</v>
      </c>
      <c r="Y935" s="3" t="s">
        <v>508</v>
      </c>
    </row>
    <row r="936" spans="1:25" hidden="1" x14ac:dyDescent="0.2">
      <c r="A936" s="83" t="str">
        <f t="shared" si="14"/>
        <v>郑州裕华翅中</v>
      </c>
      <c r="B936" s="3" t="s">
        <v>711</v>
      </c>
      <c r="C936" s="3">
        <v>44377</v>
      </c>
      <c r="D936" s="3" t="s">
        <v>516</v>
      </c>
      <c r="E936" s="3" t="s">
        <v>508</v>
      </c>
      <c r="F936" s="3" t="s">
        <v>508</v>
      </c>
      <c r="G936" s="70" t="s">
        <v>517</v>
      </c>
      <c r="H936" s="3" t="s">
        <v>363</v>
      </c>
      <c r="I936" s="3" t="s">
        <v>339</v>
      </c>
      <c r="J936" s="3">
        <v>240</v>
      </c>
      <c r="K936" s="3">
        <v>480</v>
      </c>
      <c r="L936" s="3">
        <v>278</v>
      </c>
      <c r="M936" s="3">
        <v>390</v>
      </c>
      <c r="N936" s="3">
        <v>442</v>
      </c>
      <c r="O936" s="70">
        <v>-52</v>
      </c>
      <c r="P936" s="3">
        <v>0</v>
      </c>
      <c r="Q936" s="3">
        <v>0</v>
      </c>
      <c r="R936" s="3">
        <v>1.6612560000000001</v>
      </c>
      <c r="S936" s="3">
        <v>-86.39</v>
      </c>
      <c r="T936" s="3">
        <v>647.89</v>
      </c>
      <c r="U936" s="3">
        <v>734.28</v>
      </c>
      <c r="V936" s="70" t="s">
        <v>641</v>
      </c>
      <c r="W936" s="3" t="s">
        <v>343</v>
      </c>
      <c r="X936" s="3" t="s">
        <v>508</v>
      </c>
      <c r="Y936" s="3" t="s">
        <v>508</v>
      </c>
    </row>
    <row r="937" spans="1:25" hidden="1" x14ac:dyDescent="0.2">
      <c r="A937" s="83" t="str">
        <f t="shared" si="14"/>
        <v>郑州盛华里翅中</v>
      </c>
      <c r="B937" s="3" t="s">
        <v>709</v>
      </c>
      <c r="C937" s="3">
        <v>44377</v>
      </c>
      <c r="D937" s="3" t="s">
        <v>516</v>
      </c>
      <c r="E937" s="3" t="s">
        <v>508</v>
      </c>
      <c r="F937" s="3" t="s">
        <v>508</v>
      </c>
      <c r="G937" s="70" t="s">
        <v>517</v>
      </c>
      <c r="H937" s="3" t="s">
        <v>363</v>
      </c>
      <c r="I937" s="3" t="s">
        <v>339</v>
      </c>
      <c r="J937" s="3">
        <v>300</v>
      </c>
      <c r="K937" s="3">
        <v>0</v>
      </c>
      <c r="L937" s="3">
        <v>187</v>
      </c>
      <c r="M937" s="3">
        <v>113</v>
      </c>
      <c r="N937" s="3">
        <v>113</v>
      </c>
      <c r="O937" s="70">
        <v>0</v>
      </c>
      <c r="P937" s="3">
        <v>0</v>
      </c>
      <c r="Q937" s="3">
        <v>0</v>
      </c>
      <c r="R937" s="3">
        <v>1.5051330000000001</v>
      </c>
      <c r="S937" s="3">
        <v>0</v>
      </c>
      <c r="T937" s="3">
        <v>170.08</v>
      </c>
      <c r="U937" s="3">
        <v>170.08</v>
      </c>
      <c r="V937" s="70" t="s">
        <v>637</v>
      </c>
      <c r="W937" s="3" t="s">
        <v>343</v>
      </c>
      <c r="X937" s="3" t="s">
        <v>508</v>
      </c>
      <c r="Y937" s="3" t="s">
        <v>508</v>
      </c>
    </row>
    <row r="938" spans="1:25" hidden="1" x14ac:dyDescent="0.2">
      <c r="A938" s="83" t="str">
        <f t="shared" si="14"/>
        <v>滑县滑台翅中</v>
      </c>
      <c r="B938" s="3" t="s">
        <v>710</v>
      </c>
      <c r="C938" s="3">
        <v>44377</v>
      </c>
      <c r="D938" s="3" t="s">
        <v>516</v>
      </c>
      <c r="E938" s="3" t="s">
        <v>508</v>
      </c>
      <c r="F938" s="3" t="s">
        <v>508</v>
      </c>
      <c r="G938" s="70" t="s">
        <v>517</v>
      </c>
      <c r="H938" s="3" t="s">
        <v>363</v>
      </c>
      <c r="I938" s="3" t="s">
        <v>339</v>
      </c>
      <c r="J938" s="3">
        <v>302</v>
      </c>
      <c r="K938" s="3">
        <v>0</v>
      </c>
      <c r="L938" s="3">
        <v>226</v>
      </c>
      <c r="M938" s="3">
        <v>76</v>
      </c>
      <c r="N938" s="3">
        <v>76</v>
      </c>
      <c r="O938" s="70">
        <v>0</v>
      </c>
      <c r="P938" s="3">
        <v>0</v>
      </c>
      <c r="Q938" s="3">
        <v>0</v>
      </c>
      <c r="R938" s="3">
        <v>1.365132</v>
      </c>
      <c r="S938" s="3">
        <v>0</v>
      </c>
      <c r="T938" s="3">
        <v>103.75</v>
      </c>
      <c r="U938" s="3">
        <v>103.75</v>
      </c>
      <c r="V938" s="70" t="s">
        <v>639</v>
      </c>
      <c r="W938" s="3" t="s">
        <v>343</v>
      </c>
      <c r="X938" s="3" t="s">
        <v>508</v>
      </c>
      <c r="Y938" s="3" t="s">
        <v>508</v>
      </c>
    </row>
    <row r="939" spans="1:25" hidden="1" x14ac:dyDescent="0.2">
      <c r="A939" s="83" t="str">
        <f t="shared" si="14"/>
        <v>郑州政六街翅中</v>
      </c>
      <c r="B939" s="3" t="s">
        <v>714</v>
      </c>
      <c r="C939" s="3">
        <v>44377</v>
      </c>
      <c r="D939" s="3" t="s">
        <v>516</v>
      </c>
      <c r="E939" s="3" t="s">
        <v>508</v>
      </c>
      <c r="F939" s="3" t="s">
        <v>508</v>
      </c>
      <c r="G939" s="70" t="s">
        <v>517</v>
      </c>
      <c r="H939" s="3" t="s">
        <v>363</v>
      </c>
      <c r="I939" s="3" t="s">
        <v>339</v>
      </c>
      <c r="J939" s="3">
        <v>267</v>
      </c>
      <c r="K939" s="3">
        <v>240</v>
      </c>
      <c r="L939" s="3">
        <v>329</v>
      </c>
      <c r="M939" s="3">
        <v>176</v>
      </c>
      <c r="N939" s="3">
        <v>178</v>
      </c>
      <c r="O939" s="70">
        <v>-2</v>
      </c>
      <c r="P939" s="3">
        <v>0</v>
      </c>
      <c r="Q939" s="3">
        <v>0</v>
      </c>
      <c r="R939" s="3">
        <v>1.435568</v>
      </c>
      <c r="S939" s="3">
        <v>-2.87</v>
      </c>
      <c r="T939" s="3">
        <v>252.66</v>
      </c>
      <c r="U939" s="3">
        <v>255.53</v>
      </c>
      <c r="V939" s="70" t="s">
        <v>591</v>
      </c>
      <c r="W939" s="3" t="s">
        <v>343</v>
      </c>
      <c r="X939" s="3" t="s">
        <v>508</v>
      </c>
      <c r="Y939" s="3" t="s">
        <v>508</v>
      </c>
    </row>
    <row r="940" spans="1:25" hidden="1" x14ac:dyDescent="0.2">
      <c r="A940" s="83" t="str">
        <f t="shared" si="14"/>
        <v>郑州政六街翅根</v>
      </c>
      <c r="B940" s="3" t="s">
        <v>714</v>
      </c>
      <c r="C940" s="3">
        <v>44377</v>
      </c>
      <c r="D940" s="3" t="s">
        <v>518</v>
      </c>
      <c r="E940" s="3" t="s">
        <v>508</v>
      </c>
      <c r="F940" s="3" t="s">
        <v>508</v>
      </c>
      <c r="G940" s="70" t="s">
        <v>519</v>
      </c>
      <c r="H940" s="3" t="s">
        <v>363</v>
      </c>
      <c r="I940" s="3" t="s">
        <v>339</v>
      </c>
      <c r="J940" s="3">
        <v>266</v>
      </c>
      <c r="K940" s="3">
        <v>400</v>
      </c>
      <c r="L940" s="3">
        <v>393</v>
      </c>
      <c r="M940" s="3">
        <v>270</v>
      </c>
      <c r="N940" s="3">
        <v>273</v>
      </c>
      <c r="O940" s="70">
        <v>-3</v>
      </c>
      <c r="P940" s="3">
        <v>0</v>
      </c>
      <c r="Q940" s="3">
        <v>0</v>
      </c>
      <c r="R940" s="3">
        <v>0.71377800000000002</v>
      </c>
      <c r="S940" s="3">
        <v>-2.14</v>
      </c>
      <c r="T940" s="3">
        <v>192.72</v>
      </c>
      <c r="U940" s="3">
        <v>194.86</v>
      </c>
      <c r="V940" s="70" t="s">
        <v>591</v>
      </c>
      <c r="W940" s="3" t="s">
        <v>343</v>
      </c>
      <c r="X940" s="3" t="s">
        <v>508</v>
      </c>
      <c r="Y940" s="3" t="s">
        <v>508</v>
      </c>
    </row>
    <row r="941" spans="1:25" hidden="1" x14ac:dyDescent="0.2">
      <c r="A941" s="83" t="str">
        <f t="shared" si="14"/>
        <v>滑县滑台翅根</v>
      </c>
      <c r="B941" s="3" t="s">
        <v>710</v>
      </c>
      <c r="C941" s="3">
        <v>44377</v>
      </c>
      <c r="D941" s="3" t="s">
        <v>518</v>
      </c>
      <c r="E941" s="3" t="s">
        <v>508</v>
      </c>
      <c r="F941" s="3" t="s">
        <v>508</v>
      </c>
      <c r="G941" s="70" t="s">
        <v>519</v>
      </c>
      <c r="H941" s="3" t="s">
        <v>363</v>
      </c>
      <c r="I941" s="3" t="s">
        <v>339</v>
      </c>
      <c r="J941" s="3">
        <v>242</v>
      </c>
      <c r="K941" s="3">
        <v>640</v>
      </c>
      <c r="L941" s="3">
        <v>622</v>
      </c>
      <c r="M941" s="3">
        <v>225</v>
      </c>
      <c r="N941" s="3">
        <v>260</v>
      </c>
      <c r="O941" s="70">
        <v>-35</v>
      </c>
      <c r="P941" s="3">
        <v>0</v>
      </c>
      <c r="Q941" s="3">
        <v>0</v>
      </c>
      <c r="R941" s="3">
        <v>0.78631099999999998</v>
      </c>
      <c r="S941" s="3">
        <v>-27.52</v>
      </c>
      <c r="T941" s="3">
        <v>176.92</v>
      </c>
      <c r="U941" s="3">
        <v>204.44</v>
      </c>
      <c r="V941" s="70" t="s">
        <v>639</v>
      </c>
      <c r="W941" s="3" t="s">
        <v>757</v>
      </c>
      <c r="X941" s="3" t="s">
        <v>508</v>
      </c>
      <c r="Y941" s="3" t="s">
        <v>508</v>
      </c>
    </row>
    <row r="942" spans="1:25" hidden="1" x14ac:dyDescent="0.2">
      <c r="A942" s="83" t="str">
        <f t="shared" si="14"/>
        <v>郑州盛华里翅根</v>
      </c>
      <c r="B942" s="3" t="s">
        <v>709</v>
      </c>
      <c r="C942" s="3">
        <v>44377</v>
      </c>
      <c r="D942" s="3" t="s">
        <v>518</v>
      </c>
      <c r="E942" s="3" t="s">
        <v>508</v>
      </c>
      <c r="F942" s="3" t="s">
        <v>508</v>
      </c>
      <c r="G942" s="70" t="s">
        <v>519</v>
      </c>
      <c r="H942" s="3" t="s">
        <v>363</v>
      </c>
      <c r="I942" s="3" t="s">
        <v>339</v>
      </c>
      <c r="J942" s="3">
        <v>200</v>
      </c>
      <c r="K942" s="3">
        <v>240</v>
      </c>
      <c r="L942" s="3">
        <v>276</v>
      </c>
      <c r="M942" s="3">
        <v>164</v>
      </c>
      <c r="N942" s="3">
        <v>164</v>
      </c>
      <c r="O942" s="70">
        <v>0</v>
      </c>
      <c r="P942" s="3">
        <v>0</v>
      </c>
      <c r="Q942" s="3">
        <v>0</v>
      </c>
      <c r="R942" s="3">
        <v>0.86542699999999995</v>
      </c>
      <c r="S942" s="3">
        <v>0</v>
      </c>
      <c r="T942" s="3">
        <v>141.93</v>
      </c>
      <c r="U942" s="3">
        <v>141.93</v>
      </c>
      <c r="V942" s="70" t="s">
        <v>637</v>
      </c>
      <c r="W942" s="3" t="s">
        <v>343</v>
      </c>
      <c r="X942" s="3" t="s">
        <v>508</v>
      </c>
      <c r="Y942" s="3" t="s">
        <v>508</v>
      </c>
    </row>
    <row r="943" spans="1:25" hidden="1" x14ac:dyDescent="0.2">
      <c r="A943" s="83" t="str">
        <f t="shared" si="14"/>
        <v>郑州裕华翅根</v>
      </c>
      <c r="B943" s="3" t="s">
        <v>711</v>
      </c>
      <c r="C943" s="3">
        <v>44377</v>
      </c>
      <c r="D943" s="3" t="s">
        <v>518</v>
      </c>
      <c r="E943" s="3" t="s">
        <v>508</v>
      </c>
      <c r="F943" s="3" t="s">
        <v>508</v>
      </c>
      <c r="G943" s="70" t="s">
        <v>519</v>
      </c>
      <c r="H943" s="3" t="s">
        <v>363</v>
      </c>
      <c r="I943" s="3" t="s">
        <v>339</v>
      </c>
      <c r="J943" s="3">
        <v>640</v>
      </c>
      <c r="K943" s="3">
        <v>0</v>
      </c>
      <c r="L943" s="3">
        <v>395</v>
      </c>
      <c r="M943" s="3">
        <v>200</v>
      </c>
      <c r="N943" s="3">
        <v>245</v>
      </c>
      <c r="O943" s="70">
        <v>-45</v>
      </c>
      <c r="P943" s="3">
        <v>0</v>
      </c>
      <c r="Q943" s="3">
        <v>0</v>
      </c>
      <c r="R943" s="3">
        <v>0.72635000000000005</v>
      </c>
      <c r="S943" s="3">
        <v>-32.69</v>
      </c>
      <c r="T943" s="3">
        <v>145.27000000000001</v>
      </c>
      <c r="U943" s="3">
        <v>177.96</v>
      </c>
      <c r="V943" s="70" t="s">
        <v>641</v>
      </c>
      <c r="W943" s="3" t="s">
        <v>343</v>
      </c>
      <c r="X943" s="3" t="s">
        <v>508</v>
      </c>
      <c r="Y943" s="3" t="s">
        <v>508</v>
      </c>
    </row>
    <row r="944" spans="1:25" hidden="1" x14ac:dyDescent="0.2">
      <c r="A944" s="83" t="str">
        <f t="shared" si="14"/>
        <v>方城锦城国际翅根</v>
      </c>
      <c r="B944" s="3" t="s">
        <v>712</v>
      </c>
      <c r="C944" s="3">
        <v>44377</v>
      </c>
      <c r="D944" s="3" t="s">
        <v>518</v>
      </c>
      <c r="E944" s="3" t="s">
        <v>508</v>
      </c>
      <c r="F944" s="3" t="s">
        <v>508</v>
      </c>
      <c r="G944" s="70" t="s">
        <v>519</v>
      </c>
      <c r="H944" s="3" t="s">
        <v>363</v>
      </c>
      <c r="I944" s="3" t="s">
        <v>339</v>
      </c>
      <c r="J944" s="3">
        <v>215</v>
      </c>
      <c r="K944" s="3">
        <v>300</v>
      </c>
      <c r="L944" s="3">
        <v>321</v>
      </c>
      <c r="M944" s="3">
        <v>194</v>
      </c>
      <c r="N944" s="3">
        <v>194</v>
      </c>
      <c r="O944" s="70">
        <v>0</v>
      </c>
      <c r="P944" s="3">
        <v>0</v>
      </c>
      <c r="Q944" s="3">
        <v>0</v>
      </c>
      <c r="R944" s="3">
        <v>0.78371100000000005</v>
      </c>
      <c r="S944" s="3">
        <v>0</v>
      </c>
      <c r="T944" s="3">
        <v>152.04</v>
      </c>
      <c r="U944" s="3">
        <v>152.04</v>
      </c>
      <c r="V944" s="70" t="s">
        <v>594</v>
      </c>
      <c r="W944" s="3" t="s">
        <v>343</v>
      </c>
      <c r="X944" s="3" t="s">
        <v>508</v>
      </c>
      <c r="Y944" s="3" t="s">
        <v>508</v>
      </c>
    </row>
    <row r="945" spans="1:25" hidden="1" x14ac:dyDescent="0.2">
      <c r="A945" s="83" t="str">
        <f t="shared" si="14"/>
        <v>清丰凤鸣翅根</v>
      </c>
      <c r="B945" s="3" t="s">
        <v>713</v>
      </c>
      <c r="C945" s="3">
        <v>44377</v>
      </c>
      <c r="D945" s="3" t="s">
        <v>518</v>
      </c>
      <c r="E945" s="3" t="s">
        <v>508</v>
      </c>
      <c r="F945" s="3" t="s">
        <v>508</v>
      </c>
      <c r="G945" s="70" t="s">
        <v>519</v>
      </c>
      <c r="H945" s="3" t="s">
        <v>363</v>
      </c>
      <c r="I945" s="3" t="s">
        <v>339</v>
      </c>
      <c r="J945" s="3">
        <v>47</v>
      </c>
      <c r="K945" s="3">
        <v>400</v>
      </c>
      <c r="L945" s="3">
        <v>208</v>
      </c>
      <c r="M945" s="3">
        <v>236</v>
      </c>
      <c r="N945" s="3">
        <v>239</v>
      </c>
      <c r="O945" s="70">
        <v>-3</v>
      </c>
      <c r="P945" s="3">
        <v>0</v>
      </c>
      <c r="Q945" s="3">
        <v>0</v>
      </c>
      <c r="R945" s="3">
        <v>0.70771200000000001</v>
      </c>
      <c r="S945" s="3">
        <v>-2.12</v>
      </c>
      <c r="T945" s="3">
        <v>167.02</v>
      </c>
      <c r="U945" s="3">
        <v>169.14</v>
      </c>
      <c r="V945" s="70" t="s">
        <v>334</v>
      </c>
      <c r="W945" s="3" t="s">
        <v>756</v>
      </c>
      <c r="X945" s="3" t="s">
        <v>508</v>
      </c>
      <c r="Y945" s="3" t="s">
        <v>508</v>
      </c>
    </row>
    <row r="946" spans="1:25" hidden="1" x14ac:dyDescent="0.2">
      <c r="A946" s="83" t="str">
        <f t="shared" si="14"/>
        <v>郑州瀚海海尚翅根</v>
      </c>
      <c r="B946" s="3" t="s">
        <v>706</v>
      </c>
      <c r="C946" s="3">
        <v>44377</v>
      </c>
      <c r="D946" s="3" t="s">
        <v>518</v>
      </c>
      <c r="E946" s="3" t="s">
        <v>508</v>
      </c>
      <c r="F946" s="3" t="s">
        <v>508</v>
      </c>
      <c r="G946" s="70" t="s">
        <v>519</v>
      </c>
      <c r="H946" s="3" t="s">
        <v>363</v>
      </c>
      <c r="I946" s="3" t="s">
        <v>339</v>
      </c>
      <c r="J946" s="3">
        <v>391</v>
      </c>
      <c r="K946" s="3">
        <v>1200</v>
      </c>
      <c r="L946" s="3">
        <v>719</v>
      </c>
      <c r="M946" s="3">
        <v>718</v>
      </c>
      <c r="N946" s="3">
        <v>872</v>
      </c>
      <c r="O946" s="70">
        <v>-154</v>
      </c>
      <c r="P946" s="3">
        <v>0</v>
      </c>
      <c r="Q946" s="3">
        <v>0</v>
      </c>
      <c r="R946" s="3">
        <v>0.74598900000000001</v>
      </c>
      <c r="S946" s="3">
        <v>-114.88</v>
      </c>
      <c r="T946" s="3">
        <v>535.62</v>
      </c>
      <c r="U946" s="3">
        <v>650.5</v>
      </c>
      <c r="V946" s="70" t="s">
        <v>333</v>
      </c>
      <c r="W946" s="3" t="s">
        <v>758</v>
      </c>
      <c r="X946" s="3" t="s">
        <v>508</v>
      </c>
      <c r="Y946" s="3" t="s">
        <v>508</v>
      </c>
    </row>
    <row r="947" spans="1:25" hidden="1" x14ac:dyDescent="0.2">
      <c r="A947" s="83" t="str">
        <f t="shared" si="14"/>
        <v>华山龙源翅根</v>
      </c>
      <c r="B947" s="3" t="s">
        <v>705</v>
      </c>
      <c r="C947" s="3">
        <v>44377</v>
      </c>
      <c r="D947" s="3" t="s">
        <v>518</v>
      </c>
      <c r="E947" s="3" t="s">
        <v>508</v>
      </c>
      <c r="F947" s="3" t="s">
        <v>508</v>
      </c>
      <c r="G947" s="70" t="s">
        <v>519</v>
      </c>
      <c r="H947" s="3" t="s">
        <v>363</v>
      </c>
      <c r="I947" s="3" t="s">
        <v>339</v>
      </c>
      <c r="J947" s="3">
        <v>289</v>
      </c>
      <c r="K947" s="3">
        <v>240</v>
      </c>
      <c r="L947" s="3">
        <v>425</v>
      </c>
      <c r="M947" s="3">
        <v>102</v>
      </c>
      <c r="N947" s="3">
        <v>104</v>
      </c>
      <c r="O947" s="70">
        <v>-2</v>
      </c>
      <c r="P947" s="3">
        <v>8</v>
      </c>
      <c r="Q947" s="3">
        <v>0</v>
      </c>
      <c r="R947" s="3">
        <v>0.84225499999999998</v>
      </c>
      <c r="S947" s="3">
        <v>-1.68</v>
      </c>
      <c r="T947" s="3">
        <v>85.91</v>
      </c>
      <c r="U947" s="3">
        <v>87.59</v>
      </c>
      <c r="V947" s="70" t="s">
        <v>643</v>
      </c>
      <c r="W947" s="3" t="s">
        <v>343</v>
      </c>
      <c r="X947" s="3" t="s">
        <v>508</v>
      </c>
      <c r="Y947" s="3" t="s">
        <v>508</v>
      </c>
    </row>
    <row r="948" spans="1:25" hidden="1" x14ac:dyDescent="0.2">
      <c r="A948" s="83" t="str">
        <f t="shared" si="14"/>
        <v>郑州西悦城翅根</v>
      </c>
      <c r="B948" s="3" t="s">
        <v>708</v>
      </c>
      <c r="C948" s="3">
        <v>44377</v>
      </c>
      <c r="D948" s="3" t="s">
        <v>518</v>
      </c>
      <c r="E948" s="3" t="s">
        <v>508</v>
      </c>
      <c r="F948" s="3" t="s">
        <v>508</v>
      </c>
      <c r="G948" s="70" t="s">
        <v>519</v>
      </c>
      <c r="H948" s="3" t="s">
        <v>363</v>
      </c>
      <c r="I948" s="3" t="s">
        <v>339</v>
      </c>
      <c r="J948" s="3">
        <v>220</v>
      </c>
      <c r="K948" s="3">
        <v>2280</v>
      </c>
      <c r="L948" s="3">
        <v>2458</v>
      </c>
      <c r="M948" s="3">
        <v>42</v>
      </c>
      <c r="N948" s="3">
        <v>42</v>
      </c>
      <c r="O948" s="70">
        <v>0</v>
      </c>
      <c r="P948" s="3">
        <v>28</v>
      </c>
      <c r="Q948" s="3">
        <v>0</v>
      </c>
      <c r="R948" s="3">
        <v>0.85238100000000006</v>
      </c>
      <c r="S948" s="3">
        <v>0</v>
      </c>
      <c r="T948" s="3">
        <v>35.799999999999997</v>
      </c>
      <c r="U948" s="3">
        <v>35.799999999999997</v>
      </c>
      <c r="V948" s="70" t="s">
        <v>332</v>
      </c>
      <c r="W948" s="3" t="s">
        <v>343</v>
      </c>
      <c r="X948" s="3" t="s">
        <v>508</v>
      </c>
      <c r="Y948" s="3" t="s">
        <v>508</v>
      </c>
    </row>
    <row r="949" spans="1:25" hidden="1" x14ac:dyDescent="0.2">
      <c r="A949" s="83" t="str">
        <f t="shared" si="14"/>
        <v>郑州铁英街翅根</v>
      </c>
      <c r="B949" s="3" t="s">
        <v>707</v>
      </c>
      <c r="C949" s="3">
        <v>44377</v>
      </c>
      <c r="D949" s="3" t="s">
        <v>518</v>
      </c>
      <c r="E949" s="3" t="s">
        <v>508</v>
      </c>
      <c r="F949" s="3" t="s">
        <v>508</v>
      </c>
      <c r="G949" s="70" t="s">
        <v>519</v>
      </c>
      <c r="H949" s="3" t="s">
        <v>363</v>
      </c>
      <c r="I949" s="3" t="s">
        <v>339</v>
      </c>
      <c r="J949" s="3">
        <v>380</v>
      </c>
      <c r="K949" s="3">
        <v>400</v>
      </c>
      <c r="L949" s="3">
        <v>594</v>
      </c>
      <c r="M949" s="3">
        <v>201</v>
      </c>
      <c r="N949" s="3">
        <v>186</v>
      </c>
      <c r="O949" s="70">
        <v>15</v>
      </c>
      <c r="P949" s="3">
        <v>0</v>
      </c>
      <c r="Q949" s="3">
        <v>0</v>
      </c>
      <c r="R949" s="3">
        <v>0.71562199999999998</v>
      </c>
      <c r="S949" s="3">
        <v>10.73</v>
      </c>
      <c r="T949" s="3">
        <v>143.84</v>
      </c>
      <c r="U949" s="3">
        <v>133.11000000000001</v>
      </c>
      <c r="V949" s="70" t="s">
        <v>592</v>
      </c>
      <c r="W949" s="3" t="s">
        <v>343</v>
      </c>
      <c r="X949" s="3" t="s">
        <v>508</v>
      </c>
      <c r="Y949" s="3" t="s">
        <v>508</v>
      </c>
    </row>
    <row r="950" spans="1:25" hidden="1" x14ac:dyDescent="0.2">
      <c r="A950" s="83" t="str">
        <f t="shared" si="14"/>
        <v>郑州康复中街翅根</v>
      </c>
      <c r="B950" s="3" t="s">
        <v>704</v>
      </c>
      <c r="C950" s="3">
        <v>44377</v>
      </c>
      <c r="D950" s="3" t="s">
        <v>518</v>
      </c>
      <c r="E950" s="3" t="s">
        <v>508</v>
      </c>
      <c r="F950" s="3" t="s">
        <v>508</v>
      </c>
      <c r="G950" s="70" t="s">
        <v>519</v>
      </c>
      <c r="H950" s="3" t="s">
        <v>363</v>
      </c>
      <c r="I950" s="3" t="s">
        <v>339</v>
      </c>
      <c r="J950" s="3">
        <v>201</v>
      </c>
      <c r="K950" s="3">
        <v>640</v>
      </c>
      <c r="L950" s="3">
        <v>773</v>
      </c>
      <c r="M950" s="3">
        <v>668</v>
      </c>
      <c r="N950" s="3">
        <v>68</v>
      </c>
      <c r="O950" s="70">
        <v>600</v>
      </c>
      <c r="P950" s="3">
        <v>0</v>
      </c>
      <c r="Q950" s="3">
        <v>0</v>
      </c>
      <c r="R950" s="3">
        <v>0.84003000000000005</v>
      </c>
      <c r="S950" s="3">
        <v>504.02</v>
      </c>
      <c r="T950" s="3">
        <v>561.14</v>
      </c>
      <c r="U950" s="3">
        <v>57.12</v>
      </c>
      <c r="V950" s="70" t="s">
        <v>593</v>
      </c>
      <c r="W950" s="3" t="s">
        <v>759</v>
      </c>
      <c r="X950" s="3" t="s">
        <v>508</v>
      </c>
      <c r="Y950" s="3" t="s">
        <v>508</v>
      </c>
    </row>
    <row r="951" spans="1:25" hidden="1" x14ac:dyDescent="0.2">
      <c r="A951" s="83" t="str">
        <f t="shared" si="14"/>
        <v>新蔡水韵天街翅根</v>
      </c>
      <c r="B951" s="3" t="s">
        <v>703</v>
      </c>
      <c r="C951" s="3">
        <v>44377</v>
      </c>
      <c r="D951" s="3" t="s">
        <v>518</v>
      </c>
      <c r="E951" s="3" t="s">
        <v>508</v>
      </c>
      <c r="F951" s="3" t="s">
        <v>508</v>
      </c>
      <c r="G951" s="70" t="s">
        <v>519</v>
      </c>
      <c r="H951" s="3" t="s">
        <v>363</v>
      </c>
      <c r="I951" s="3" t="s">
        <v>339</v>
      </c>
      <c r="J951" s="3">
        <v>273</v>
      </c>
      <c r="K951" s="3">
        <v>0</v>
      </c>
      <c r="L951" s="3">
        <v>277</v>
      </c>
      <c r="M951" s="3">
        <v>4</v>
      </c>
      <c r="N951" s="3">
        <v>-4</v>
      </c>
      <c r="O951" s="70">
        <v>8</v>
      </c>
      <c r="P951" s="3">
        <v>0</v>
      </c>
      <c r="Q951" s="3">
        <v>0</v>
      </c>
      <c r="R951" s="3">
        <v>0.85499999999999998</v>
      </c>
      <c r="S951" s="3">
        <v>6.84</v>
      </c>
      <c r="T951" s="3">
        <v>3.42</v>
      </c>
      <c r="U951" s="3">
        <v>-3.42</v>
      </c>
      <c r="V951" s="70" t="s">
        <v>335</v>
      </c>
      <c r="W951" s="3" t="s">
        <v>343</v>
      </c>
      <c r="X951" s="3" t="s">
        <v>508</v>
      </c>
      <c r="Y951" s="3" t="s">
        <v>508</v>
      </c>
    </row>
    <row r="952" spans="1:25" hidden="1" x14ac:dyDescent="0.2">
      <c r="A952" s="83" t="str">
        <f t="shared" si="14"/>
        <v>新蔡水韵天街细薯条</v>
      </c>
      <c r="B952" s="3" t="s">
        <v>703</v>
      </c>
      <c r="C952" s="3">
        <v>44377</v>
      </c>
      <c r="D952" s="3" t="s">
        <v>520</v>
      </c>
      <c r="E952" s="3" t="s">
        <v>508</v>
      </c>
      <c r="F952" s="3" t="s">
        <v>508</v>
      </c>
      <c r="G952" s="70" t="s">
        <v>168</v>
      </c>
      <c r="H952" s="3" t="s">
        <v>370</v>
      </c>
      <c r="I952" s="3" t="s">
        <v>89</v>
      </c>
      <c r="J952" s="3">
        <v>20000</v>
      </c>
      <c r="K952" s="3">
        <v>168000</v>
      </c>
      <c r="L952" s="3">
        <v>171894</v>
      </c>
      <c r="M952" s="3">
        <v>16100</v>
      </c>
      <c r="N952" s="3">
        <v>16106</v>
      </c>
      <c r="O952" s="70">
        <v>-6</v>
      </c>
      <c r="P952" s="3">
        <v>0</v>
      </c>
      <c r="Q952" s="3">
        <v>0</v>
      </c>
      <c r="R952" s="3">
        <v>9.8860000000000007E-3</v>
      </c>
      <c r="S952" s="3">
        <v>-0.06</v>
      </c>
      <c r="T952" s="3">
        <v>159.16999999999999</v>
      </c>
      <c r="U952" s="3">
        <v>159.22</v>
      </c>
      <c r="V952" s="70" t="s">
        <v>335</v>
      </c>
      <c r="W952" s="3" t="s">
        <v>343</v>
      </c>
      <c r="X952" s="3" t="s">
        <v>508</v>
      </c>
      <c r="Y952" s="3" t="s">
        <v>508</v>
      </c>
    </row>
    <row r="953" spans="1:25" hidden="1" x14ac:dyDescent="0.2">
      <c r="A953" s="83" t="str">
        <f t="shared" si="14"/>
        <v>郑州康复中街细薯条</v>
      </c>
      <c r="B953" s="3" t="s">
        <v>704</v>
      </c>
      <c r="C953" s="3">
        <v>44377</v>
      </c>
      <c r="D953" s="3" t="s">
        <v>520</v>
      </c>
      <c r="E953" s="3" t="s">
        <v>508</v>
      </c>
      <c r="F953" s="3" t="s">
        <v>508</v>
      </c>
      <c r="G953" s="70" t="s">
        <v>168</v>
      </c>
      <c r="H953" s="3" t="s">
        <v>370</v>
      </c>
      <c r="I953" s="3" t="s">
        <v>89</v>
      </c>
      <c r="J953" s="3">
        <v>14000</v>
      </c>
      <c r="K953" s="3">
        <v>288000</v>
      </c>
      <c r="L953" s="3">
        <v>299192</v>
      </c>
      <c r="M953" s="3">
        <v>2808</v>
      </c>
      <c r="N953" s="3">
        <v>2808</v>
      </c>
      <c r="O953" s="70">
        <v>0</v>
      </c>
      <c r="P953" s="3">
        <v>0</v>
      </c>
      <c r="Q953" s="3">
        <v>0</v>
      </c>
      <c r="R953" s="3">
        <v>9.8969999999999995E-3</v>
      </c>
      <c r="S953" s="3">
        <v>0</v>
      </c>
      <c r="T953" s="3">
        <v>27.79</v>
      </c>
      <c r="U953" s="3">
        <v>27.79</v>
      </c>
      <c r="V953" s="70" t="s">
        <v>593</v>
      </c>
      <c r="W953" s="3" t="s">
        <v>343</v>
      </c>
      <c r="X953" s="3" t="s">
        <v>508</v>
      </c>
      <c r="Y953" s="3" t="s">
        <v>508</v>
      </c>
    </row>
    <row r="954" spans="1:25" hidden="1" x14ac:dyDescent="0.2">
      <c r="A954" s="83" t="str">
        <f t="shared" si="14"/>
        <v>郑州铁英街细薯条</v>
      </c>
      <c r="B954" s="3" t="s">
        <v>707</v>
      </c>
      <c r="C954" s="3">
        <v>44377</v>
      </c>
      <c r="D954" s="3" t="s">
        <v>520</v>
      </c>
      <c r="E954" s="3" t="s">
        <v>508</v>
      </c>
      <c r="F954" s="3" t="s">
        <v>508</v>
      </c>
      <c r="G954" s="70" t="s">
        <v>168</v>
      </c>
      <c r="H954" s="3" t="s">
        <v>370</v>
      </c>
      <c r="I954" s="3" t="s">
        <v>89</v>
      </c>
      <c r="J954" s="3">
        <v>3500</v>
      </c>
      <c r="K954" s="3">
        <v>192000</v>
      </c>
      <c r="L954" s="3">
        <v>182678</v>
      </c>
      <c r="M954" s="3">
        <v>11700</v>
      </c>
      <c r="N954" s="3">
        <v>12822</v>
      </c>
      <c r="O954" s="70">
        <v>-1122</v>
      </c>
      <c r="P954" s="3">
        <v>0</v>
      </c>
      <c r="Q954" s="3">
        <v>0</v>
      </c>
      <c r="R954" s="3">
        <v>9.8840000000000004E-3</v>
      </c>
      <c r="S954" s="3">
        <v>-11.09</v>
      </c>
      <c r="T954" s="3">
        <v>115.64</v>
      </c>
      <c r="U954" s="3">
        <v>126.73</v>
      </c>
      <c r="V954" s="70" t="s">
        <v>592</v>
      </c>
      <c r="W954" s="3" t="s">
        <v>343</v>
      </c>
      <c r="X954" s="3" t="s">
        <v>508</v>
      </c>
      <c r="Y954" s="3" t="s">
        <v>508</v>
      </c>
    </row>
    <row r="955" spans="1:25" hidden="1" x14ac:dyDescent="0.2">
      <c r="A955" s="83" t="str">
        <f t="shared" si="14"/>
        <v>郑州西悦城细薯条</v>
      </c>
      <c r="B955" s="3" t="s">
        <v>708</v>
      </c>
      <c r="C955" s="3">
        <v>44377</v>
      </c>
      <c r="D955" s="3" t="s">
        <v>520</v>
      </c>
      <c r="E955" s="3" t="s">
        <v>508</v>
      </c>
      <c r="F955" s="3" t="s">
        <v>508</v>
      </c>
      <c r="G955" s="70" t="s">
        <v>168</v>
      </c>
      <c r="H955" s="3" t="s">
        <v>370</v>
      </c>
      <c r="I955" s="3" t="s">
        <v>89</v>
      </c>
      <c r="J955" s="3">
        <v>65000</v>
      </c>
      <c r="K955" s="3">
        <v>264000</v>
      </c>
      <c r="L955" s="3">
        <v>314974</v>
      </c>
      <c r="M955" s="3">
        <v>14000</v>
      </c>
      <c r="N955" s="3">
        <v>14026</v>
      </c>
      <c r="O955" s="70">
        <v>-26</v>
      </c>
      <c r="P955" s="3">
        <v>0</v>
      </c>
      <c r="Q955" s="3">
        <v>0</v>
      </c>
      <c r="R955" s="3">
        <v>9.8849999999999997E-3</v>
      </c>
      <c r="S955" s="3">
        <v>-0.26</v>
      </c>
      <c r="T955" s="3">
        <v>138.38999999999999</v>
      </c>
      <c r="U955" s="3">
        <v>138.65</v>
      </c>
      <c r="V955" s="70" t="s">
        <v>332</v>
      </c>
      <c r="W955" s="3" t="s">
        <v>343</v>
      </c>
      <c r="X955" s="3" t="s">
        <v>508</v>
      </c>
      <c r="Y955" s="3" t="s">
        <v>508</v>
      </c>
    </row>
    <row r="956" spans="1:25" hidden="1" x14ac:dyDescent="0.2">
      <c r="A956" s="83" t="str">
        <f t="shared" si="14"/>
        <v>郑州瀚海海尚细薯条</v>
      </c>
      <c r="B956" s="3" t="s">
        <v>706</v>
      </c>
      <c r="C956" s="3">
        <v>44377</v>
      </c>
      <c r="D956" s="3" t="s">
        <v>520</v>
      </c>
      <c r="E956" s="3" t="s">
        <v>508</v>
      </c>
      <c r="F956" s="3" t="s">
        <v>508</v>
      </c>
      <c r="G956" s="70" t="s">
        <v>168</v>
      </c>
      <c r="H956" s="3" t="s">
        <v>370</v>
      </c>
      <c r="I956" s="3" t="s">
        <v>89</v>
      </c>
      <c r="J956" s="3">
        <v>38064</v>
      </c>
      <c r="K956" s="3">
        <v>216000</v>
      </c>
      <c r="L956" s="3">
        <v>243988</v>
      </c>
      <c r="M956" s="3">
        <v>3500</v>
      </c>
      <c r="N956" s="3">
        <v>10076</v>
      </c>
      <c r="O956" s="70">
        <v>-6576</v>
      </c>
      <c r="P956" s="3">
        <v>0</v>
      </c>
      <c r="Q956" s="3">
        <v>0</v>
      </c>
      <c r="R956" s="3">
        <v>9.8829999999999994E-3</v>
      </c>
      <c r="S956" s="3">
        <v>-64.989999999999995</v>
      </c>
      <c r="T956" s="3">
        <v>34.590000000000003</v>
      </c>
      <c r="U956" s="3">
        <v>99.58</v>
      </c>
      <c r="V956" s="70" t="s">
        <v>333</v>
      </c>
      <c r="W956" s="3" t="s">
        <v>343</v>
      </c>
      <c r="X956" s="3" t="s">
        <v>508</v>
      </c>
      <c r="Y956" s="3" t="s">
        <v>508</v>
      </c>
    </row>
    <row r="957" spans="1:25" hidden="1" x14ac:dyDescent="0.2">
      <c r="A957" s="83" t="str">
        <f t="shared" si="14"/>
        <v>华山龙源细薯条</v>
      </c>
      <c r="B957" s="3" t="s">
        <v>705</v>
      </c>
      <c r="C957" s="3">
        <v>44377</v>
      </c>
      <c r="D957" s="3" t="s">
        <v>520</v>
      </c>
      <c r="E957" s="3" t="s">
        <v>508</v>
      </c>
      <c r="F957" s="3" t="s">
        <v>508</v>
      </c>
      <c r="G957" s="70" t="s">
        <v>168</v>
      </c>
      <c r="H957" s="3" t="s">
        <v>370</v>
      </c>
      <c r="I957" s="3" t="s">
        <v>89</v>
      </c>
      <c r="J957" s="3">
        <v>26400</v>
      </c>
      <c r="K957" s="3">
        <v>108000</v>
      </c>
      <c r="L957" s="3">
        <v>123338</v>
      </c>
      <c r="M957" s="3">
        <v>12000</v>
      </c>
      <c r="N957" s="3">
        <v>11062</v>
      </c>
      <c r="O957" s="70">
        <v>938</v>
      </c>
      <c r="P957" s="3">
        <v>0</v>
      </c>
      <c r="Q957" s="3">
        <v>0</v>
      </c>
      <c r="R957" s="3">
        <v>9.8849999999999997E-3</v>
      </c>
      <c r="S957" s="3">
        <v>9.27</v>
      </c>
      <c r="T957" s="3">
        <v>118.62</v>
      </c>
      <c r="U957" s="3">
        <v>109.35</v>
      </c>
      <c r="V957" s="70" t="s">
        <v>643</v>
      </c>
      <c r="W957" s="3" t="s">
        <v>343</v>
      </c>
      <c r="X957" s="3" t="s">
        <v>508</v>
      </c>
      <c r="Y957" s="3" t="s">
        <v>508</v>
      </c>
    </row>
    <row r="958" spans="1:25" hidden="1" x14ac:dyDescent="0.2">
      <c r="A958" s="83" t="str">
        <f t="shared" si="14"/>
        <v>清丰凤鸣细薯条</v>
      </c>
      <c r="B958" s="3" t="s">
        <v>713</v>
      </c>
      <c r="C958" s="3">
        <v>44377</v>
      </c>
      <c r="D958" s="3" t="s">
        <v>520</v>
      </c>
      <c r="E958" s="3" t="s">
        <v>508</v>
      </c>
      <c r="F958" s="3" t="s">
        <v>508</v>
      </c>
      <c r="G958" s="70" t="s">
        <v>168</v>
      </c>
      <c r="H958" s="3" t="s">
        <v>370</v>
      </c>
      <c r="I958" s="3" t="s">
        <v>89</v>
      </c>
      <c r="J958" s="3">
        <v>32200</v>
      </c>
      <c r="K958" s="3">
        <v>132000</v>
      </c>
      <c r="L958" s="3">
        <v>142702</v>
      </c>
      <c r="M958" s="3">
        <v>22000</v>
      </c>
      <c r="N958" s="3">
        <v>21498</v>
      </c>
      <c r="O958" s="70">
        <v>502</v>
      </c>
      <c r="P958" s="3">
        <v>0</v>
      </c>
      <c r="Q958" s="3">
        <v>0</v>
      </c>
      <c r="R958" s="3">
        <v>9.8849999999999997E-3</v>
      </c>
      <c r="S958" s="3">
        <v>4.96</v>
      </c>
      <c r="T958" s="3">
        <v>217.47</v>
      </c>
      <c r="U958" s="3">
        <v>212.51</v>
      </c>
      <c r="V958" s="70" t="s">
        <v>334</v>
      </c>
      <c r="W958" s="3" t="s">
        <v>343</v>
      </c>
      <c r="X958" s="3" t="s">
        <v>508</v>
      </c>
      <c r="Y958" s="3" t="s">
        <v>508</v>
      </c>
    </row>
    <row r="959" spans="1:25" hidden="1" x14ac:dyDescent="0.2">
      <c r="A959" s="83" t="str">
        <f t="shared" si="14"/>
        <v>方城锦城国际细薯条</v>
      </c>
      <c r="B959" s="3" t="s">
        <v>712</v>
      </c>
      <c r="C959" s="3">
        <v>44377</v>
      </c>
      <c r="D959" s="3" t="s">
        <v>520</v>
      </c>
      <c r="E959" s="3" t="s">
        <v>508</v>
      </c>
      <c r="F959" s="3" t="s">
        <v>508</v>
      </c>
      <c r="G959" s="70" t="s">
        <v>168</v>
      </c>
      <c r="H959" s="3" t="s">
        <v>370</v>
      </c>
      <c r="I959" s="3" t="s">
        <v>89</v>
      </c>
      <c r="J959" s="3">
        <v>0</v>
      </c>
      <c r="K959" s="3">
        <v>240000</v>
      </c>
      <c r="L959" s="3">
        <v>213242</v>
      </c>
      <c r="M959" s="3">
        <v>27000</v>
      </c>
      <c r="N959" s="3">
        <v>26758</v>
      </c>
      <c r="O959" s="70">
        <v>242</v>
      </c>
      <c r="P959" s="3">
        <v>0</v>
      </c>
      <c r="Q959" s="3">
        <v>0</v>
      </c>
      <c r="R959" s="3">
        <v>9.8820000000000002E-3</v>
      </c>
      <c r="S959" s="3">
        <v>2.39</v>
      </c>
      <c r="T959" s="3">
        <v>266.82</v>
      </c>
      <c r="U959" s="3">
        <v>264.42</v>
      </c>
      <c r="V959" s="70" t="s">
        <v>594</v>
      </c>
      <c r="W959" s="3" t="s">
        <v>343</v>
      </c>
      <c r="X959" s="3" t="s">
        <v>508</v>
      </c>
      <c r="Y959" s="3" t="s">
        <v>508</v>
      </c>
    </row>
    <row r="960" spans="1:25" hidden="1" x14ac:dyDescent="0.2">
      <c r="A960" s="83" t="str">
        <f t="shared" si="14"/>
        <v>郑州裕华细薯条</v>
      </c>
      <c r="B960" s="3" t="s">
        <v>711</v>
      </c>
      <c r="C960" s="3">
        <v>44377</v>
      </c>
      <c r="D960" s="3" t="s">
        <v>520</v>
      </c>
      <c r="E960" s="3" t="s">
        <v>508</v>
      </c>
      <c r="F960" s="3" t="s">
        <v>508</v>
      </c>
      <c r="G960" s="70" t="s">
        <v>168</v>
      </c>
      <c r="H960" s="3" t="s">
        <v>370</v>
      </c>
      <c r="I960" s="3" t="s">
        <v>89</v>
      </c>
      <c r="J960" s="3">
        <v>8700</v>
      </c>
      <c r="K960" s="3">
        <v>144000</v>
      </c>
      <c r="L960" s="3">
        <v>161282</v>
      </c>
      <c r="M960" s="3">
        <v>8000</v>
      </c>
      <c r="N960" s="3">
        <v>-8582</v>
      </c>
      <c r="O960" s="70">
        <v>16582</v>
      </c>
      <c r="P960" s="3">
        <v>0</v>
      </c>
      <c r="Q960" s="3">
        <v>0</v>
      </c>
      <c r="R960" s="3">
        <v>9.8860000000000007E-3</v>
      </c>
      <c r="S960" s="3">
        <v>163.93</v>
      </c>
      <c r="T960" s="3">
        <v>79.09</v>
      </c>
      <c r="U960" s="3">
        <v>-84.84</v>
      </c>
      <c r="V960" s="70" t="s">
        <v>641</v>
      </c>
      <c r="W960" s="3" t="s">
        <v>343</v>
      </c>
      <c r="X960" s="3" t="s">
        <v>508</v>
      </c>
      <c r="Y960" s="3" t="s">
        <v>508</v>
      </c>
    </row>
    <row r="961" spans="1:25" hidden="1" x14ac:dyDescent="0.2">
      <c r="A961" s="83" t="str">
        <f t="shared" si="14"/>
        <v>郑州盛华里细薯条</v>
      </c>
      <c r="B961" s="3" t="s">
        <v>709</v>
      </c>
      <c r="C961" s="3">
        <v>44377</v>
      </c>
      <c r="D961" s="3" t="s">
        <v>520</v>
      </c>
      <c r="E961" s="3" t="s">
        <v>508</v>
      </c>
      <c r="F961" s="3" t="s">
        <v>508</v>
      </c>
      <c r="G961" s="70" t="s">
        <v>168</v>
      </c>
      <c r="H961" s="3" t="s">
        <v>370</v>
      </c>
      <c r="I961" s="3" t="s">
        <v>89</v>
      </c>
      <c r="J961" s="3">
        <v>39000</v>
      </c>
      <c r="K961" s="3">
        <v>132000</v>
      </c>
      <c r="L961" s="3">
        <v>99502</v>
      </c>
      <c r="M961" s="3">
        <v>48000</v>
      </c>
      <c r="N961" s="3">
        <v>71498</v>
      </c>
      <c r="O961" s="70">
        <v>-23498</v>
      </c>
      <c r="P961" s="3">
        <v>0</v>
      </c>
      <c r="Q961" s="3">
        <v>0</v>
      </c>
      <c r="R961" s="3">
        <v>9.8840000000000004E-3</v>
      </c>
      <c r="S961" s="3">
        <v>-232.25</v>
      </c>
      <c r="T961" s="3">
        <v>474.45</v>
      </c>
      <c r="U961" s="3">
        <v>706.69</v>
      </c>
      <c r="V961" s="70" t="s">
        <v>637</v>
      </c>
      <c r="W961" s="3" t="s">
        <v>343</v>
      </c>
      <c r="X961" s="3" t="s">
        <v>508</v>
      </c>
      <c r="Y961" s="3" t="s">
        <v>508</v>
      </c>
    </row>
    <row r="962" spans="1:25" hidden="1" x14ac:dyDescent="0.2">
      <c r="A962" s="83" t="str">
        <f t="shared" si="14"/>
        <v>滑县滑台细薯条</v>
      </c>
      <c r="B962" s="3" t="s">
        <v>710</v>
      </c>
      <c r="C962" s="3">
        <v>44377</v>
      </c>
      <c r="D962" s="3" t="s">
        <v>520</v>
      </c>
      <c r="E962" s="3" t="s">
        <v>508</v>
      </c>
      <c r="F962" s="3" t="s">
        <v>508</v>
      </c>
      <c r="G962" s="70" t="s">
        <v>168</v>
      </c>
      <c r="H962" s="3" t="s">
        <v>370</v>
      </c>
      <c r="I962" s="3" t="s">
        <v>89</v>
      </c>
      <c r="J962" s="3">
        <v>60000</v>
      </c>
      <c r="K962" s="3">
        <v>216000</v>
      </c>
      <c r="L962" s="3">
        <v>189588</v>
      </c>
      <c r="M962" s="3">
        <v>86000</v>
      </c>
      <c r="N962" s="3">
        <v>86412</v>
      </c>
      <c r="O962" s="70">
        <v>-412</v>
      </c>
      <c r="P962" s="3">
        <v>0</v>
      </c>
      <c r="Q962" s="3">
        <v>0</v>
      </c>
      <c r="R962" s="3">
        <v>9.8890000000000002E-3</v>
      </c>
      <c r="S962" s="3">
        <v>-4.07</v>
      </c>
      <c r="T962" s="3">
        <v>850.42</v>
      </c>
      <c r="U962" s="3">
        <v>854.53</v>
      </c>
      <c r="V962" s="70" t="s">
        <v>639</v>
      </c>
      <c r="W962" s="3" t="s">
        <v>343</v>
      </c>
      <c r="X962" s="3" t="s">
        <v>508</v>
      </c>
      <c r="Y962" s="3" t="s">
        <v>508</v>
      </c>
    </row>
    <row r="963" spans="1:25" hidden="1" x14ac:dyDescent="0.2">
      <c r="A963" s="83" t="str">
        <f t="shared" ref="A963:A1026" si="15">V963&amp;G963</f>
        <v>郑州政六街细薯条</v>
      </c>
      <c r="B963" s="3" t="s">
        <v>714</v>
      </c>
      <c r="C963" s="3">
        <v>44377</v>
      </c>
      <c r="D963" s="3" t="s">
        <v>520</v>
      </c>
      <c r="E963" s="3" t="s">
        <v>508</v>
      </c>
      <c r="F963" s="3" t="s">
        <v>508</v>
      </c>
      <c r="G963" s="70" t="s">
        <v>168</v>
      </c>
      <c r="H963" s="3" t="s">
        <v>370</v>
      </c>
      <c r="I963" s="3" t="s">
        <v>89</v>
      </c>
      <c r="J963" s="3">
        <v>34050</v>
      </c>
      <c r="K963" s="3">
        <v>252000</v>
      </c>
      <c r="L963" s="3">
        <v>284762</v>
      </c>
      <c r="M963" s="3">
        <v>0</v>
      </c>
      <c r="N963" s="3">
        <v>1288</v>
      </c>
      <c r="O963" s="70">
        <v>-1288</v>
      </c>
      <c r="P963" s="3">
        <v>0</v>
      </c>
      <c r="Q963" s="3">
        <v>0</v>
      </c>
      <c r="R963" s="3">
        <v>9.8989999999999998E-3</v>
      </c>
      <c r="S963" s="3">
        <v>-12.75</v>
      </c>
      <c r="T963" s="3">
        <v>0</v>
      </c>
      <c r="U963" s="3">
        <v>12.75</v>
      </c>
      <c r="V963" s="70" t="s">
        <v>591</v>
      </c>
      <c r="W963" s="3" t="s">
        <v>343</v>
      </c>
      <c r="X963" s="3" t="s">
        <v>508</v>
      </c>
      <c r="Y963" s="3" t="s">
        <v>508</v>
      </c>
    </row>
    <row r="964" spans="1:25" hidden="1" x14ac:dyDescent="0.2">
      <c r="A964" s="83" t="str">
        <f t="shared" si="15"/>
        <v>郑州政六街黑椒鸡块原材料</v>
      </c>
      <c r="B964" s="3" t="s">
        <v>714</v>
      </c>
      <c r="C964" s="3">
        <v>44377</v>
      </c>
      <c r="D964" s="3" t="s">
        <v>521</v>
      </c>
      <c r="E964" s="3" t="s">
        <v>508</v>
      </c>
      <c r="F964" s="3" t="s">
        <v>508</v>
      </c>
      <c r="G964" s="70" t="s">
        <v>619</v>
      </c>
      <c r="H964" s="3" t="s">
        <v>522</v>
      </c>
      <c r="I964" s="3" t="s">
        <v>339</v>
      </c>
      <c r="J964" s="3">
        <v>160</v>
      </c>
      <c r="K964" s="3">
        <v>6750</v>
      </c>
      <c r="L964" s="3">
        <v>6245</v>
      </c>
      <c r="M964" s="3">
        <v>650</v>
      </c>
      <c r="N964" s="3">
        <v>665</v>
      </c>
      <c r="O964" s="70">
        <v>-15</v>
      </c>
      <c r="P964" s="3">
        <v>0</v>
      </c>
      <c r="Q964" s="3">
        <v>0</v>
      </c>
      <c r="R964" s="3">
        <v>0.246</v>
      </c>
      <c r="S964" s="3">
        <v>-3.69</v>
      </c>
      <c r="T964" s="3">
        <v>159.9</v>
      </c>
      <c r="U964" s="3">
        <v>163.59</v>
      </c>
      <c r="V964" s="70" t="s">
        <v>591</v>
      </c>
      <c r="W964" s="3" t="s">
        <v>343</v>
      </c>
      <c r="X964" s="3" t="s">
        <v>508</v>
      </c>
      <c r="Y964" s="3" t="s">
        <v>508</v>
      </c>
    </row>
    <row r="965" spans="1:25" hidden="1" x14ac:dyDescent="0.2">
      <c r="A965" s="83" t="str">
        <f t="shared" si="15"/>
        <v>滑县滑台黑椒鸡块原材料</v>
      </c>
      <c r="B965" s="3" t="s">
        <v>710</v>
      </c>
      <c r="C965" s="3">
        <v>44377</v>
      </c>
      <c r="D965" s="3" t="s">
        <v>521</v>
      </c>
      <c r="E965" s="3" t="s">
        <v>508</v>
      </c>
      <c r="F965" s="3" t="s">
        <v>508</v>
      </c>
      <c r="G965" s="70" t="s">
        <v>619</v>
      </c>
      <c r="H965" s="3" t="s">
        <v>522</v>
      </c>
      <c r="I965" s="3" t="s">
        <v>339</v>
      </c>
      <c r="J965" s="3">
        <v>1070</v>
      </c>
      <c r="K965" s="3">
        <v>3750</v>
      </c>
      <c r="L965" s="3">
        <v>4290</v>
      </c>
      <c r="M965" s="3">
        <v>530</v>
      </c>
      <c r="N965" s="3">
        <v>530</v>
      </c>
      <c r="O965" s="70">
        <v>0</v>
      </c>
      <c r="P965" s="3">
        <v>0</v>
      </c>
      <c r="Q965" s="3">
        <v>0</v>
      </c>
      <c r="R965" s="3">
        <v>0.24609400000000001</v>
      </c>
      <c r="S965" s="3">
        <v>0</v>
      </c>
      <c r="T965" s="3">
        <v>130.43</v>
      </c>
      <c r="U965" s="3">
        <v>130.43</v>
      </c>
      <c r="V965" s="70" t="s">
        <v>639</v>
      </c>
      <c r="W965" s="3" t="s">
        <v>343</v>
      </c>
      <c r="X965" s="3" t="s">
        <v>508</v>
      </c>
      <c r="Y965" s="3" t="s">
        <v>508</v>
      </c>
    </row>
    <row r="966" spans="1:25" hidden="1" x14ac:dyDescent="0.2">
      <c r="A966" s="83" t="str">
        <f t="shared" si="15"/>
        <v>郑州盛华里黑椒鸡块原材料</v>
      </c>
      <c r="B966" s="3" t="s">
        <v>709</v>
      </c>
      <c r="C966" s="3">
        <v>44377</v>
      </c>
      <c r="D966" s="3" t="s">
        <v>521</v>
      </c>
      <c r="E966" s="3" t="s">
        <v>508</v>
      </c>
      <c r="F966" s="3" t="s">
        <v>508</v>
      </c>
      <c r="G966" s="70" t="s">
        <v>619</v>
      </c>
      <c r="H966" s="3" t="s">
        <v>522</v>
      </c>
      <c r="I966" s="3" t="s">
        <v>339</v>
      </c>
      <c r="J966" s="3">
        <v>560</v>
      </c>
      <c r="K966" s="3">
        <v>3000</v>
      </c>
      <c r="L966" s="3">
        <v>2255</v>
      </c>
      <c r="M966" s="3">
        <v>940</v>
      </c>
      <c r="N966" s="3">
        <v>1305</v>
      </c>
      <c r="O966" s="70">
        <v>-365</v>
      </c>
      <c r="P966" s="3">
        <v>0</v>
      </c>
      <c r="Q966" s="3">
        <v>0</v>
      </c>
      <c r="R966" s="3">
        <v>0.246</v>
      </c>
      <c r="S966" s="3">
        <v>-89.79</v>
      </c>
      <c r="T966" s="3">
        <v>231.24</v>
      </c>
      <c r="U966" s="3">
        <v>321.02999999999997</v>
      </c>
      <c r="V966" s="70" t="s">
        <v>637</v>
      </c>
      <c r="W966" s="3" t="s">
        <v>343</v>
      </c>
      <c r="X966" s="3" t="s">
        <v>508</v>
      </c>
      <c r="Y966" s="3" t="s">
        <v>508</v>
      </c>
    </row>
    <row r="967" spans="1:25" hidden="1" x14ac:dyDescent="0.2">
      <c r="A967" s="83" t="str">
        <f t="shared" si="15"/>
        <v>郑州裕华黑椒鸡块原材料</v>
      </c>
      <c r="B967" s="3" t="s">
        <v>711</v>
      </c>
      <c r="C967" s="3">
        <v>44377</v>
      </c>
      <c r="D967" s="3" t="s">
        <v>521</v>
      </c>
      <c r="E967" s="3" t="s">
        <v>508</v>
      </c>
      <c r="F967" s="3" t="s">
        <v>508</v>
      </c>
      <c r="G967" s="70" t="s">
        <v>619</v>
      </c>
      <c r="H967" s="3" t="s">
        <v>522</v>
      </c>
      <c r="I967" s="3" t="s">
        <v>339</v>
      </c>
      <c r="J967" s="3">
        <v>3100</v>
      </c>
      <c r="K967" s="3">
        <v>0</v>
      </c>
      <c r="L967" s="3">
        <v>2654</v>
      </c>
      <c r="M967" s="3">
        <v>480</v>
      </c>
      <c r="N967" s="3">
        <v>446</v>
      </c>
      <c r="O967" s="70">
        <v>34</v>
      </c>
      <c r="P967" s="3">
        <v>0</v>
      </c>
      <c r="Q967" s="3">
        <v>0</v>
      </c>
      <c r="R967" s="3">
        <v>0.246</v>
      </c>
      <c r="S967" s="3">
        <v>8.36</v>
      </c>
      <c r="T967" s="3">
        <v>118.08</v>
      </c>
      <c r="U967" s="3">
        <v>109.72</v>
      </c>
      <c r="V967" s="70" t="s">
        <v>641</v>
      </c>
      <c r="W967" s="3" t="s">
        <v>343</v>
      </c>
      <c r="X967" s="3" t="s">
        <v>508</v>
      </c>
      <c r="Y967" s="3" t="s">
        <v>508</v>
      </c>
    </row>
    <row r="968" spans="1:25" hidden="1" x14ac:dyDescent="0.2">
      <c r="A968" s="83" t="str">
        <f t="shared" si="15"/>
        <v>清丰凤鸣黑椒鸡块原材料</v>
      </c>
      <c r="B968" s="3" t="s">
        <v>713</v>
      </c>
      <c r="C968" s="3">
        <v>44377</v>
      </c>
      <c r="D968" s="3" t="s">
        <v>521</v>
      </c>
      <c r="E968" s="3" t="s">
        <v>508</v>
      </c>
      <c r="F968" s="3" t="s">
        <v>508</v>
      </c>
      <c r="G968" s="70" t="s">
        <v>619</v>
      </c>
      <c r="H968" s="3" t="s">
        <v>522</v>
      </c>
      <c r="I968" s="3" t="s">
        <v>339</v>
      </c>
      <c r="J968" s="3">
        <v>2772</v>
      </c>
      <c r="K968" s="3">
        <v>0</v>
      </c>
      <c r="L968" s="3">
        <v>1420</v>
      </c>
      <c r="M968" s="3">
        <v>1344</v>
      </c>
      <c r="N968" s="3">
        <v>1352</v>
      </c>
      <c r="O968" s="70">
        <v>-8</v>
      </c>
      <c r="P968" s="3">
        <v>0</v>
      </c>
      <c r="Q968" s="3">
        <v>0</v>
      </c>
      <c r="R968" s="3">
        <v>0.24599699999999999</v>
      </c>
      <c r="S968" s="3">
        <v>-1.97</v>
      </c>
      <c r="T968" s="3">
        <v>330.62</v>
      </c>
      <c r="U968" s="3">
        <v>332.59</v>
      </c>
      <c r="V968" s="70" t="s">
        <v>334</v>
      </c>
      <c r="W968" s="3" t="s">
        <v>343</v>
      </c>
      <c r="X968" s="3" t="s">
        <v>508</v>
      </c>
      <c r="Y968" s="3" t="s">
        <v>508</v>
      </c>
    </row>
    <row r="969" spans="1:25" hidden="1" x14ac:dyDescent="0.2">
      <c r="A969" s="83" t="str">
        <f t="shared" si="15"/>
        <v>方城锦城国际黑椒鸡块原材料</v>
      </c>
      <c r="B969" s="3" t="s">
        <v>712</v>
      </c>
      <c r="C969" s="3">
        <v>44377</v>
      </c>
      <c r="D969" s="3" t="s">
        <v>521</v>
      </c>
      <c r="E969" s="3" t="s">
        <v>508</v>
      </c>
      <c r="F969" s="3" t="s">
        <v>508</v>
      </c>
      <c r="G969" s="70" t="s">
        <v>619</v>
      </c>
      <c r="H969" s="3" t="s">
        <v>522</v>
      </c>
      <c r="I969" s="3" t="s">
        <v>339</v>
      </c>
      <c r="J969" s="3">
        <v>1255</v>
      </c>
      <c r="K969" s="3">
        <v>3000</v>
      </c>
      <c r="L969" s="3">
        <v>3683</v>
      </c>
      <c r="M969" s="3">
        <v>572</v>
      </c>
      <c r="N969" s="3">
        <v>572</v>
      </c>
      <c r="O969" s="70">
        <v>0</v>
      </c>
      <c r="P969" s="3">
        <v>0</v>
      </c>
      <c r="Q969" s="3">
        <v>0</v>
      </c>
      <c r="R969" s="3">
        <v>0.24599699999999999</v>
      </c>
      <c r="S969" s="3">
        <v>0</v>
      </c>
      <c r="T969" s="3">
        <v>140.71</v>
      </c>
      <c r="U969" s="3">
        <v>140.71</v>
      </c>
      <c r="V969" s="70" t="s">
        <v>594</v>
      </c>
      <c r="W969" s="3" t="s">
        <v>343</v>
      </c>
      <c r="X969" s="3" t="s">
        <v>508</v>
      </c>
      <c r="Y969" s="3" t="s">
        <v>508</v>
      </c>
    </row>
    <row r="970" spans="1:25" hidden="1" x14ac:dyDescent="0.2">
      <c r="A970" s="83" t="str">
        <f t="shared" si="15"/>
        <v>郑州瀚海海尚黑椒鸡块原材料</v>
      </c>
      <c r="B970" s="3" t="s">
        <v>706</v>
      </c>
      <c r="C970" s="3">
        <v>44377</v>
      </c>
      <c r="D970" s="3" t="s">
        <v>521</v>
      </c>
      <c r="E970" s="3" t="s">
        <v>508</v>
      </c>
      <c r="F970" s="3" t="s">
        <v>508</v>
      </c>
      <c r="G970" s="70" t="s">
        <v>619</v>
      </c>
      <c r="H970" s="3" t="s">
        <v>522</v>
      </c>
      <c r="I970" s="3" t="s">
        <v>339</v>
      </c>
      <c r="J970" s="3">
        <v>1385</v>
      </c>
      <c r="K970" s="3">
        <v>3125</v>
      </c>
      <c r="L970" s="3">
        <v>4410</v>
      </c>
      <c r="M970" s="3">
        <v>0</v>
      </c>
      <c r="N970" s="3">
        <v>100</v>
      </c>
      <c r="O970" s="70">
        <v>-100</v>
      </c>
      <c r="P970" s="3">
        <v>0</v>
      </c>
      <c r="Q970" s="3">
        <v>0</v>
      </c>
      <c r="R970" s="3">
        <v>0.246501</v>
      </c>
      <c r="S970" s="3">
        <v>-24.65</v>
      </c>
      <c r="T970" s="3">
        <v>0</v>
      </c>
      <c r="U970" s="3">
        <v>24.65</v>
      </c>
      <c r="V970" s="70" t="s">
        <v>333</v>
      </c>
      <c r="W970" s="3" t="s">
        <v>343</v>
      </c>
      <c r="X970" s="3" t="s">
        <v>508</v>
      </c>
      <c r="Y970" s="3" t="s">
        <v>508</v>
      </c>
    </row>
    <row r="971" spans="1:25" hidden="1" x14ac:dyDescent="0.2">
      <c r="A971" s="83" t="str">
        <f t="shared" si="15"/>
        <v>华山龙源黑椒鸡块原材料</v>
      </c>
      <c r="B971" s="3" t="s">
        <v>705</v>
      </c>
      <c r="C971" s="3">
        <v>44377</v>
      </c>
      <c r="D971" s="3" t="s">
        <v>521</v>
      </c>
      <c r="E971" s="3" t="s">
        <v>508</v>
      </c>
      <c r="F971" s="3" t="s">
        <v>508</v>
      </c>
      <c r="G971" s="70" t="s">
        <v>619</v>
      </c>
      <c r="H971" s="3" t="s">
        <v>522</v>
      </c>
      <c r="I971" s="3" t="s">
        <v>339</v>
      </c>
      <c r="J971" s="3">
        <v>905</v>
      </c>
      <c r="K971" s="3">
        <v>1500</v>
      </c>
      <c r="L971" s="3">
        <v>1915</v>
      </c>
      <c r="M971" s="3">
        <v>496</v>
      </c>
      <c r="N971" s="3">
        <v>490</v>
      </c>
      <c r="O971" s="70">
        <v>6</v>
      </c>
      <c r="P971" s="3">
        <v>0</v>
      </c>
      <c r="Q971" s="3">
        <v>0</v>
      </c>
      <c r="R971" s="3">
        <v>0.246008</v>
      </c>
      <c r="S971" s="3">
        <v>1.48</v>
      </c>
      <c r="T971" s="3">
        <v>122.02</v>
      </c>
      <c r="U971" s="3">
        <v>120.54</v>
      </c>
      <c r="V971" s="70" t="s">
        <v>643</v>
      </c>
      <c r="W971" s="3" t="s">
        <v>343</v>
      </c>
      <c r="X971" s="3" t="s">
        <v>508</v>
      </c>
      <c r="Y971" s="3" t="s">
        <v>508</v>
      </c>
    </row>
    <row r="972" spans="1:25" hidden="1" x14ac:dyDescent="0.2">
      <c r="A972" s="83" t="str">
        <f t="shared" si="15"/>
        <v>郑州西悦城黑椒鸡块原材料</v>
      </c>
      <c r="B972" s="3" t="s">
        <v>708</v>
      </c>
      <c r="C972" s="3">
        <v>44377</v>
      </c>
      <c r="D972" s="3" t="s">
        <v>521</v>
      </c>
      <c r="E972" s="3" t="s">
        <v>508</v>
      </c>
      <c r="F972" s="3" t="s">
        <v>508</v>
      </c>
      <c r="G972" s="70" t="s">
        <v>619</v>
      </c>
      <c r="H972" s="3" t="s">
        <v>522</v>
      </c>
      <c r="I972" s="3" t="s">
        <v>339</v>
      </c>
      <c r="J972" s="3">
        <v>600</v>
      </c>
      <c r="K972" s="3">
        <v>6750</v>
      </c>
      <c r="L972" s="3">
        <v>6825</v>
      </c>
      <c r="M972" s="3">
        <v>500</v>
      </c>
      <c r="N972" s="3">
        <v>525</v>
      </c>
      <c r="O972" s="70">
        <v>-25</v>
      </c>
      <c r="P972" s="3">
        <v>0</v>
      </c>
      <c r="Q972" s="3">
        <v>0</v>
      </c>
      <c r="R972" s="3">
        <v>0.246</v>
      </c>
      <c r="S972" s="3">
        <v>-6.15</v>
      </c>
      <c r="T972" s="3">
        <v>123</v>
      </c>
      <c r="U972" s="3">
        <v>129.15</v>
      </c>
      <c r="V972" s="70" t="s">
        <v>332</v>
      </c>
      <c r="W972" s="3" t="s">
        <v>343</v>
      </c>
      <c r="X972" s="3" t="s">
        <v>508</v>
      </c>
      <c r="Y972" s="3" t="s">
        <v>508</v>
      </c>
    </row>
    <row r="973" spans="1:25" hidden="1" x14ac:dyDescent="0.2">
      <c r="A973" s="83" t="str">
        <f t="shared" si="15"/>
        <v>郑州铁英街黑椒鸡块原材料</v>
      </c>
      <c r="B973" s="3" t="s">
        <v>707</v>
      </c>
      <c r="C973" s="3">
        <v>44377</v>
      </c>
      <c r="D973" s="3" t="s">
        <v>521</v>
      </c>
      <c r="E973" s="3" t="s">
        <v>508</v>
      </c>
      <c r="F973" s="3" t="s">
        <v>508</v>
      </c>
      <c r="G973" s="70" t="s">
        <v>619</v>
      </c>
      <c r="H973" s="3" t="s">
        <v>522</v>
      </c>
      <c r="I973" s="3" t="s">
        <v>339</v>
      </c>
      <c r="J973" s="3">
        <v>795</v>
      </c>
      <c r="K973" s="3">
        <v>3750</v>
      </c>
      <c r="L973" s="3">
        <v>3440</v>
      </c>
      <c r="M973" s="3">
        <v>1100</v>
      </c>
      <c r="N973" s="3">
        <v>1105</v>
      </c>
      <c r="O973" s="70">
        <v>-5</v>
      </c>
      <c r="P973" s="3">
        <v>0</v>
      </c>
      <c r="Q973" s="3">
        <v>0</v>
      </c>
      <c r="R973" s="3">
        <v>0.246</v>
      </c>
      <c r="S973" s="3">
        <v>-1.23</v>
      </c>
      <c r="T973" s="3">
        <v>270.60000000000002</v>
      </c>
      <c r="U973" s="3">
        <v>271.83</v>
      </c>
      <c r="V973" s="70" t="s">
        <v>592</v>
      </c>
      <c r="W973" s="3" t="s">
        <v>343</v>
      </c>
      <c r="X973" s="3" t="s">
        <v>508</v>
      </c>
      <c r="Y973" s="3" t="s">
        <v>508</v>
      </c>
    </row>
    <row r="974" spans="1:25" hidden="1" x14ac:dyDescent="0.2">
      <c r="A974" s="83" t="str">
        <f t="shared" si="15"/>
        <v>郑州康复中街黑椒鸡块原材料</v>
      </c>
      <c r="B974" s="3" t="s">
        <v>704</v>
      </c>
      <c r="C974" s="3">
        <v>44377</v>
      </c>
      <c r="D974" s="3" t="s">
        <v>521</v>
      </c>
      <c r="E974" s="3" t="s">
        <v>508</v>
      </c>
      <c r="F974" s="3" t="s">
        <v>508</v>
      </c>
      <c r="G974" s="70" t="s">
        <v>619</v>
      </c>
      <c r="H974" s="3" t="s">
        <v>522</v>
      </c>
      <c r="I974" s="3" t="s">
        <v>339</v>
      </c>
      <c r="J974" s="3">
        <v>427</v>
      </c>
      <c r="K974" s="3">
        <v>6750</v>
      </c>
      <c r="L974" s="3">
        <v>6410</v>
      </c>
      <c r="M974" s="3">
        <v>683</v>
      </c>
      <c r="N974" s="3">
        <v>767</v>
      </c>
      <c r="O974" s="70">
        <v>-84</v>
      </c>
      <c r="P974" s="3">
        <v>0</v>
      </c>
      <c r="Q974" s="3">
        <v>0</v>
      </c>
      <c r="R974" s="3">
        <v>0.246003</v>
      </c>
      <c r="S974" s="3">
        <v>-20.66</v>
      </c>
      <c r="T974" s="3">
        <v>168.02</v>
      </c>
      <c r="U974" s="3">
        <v>188.68</v>
      </c>
      <c r="V974" s="70" t="s">
        <v>593</v>
      </c>
      <c r="W974" s="3" t="s">
        <v>343</v>
      </c>
      <c r="X974" s="3" t="s">
        <v>508</v>
      </c>
      <c r="Y974" s="3" t="s">
        <v>508</v>
      </c>
    </row>
    <row r="975" spans="1:25" hidden="1" x14ac:dyDescent="0.2">
      <c r="A975" s="83" t="str">
        <f t="shared" si="15"/>
        <v>新蔡水韵天街黑椒鸡块原材料</v>
      </c>
      <c r="B975" s="3" t="s">
        <v>703</v>
      </c>
      <c r="C975" s="3">
        <v>44377</v>
      </c>
      <c r="D975" s="3" t="s">
        <v>521</v>
      </c>
      <c r="E975" s="3" t="s">
        <v>508</v>
      </c>
      <c r="F975" s="3" t="s">
        <v>508</v>
      </c>
      <c r="G975" s="70" t="s">
        <v>619</v>
      </c>
      <c r="H975" s="3" t="s">
        <v>522</v>
      </c>
      <c r="I975" s="3" t="s">
        <v>339</v>
      </c>
      <c r="J975" s="3">
        <v>1190</v>
      </c>
      <c r="K975" s="3">
        <v>3750</v>
      </c>
      <c r="L975" s="3">
        <v>4100</v>
      </c>
      <c r="M975" s="3">
        <v>840</v>
      </c>
      <c r="N975" s="3">
        <v>840</v>
      </c>
      <c r="O975" s="70">
        <v>0</v>
      </c>
      <c r="P975" s="3">
        <v>0</v>
      </c>
      <c r="Q975" s="3">
        <v>0</v>
      </c>
      <c r="R975" s="3">
        <v>0.246</v>
      </c>
      <c r="S975" s="3">
        <v>0</v>
      </c>
      <c r="T975" s="3">
        <v>206.64</v>
      </c>
      <c r="U975" s="3">
        <v>206.64</v>
      </c>
      <c r="V975" s="70" t="s">
        <v>335</v>
      </c>
      <c r="W975" s="3" t="s">
        <v>343</v>
      </c>
      <c r="X975" s="3" t="s">
        <v>508</v>
      </c>
      <c r="Y975" s="3" t="s">
        <v>508</v>
      </c>
    </row>
    <row r="976" spans="1:25" hidden="1" x14ac:dyDescent="0.2">
      <c r="A976" s="83" t="str">
        <f t="shared" si="15"/>
        <v>新蔡水韵天街山东肉丁</v>
      </c>
      <c r="B976" s="3" t="s">
        <v>703</v>
      </c>
      <c r="C976" s="3">
        <v>44377</v>
      </c>
      <c r="D976" s="3" t="s">
        <v>523</v>
      </c>
      <c r="E976" s="3" t="s">
        <v>508</v>
      </c>
      <c r="F976" s="3" t="s">
        <v>508</v>
      </c>
      <c r="G976" s="70" t="s">
        <v>5</v>
      </c>
      <c r="H976" s="3" t="s">
        <v>370</v>
      </c>
      <c r="I976" s="3" t="s">
        <v>89</v>
      </c>
      <c r="J976" s="3">
        <v>25800</v>
      </c>
      <c r="K976" s="3">
        <v>48000</v>
      </c>
      <c r="L976" s="3">
        <v>56440.800000000003</v>
      </c>
      <c r="M976" s="3">
        <v>17000</v>
      </c>
      <c r="N976" s="3">
        <v>17359.2</v>
      </c>
      <c r="O976" s="70">
        <v>-359.2</v>
      </c>
      <c r="P976" s="3">
        <v>0</v>
      </c>
      <c r="Q976" s="3">
        <v>0</v>
      </c>
      <c r="R976" s="3">
        <v>1.5228999999999999E-2</v>
      </c>
      <c r="S976" s="3">
        <v>-5.47</v>
      </c>
      <c r="T976" s="3">
        <v>258.89999999999998</v>
      </c>
      <c r="U976" s="3">
        <v>264.36</v>
      </c>
      <c r="V976" s="70" t="s">
        <v>335</v>
      </c>
      <c r="W976" s="3" t="s">
        <v>343</v>
      </c>
      <c r="X976" s="3" t="s">
        <v>508</v>
      </c>
      <c r="Y976" s="3" t="s">
        <v>508</v>
      </c>
    </row>
    <row r="977" spans="1:25" hidden="1" x14ac:dyDescent="0.2">
      <c r="A977" s="83" t="str">
        <f t="shared" si="15"/>
        <v>郑州康复中街山东肉丁</v>
      </c>
      <c r="B977" s="3" t="s">
        <v>704</v>
      </c>
      <c r="C977" s="3">
        <v>44377</v>
      </c>
      <c r="D977" s="3" t="s">
        <v>523</v>
      </c>
      <c r="E977" s="3" t="s">
        <v>508</v>
      </c>
      <c r="F977" s="3" t="s">
        <v>508</v>
      </c>
      <c r="G977" s="70" t="s">
        <v>5</v>
      </c>
      <c r="H977" s="3" t="s">
        <v>370</v>
      </c>
      <c r="I977" s="3" t="s">
        <v>89</v>
      </c>
      <c r="J977" s="3">
        <v>1200</v>
      </c>
      <c r="K977" s="3">
        <v>144000</v>
      </c>
      <c r="L977" s="3">
        <v>121832.1</v>
      </c>
      <c r="M977" s="3">
        <v>23367</v>
      </c>
      <c r="N977" s="3">
        <v>23367.9</v>
      </c>
      <c r="O977" s="70">
        <v>-0.9</v>
      </c>
      <c r="P977" s="3">
        <v>0</v>
      </c>
      <c r="Q977" s="3">
        <v>0</v>
      </c>
      <c r="R977" s="3">
        <v>1.5200999999999999E-2</v>
      </c>
      <c r="S977" s="3">
        <v>-0.01</v>
      </c>
      <c r="T977" s="3">
        <v>355.2</v>
      </c>
      <c r="U977" s="3">
        <v>355.22</v>
      </c>
      <c r="V977" s="70" t="s">
        <v>593</v>
      </c>
      <c r="W977" s="3" t="s">
        <v>343</v>
      </c>
      <c r="X977" s="3" t="s">
        <v>508</v>
      </c>
      <c r="Y977" s="3" t="s">
        <v>508</v>
      </c>
    </row>
    <row r="978" spans="1:25" hidden="1" x14ac:dyDescent="0.2">
      <c r="A978" s="83" t="str">
        <f t="shared" si="15"/>
        <v>郑州铁英街山东肉丁</v>
      </c>
      <c r="B978" s="3" t="s">
        <v>707</v>
      </c>
      <c r="C978" s="3">
        <v>44377</v>
      </c>
      <c r="D978" s="3" t="s">
        <v>523</v>
      </c>
      <c r="E978" s="3" t="s">
        <v>508</v>
      </c>
      <c r="F978" s="3" t="s">
        <v>508</v>
      </c>
      <c r="G978" s="70" t="s">
        <v>5</v>
      </c>
      <c r="H978" s="3" t="s">
        <v>370</v>
      </c>
      <c r="I978" s="3" t="s">
        <v>89</v>
      </c>
      <c r="J978" s="3">
        <v>100</v>
      </c>
      <c r="K978" s="3">
        <v>96000</v>
      </c>
      <c r="L978" s="3">
        <v>84977.1</v>
      </c>
      <c r="M978" s="3">
        <v>11500</v>
      </c>
      <c r="N978" s="3">
        <v>11122.9</v>
      </c>
      <c r="O978" s="70">
        <v>377.1</v>
      </c>
      <c r="P978" s="3">
        <v>0</v>
      </c>
      <c r="Q978" s="3">
        <v>0</v>
      </c>
      <c r="R978" s="3">
        <v>1.5200999999999999E-2</v>
      </c>
      <c r="S978" s="3">
        <v>5.73</v>
      </c>
      <c r="T978" s="3">
        <v>174.81</v>
      </c>
      <c r="U978" s="3">
        <v>169.08</v>
      </c>
      <c r="V978" s="70" t="s">
        <v>592</v>
      </c>
      <c r="W978" s="3" t="s">
        <v>343</v>
      </c>
      <c r="X978" s="3" t="s">
        <v>508</v>
      </c>
      <c r="Y978" s="3" t="s">
        <v>508</v>
      </c>
    </row>
    <row r="979" spans="1:25" hidden="1" x14ac:dyDescent="0.2">
      <c r="A979" s="83" t="str">
        <f t="shared" si="15"/>
        <v>郑州西悦城山东肉丁</v>
      </c>
      <c r="B979" s="3" t="s">
        <v>708</v>
      </c>
      <c r="C979" s="3">
        <v>44377</v>
      </c>
      <c r="D979" s="3" t="s">
        <v>523</v>
      </c>
      <c r="E979" s="3" t="s">
        <v>508</v>
      </c>
      <c r="F979" s="3" t="s">
        <v>508</v>
      </c>
      <c r="G979" s="70" t="s">
        <v>5</v>
      </c>
      <c r="H979" s="3" t="s">
        <v>370</v>
      </c>
      <c r="I979" s="3" t="s">
        <v>89</v>
      </c>
      <c r="J979" s="3">
        <v>13000</v>
      </c>
      <c r="K979" s="3">
        <v>120000</v>
      </c>
      <c r="L979" s="3">
        <v>117198.9</v>
      </c>
      <c r="M979" s="3">
        <v>16000</v>
      </c>
      <c r="N979" s="3">
        <v>15801.1</v>
      </c>
      <c r="O979" s="70">
        <v>198.9</v>
      </c>
      <c r="P979" s="3">
        <v>0</v>
      </c>
      <c r="Q979" s="3">
        <v>0</v>
      </c>
      <c r="R979" s="3">
        <v>1.5216E-2</v>
      </c>
      <c r="S979" s="3">
        <v>3.03</v>
      </c>
      <c r="T979" s="3">
        <v>243.45</v>
      </c>
      <c r="U979" s="3">
        <v>240.43</v>
      </c>
      <c r="V979" s="70" t="s">
        <v>332</v>
      </c>
      <c r="W979" s="3" t="s">
        <v>343</v>
      </c>
      <c r="X979" s="3" t="s">
        <v>508</v>
      </c>
      <c r="Y979" s="3" t="s">
        <v>508</v>
      </c>
    </row>
    <row r="980" spans="1:25" hidden="1" x14ac:dyDescent="0.2">
      <c r="A980" s="83" t="str">
        <f t="shared" si="15"/>
        <v>华山龙源山东肉丁</v>
      </c>
      <c r="B980" s="3" t="s">
        <v>705</v>
      </c>
      <c r="C980" s="3">
        <v>44377</v>
      </c>
      <c r="D980" s="3" t="s">
        <v>523</v>
      </c>
      <c r="E980" s="3" t="s">
        <v>508</v>
      </c>
      <c r="F980" s="3" t="s">
        <v>508</v>
      </c>
      <c r="G980" s="70" t="s">
        <v>5</v>
      </c>
      <c r="H980" s="3" t="s">
        <v>370</v>
      </c>
      <c r="I980" s="3" t="s">
        <v>89</v>
      </c>
      <c r="J980" s="3">
        <v>1300</v>
      </c>
      <c r="K980" s="3">
        <v>36000</v>
      </c>
      <c r="L980" s="3">
        <v>39908.699999999997</v>
      </c>
      <c r="M980" s="3">
        <v>0</v>
      </c>
      <c r="N980" s="3">
        <v>-2608.6999999999998</v>
      </c>
      <c r="O980" s="70">
        <v>2608.6999999999998</v>
      </c>
      <c r="P980" s="3">
        <v>0</v>
      </c>
      <c r="Q980" s="3">
        <v>0</v>
      </c>
      <c r="R980" s="3">
        <v>1.5212E-2</v>
      </c>
      <c r="S980" s="3">
        <v>39.68</v>
      </c>
      <c r="T980" s="3">
        <v>0</v>
      </c>
      <c r="U980" s="3">
        <v>-39.68</v>
      </c>
      <c r="V980" s="70" t="s">
        <v>643</v>
      </c>
      <c r="W980" s="3" t="s">
        <v>343</v>
      </c>
      <c r="X980" s="3" t="s">
        <v>508</v>
      </c>
      <c r="Y980" s="3" t="s">
        <v>508</v>
      </c>
    </row>
    <row r="981" spans="1:25" hidden="1" x14ac:dyDescent="0.2">
      <c r="A981" s="83" t="str">
        <f t="shared" si="15"/>
        <v>郑州瀚海海尚山东肉丁</v>
      </c>
      <c r="B981" s="3" t="s">
        <v>706</v>
      </c>
      <c r="C981" s="3">
        <v>44377</v>
      </c>
      <c r="D981" s="3" t="s">
        <v>523</v>
      </c>
      <c r="E981" s="3" t="s">
        <v>508</v>
      </c>
      <c r="F981" s="3" t="s">
        <v>508</v>
      </c>
      <c r="G981" s="70" t="s">
        <v>5</v>
      </c>
      <c r="H981" s="3" t="s">
        <v>370</v>
      </c>
      <c r="I981" s="3" t="s">
        <v>89</v>
      </c>
      <c r="J981" s="3">
        <v>10000</v>
      </c>
      <c r="K981" s="3">
        <v>96000</v>
      </c>
      <c r="L981" s="3">
        <v>90768.6</v>
      </c>
      <c r="M981" s="3">
        <v>16000</v>
      </c>
      <c r="N981" s="3">
        <v>15231.4</v>
      </c>
      <c r="O981" s="70">
        <v>768.6</v>
      </c>
      <c r="P981" s="3">
        <v>0</v>
      </c>
      <c r="Q981" s="3">
        <v>0</v>
      </c>
      <c r="R981" s="3">
        <v>1.5204000000000001E-2</v>
      </c>
      <c r="S981" s="3">
        <v>11.69</v>
      </c>
      <c r="T981" s="3">
        <v>243.26</v>
      </c>
      <c r="U981" s="3">
        <v>231.58</v>
      </c>
      <c r="V981" s="70" t="s">
        <v>333</v>
      </c>
      <c r="W981" s="3" t="s">
        <v>343</v>
      </c>
      <c r="X981" s="3" t="s">
        <v>508</v>
      </c>
      <c r="Y981" s="3" t="s">
        <v>508</v>
      </c>
    </row>
    <row r="982" spans="1:25" hidden="1" x14ac:dyDescent="0.2">
      <c r="A982" s="83" t="str">
        <f t="shared" si="15"/>
        <v>方城锦城国际山东肉丁</v>
      </c>
      <c r="B982" s="3" t="s">
        <v>712</v>
      </c>
      <c r="C982" s="3">
        <v>44377</v>
      </c>
      <c r="D982" s="3" t="s">
        <v>523</v>
      </c>
      <c r="E982" s="3" t="s">
        <v>508</v>
      </c>
      <c r="F982" s="3" t="s">
        <v>508</v>
      </c>
      <c r="G982" s="70" t="s">
        <v>5</v>
      </c>
      <c r="H982" s="3" t="s">
        <v>370</v>
      </c>
      <c r="I982" s="3" t="s">
        <v>89</v>
      </c>
      <c r="J982" s="3">
        <v>0</v>
      </c>
      <c r="K982" s="3">
        <v>84000</v>
      </c>
      <c r="L982" s="3">
        <v>85608.9</v>
      </c>
      <c r="M982" s="3">
        <v>0</v>
      </c>
      <c r="N982" s="3">
        <v>-1608.9</v>
      </c>
      <c r="O982" s="70">
        <v>1608.9</v>
      </c>
      <c r="P982" s="3">
        <v>0</v>
      </c>
      <c r="Q982" s="3">
        <v>0</v>
      </c>
      <c r="R982" s="3">
        <v>1.52E-2</v>
      </c>
      <c r="S982" s="3">
        <v>24.46</v>
      </c>
      <c r="T982" s="3">
        <v>0</v>
      </c>
      <c r="U982" s="3">
        <v>-24.46</v>
      </c>
      <c r="V982" s="70" t="s">
        <v>594</v>
      </c>
      <c r="W982" s="3" t="s">
        <v>343</v>
      </c>
      <c r="X982" s="3" t="s">
        <v>508</v>
      </c>
      <c r="Y982" s="3" t="s">
        <v>508</v>
      </c>
    </row>
    <row r="983" spans="1:25" hidden="1" x14ac:dyDescent="0.2">
      <c r="A983" s="83" t="str">
        <f t="shared" si="15"/>
        <v>清丰凤鸣山东肉丁</v>
      </c>
      <c r="B983" s="3" t="s">
        <v>713</v>
      </c>
      <c r="C983" s="3">
        <v>44377</v>
      </c>
      <c r="D983" s="3" t="s">
        <v>523</v>
      </c>
      <c r="E983" s="3" t="s">
        <v>508</v>
      </c>
      <c r="F983" s="3" t="s">
        <v>508</v>
      </c>
      <c r="G983" s="70" t="s">
        <v>5</v>
      </c>
      <c r="H983" s="3" t="s">
        <v>370</v>
      </c>
      <c r="I983" s="3" t="s">
        <v>89</v>
      </c>
      <c r="J983" s="3">
        <v>0</v>
      </c>
      <c r="K983" s="3">
        <v>48000</v>
      </c>
      <c r="L983" s="3">
        <v>40540.5</v>
      </c>
      <c r="M983" s="3">
        <v>8200</v>
      </c>
      <c r="N983" s="3">
        <v>7459.5</v>
      </c>
      <c r="O983" s="70">
        <v>740.5</v>
      </c>
      <c r="P983" s="3">
        <v>0</v>
      </c>
      <c r="Q983" s="3">
        <v>0</v>
      </c>
      <c r="R983" s="3">
        <v>1.5204000000000001E-2</v>
      </c>
      <c r="S983" s="3">
        <v>11.26</v>
      </c>
      <c r="T983" s="3">
        <v>124.67</v>
      </c>
      <c r="U983" s="3">
        <v>113.41</v>
      </c>
      <c r="V983" s="70" t="s">
        <v>334</v>
      </c>
      <c r="W983" s="3" t="s">
        <v>343</v>
      </c>
      <c r="X983" s="3" t="s">
        <v>508</v>
      </c>
      <c r="Y983" s="3" t="s">
        <v>508</v>
      </c>
    </row>
    <row r="984" spans="1:25" hidden="1" x14ac:dyDescent="0.2">
      <c r="A984" s="83" t="str">
        <f t="shared" si="15"/>
        <v>郑州裕华山东肉丁</v>
      </c>
      <c r="B984" s="3" t="s">
        <v>711</v>
      </c>
      <c r="C984" s="3">
        <v>44377</v>
      </c>
      <c r="D984" s="3" t="s">
        <v>523</v>
      </c>
      <c r="E984" s="3" t="s">
        <v>508</v>
      </c>
      <c r="F984" s="3" t="s">
        <v>508</v>
      </c>
      <c r="G984" s="70" t="s">
        <v>5</v>
      </c>
      <c r="H984" s="3" t="s">
        <v>370</v>
      </c>
      <c r="I984" s="3" t="s">
        <v>89</v>
      </c>
      <c r="J984" s="3">
        <v>27700</v>
      </c>
      <c r="K984" s="3">
        <v>84000</v>
      </c>
      <c r="L984" s="3">
        <v>53597.7</v>
      </c>
      <c r="M984" s="3">
        <v>58000</v>
      </c>
      <c r="N984" s="3">
        <v>58102.3</v>
      </c>
      <c r="O984" s="70">
        <v>-102.3</v>
      </c>
      <c r="P984" s="3">
        <v>0</v>
      </c>
      <c r="Q984" s="3">
        <v>0</v>
      </c>
      <c r="R984" s="3">
        <v>1.5273999999999999E-2</v>
      </c>
      <c r="S984" s="3">
        <v>-1.56</v>
      </c>
      <c r="T984" s="3">
        <v>885.92</v>
      </c>
      <c r="U984" s="3">
        <v>887.45</v>
      </c>
      <c r="V984" s="70" t="s">
        <v>641</v>
      </c>
      <c r="W984" s="3" t="s">
        <v>343</v>
      </c>
      <c r="X984" s="3" t="s">
        <v>508</v>
      </c>
      <c r="Y984" s="3" t="s">
        <v>508</v>
      </c>
    </row>
    <row r="985" spans="1:25" hidden="1" x14ac:dyDescent="0.2">
      <c r="A985" s="83" t="str">
        <f t="shared" si="15"/>
        <v>郑州盛华里山东肉丁</v>
      </c>
      <c r="B985" s="3" t="s">
        <v>709</v>
      </c>
      <c r="C985" s="3">
        <v>44377</v>
      </c>
      <c r="D985" s="3" t="s">
        <v>523</v>
      </c>
      <c r="E985" s="3" t="s">
        <v>508</v>
      </c>
      <c r="F985" s="3" t="s">
        <v>508</v>
      </c>
      <c r="G985" s="70" t="s">
        <v>5</v>
      </c>
      <c r="H985" s="3" t="s">
        <v>370</v>
      </c>
      <c r="I985" s="3" t="s">
        <v>89</v>
      </c>
      <c r="J985" s="3">
        <v>24000</v>
      </c>
      <c r="K985" s="3">
        <v>48000</v>
      </c>
      <c r="L985" s="3">
        <v>39698.1</v>
      </c>
      <c r="M985" s="3">
        <v>32000</v>
      </c>
      <c r="N985" s="3">
        <v>32301.9</v>
      </c>
      <c r="O985" s="70">
        <v>-301.89999999999998</v>
      </c>
      <c r="P985" s="3">
        <v>0</v>
      </c>
      <c r="Q985" s="3">
        <v>0</v>
      </c>
      <c r="R985" s="3">
        <v>1.5299999999999999E-2</v>
      </c>
      <c r="S985" s="3">
        <v>-4.62</v>
      </c>
      <c r="T985" s="3">
        <v>489.61</v>
      </c>
      <c r="U985" s="3">
        <v>494.22</v>
      </c>
      <c r="V985" s="70" t="s">
        <v>637</v>
      </c>
      <c r="W985" s="3" t="s">
        <v>343</v>
      </c>
      <c r="X985" s="3" t="s">
        <v>508</v>
      </c>
      <c r="Y985" s="3" t="s">
        <v>508</v>
      </c>
    </row>
    <row r="986" spans="1:25" hidden="1" x14ac:dyDescent="0.2">
      <c r="A986" s="83" t="str">
        <f t="shared" si="15"/>
        <v>滑县滑台山东肉丁</v>
      </c>
      <c r="B986" s="3" t="s">
        <v>710</v>
      </c>
      <c r="C986" s="3">
        <v>44377</v>
      </c>
      <c r="D986" s="3" t="s">
        <v>523</v>
      </c>
      <c r="E986" s="3" t="s">
        <v>508</v>
      </c>
      <c r="F986" s="3" t="s">
        <v>508</v>
      </c>
      <c r="G986" s="70" t="s">
        <v>5</v>
      </c>
      <c r="H986" s="3" t="s">
        <v>370</v>
      </c>
      <c r="I986" s="3" t="s">
        <v>89</v>
      </c>
      <c r="J986" s="3">
        <v>12000</v>
      </c>
      <c r="K986" s="3">
        <v>96000</v>
      </c>
      <c r="L986" s="3">
        <v>72235.8</v>
      </c>
      <c r="M986" s="3">
        <v>36000</v>
      </c>
      <c r="N986" s="3">
        <v>35764.199999999997</v>
      </c>
      <c r="O986" s="70">
        <v>235.8</v>
      </c>
      <c r="P986" s="3">
        <v>0</v>
      </c>
      <c r="Q986" s="3">
        <v>0</v>
      </c>
      <c r="R986" s="3">
        <v>1.5233999999999999E-2</v>
      </c>
      <c r="S986" s="3">
        <v>3.59</v>
      </c>
      <c r="T986" s="3">
        <v>548.41</v>
      </c>
      <c r="U986" s="3">
        <v>544.83000000000004</v>
      </c>
      <c r="V986" s="70" t="s">
        <v>639</v>
      </c>
      <c r="W986" s="3" t="s">
        <v>343</v>
      </c>
      <c r="X986" s="3" t="s">
        <v>508</v>
      </c>
      <c r="Y986" s="3" t="s">
        <v>508</v>
      </c>
    </row>
    <row r="987" spans="1:25" hidden="1" x14ac:dyDescent="0.2">
      <c r="A987" s="83" t="str">
        <f t="shared" si="15"/>
        <v>郑州政六街山东肉丁</v>
      </c>
      <c r="B987" s="3" t="s">
        <v>714</v>
      </c>
      <c r="C987" s="3">
        <v>44377</v>
      </c>
      <c r="D987" s="3" t="s">
        <v>523</v>
      </c>
      <c r="E987" s="3" t="s">
        <v>508</v>
      </c>
      <c r="F987" s="3" t="s">
        <v>508</v>
      </c>
      <c r="G987" s="70" t="s">
        <v>5</v>
      </c>
      <c r="H987" s="3" t="s">
        <v>370</v>
      </c>
      <c r="I987" s="3" t="s">
        <v>89</v>
      </c>
      <c r="J987" s="3">
        <v>12442</v>
      </c>
      <c r="K987" s="3">
        <v>110000</v>
      </c>
      <c r="L987" s="3">
        <v>109933.2</v>
      </c>
      <c r="M987" s="3">
        <v>0</v>
      </c>
      <c r="N987" s="3">
        <v>12508.8</v>
      </c>
      <c r="O987" s="70">
        <v>-12508.8</v>
      </c>
      <c r="P987" s="3">
        <v>0</v>
      </c>
      <c r="Q987" s="3">
        <v>0</v>
      </c>
      <c r="R987" s="3">
        <v>1.523E-2</v>
      </c>
      <c r="S987" s="3">
        <v>-190.51</v>
      </c>
      <c r="T987" s="3">
        <v>0</v>
      </c>
      <c r="U987" s="3">
        <v>190.51</v>
      </c>
      <c r="V987" s="70" t="s">
        <v>591</v>
      </c>
      <c r="W987" s="3" t="s">
        <v>343</v>
      </c>
      <c r="X987" s="3" t="s">
        <v>508</v>
      </c>
      <c r="Y987" s="3" t="s">
        <v>508</v>
      </c>
    </row>
    <row r="988" spans="1:25" hidden="1" x14ac:dyDescent="0.2">
      <c r="A988" s="83" t="str">
        <f t="shared" si="15"/>
        <v>郑州政六街西装鸡</v>
      </c>
      <c r="B988" s="3" t="s">
        <v>714</v>
      </c>
      <c r="C988" s="3">
        <v>44377</v>
      </c>
      <c r="D988" s="3" t="s">
        <v>524</v>
      </c>
      <c r="E988" s="3" t="s">
        <v>508</v>
      </c>
      <c r="F988" s="3" t="s">
        <v>508</v>
      </c>
      <c r="G988" s="70" t="s">
        <v>525</v>
      </c>
      <c r="H988" s="3" t="s">
        <v>343</v>
      </c>
      <c r="I988" s="3" t="s">
        <v>526</v>
      </c>
      <c r="J988" s="3">
        <v>26</v>
      </c>
      <c r="K988" s="3">
        <v>342</v>
      </c>
      <c r="L988" s="3">
        <v>348</v>
      </c>
      <c r="M988" s="3">
        <v>0</v>
      </c>
      <c r="N988" s="3">
        <v>-16</v>
      </c>
      <c r="O988" s="70">
        <v>16</v>
      </c>
      <c r="P988" s="3">
        <v>0</v>
      </c>
      <c r="Q988" s="3">
        <v>36</v>
      </c>
      <c r="R988" s="3">
        <v>8.6254620000000006</v>
      </c>
      <c r="S988" s="3">
        <v>138.01</v>
      </c>
      <c r="T988" s="3">
        <v>0</v>
      </c>
      <c r="U988" s="3">
        <v>-138.01</v>
      </c>
      <c r="V988" s="70" t="s">
        <v>591</v>
      </c>
      <c r="W988" s="3" t="s">
        <v>760</v>
      </c>
      <c r="X988" s="3" t="s">
        <v>508</v>
      </c>
      <c r="Y988" s="3" t="s">
        <v>508</v>
      </c>
    </row>
    <row r="989" spans="1:25" hidden="1" x14ac:dyDescent="0.2">
      <c r="A989" s="83" t="str">
        <f t="shared" si="15"/>
        <v>滑县滑台西装鸡</v>
      </c>
      <c r="B989" s="3" t="s">
        <v>710</v>
      </c>
      <c r="C989" s="3">
        <v>44377</v>
      </c>
      <c r="D989" s="3" t="s">
        <v>524</v>
      </c>
      <c r="E989" s="3" t="s">
        <v>508</v>
      </c>
      <c r="F989" s="3" t="s">
        <v>508</v>
      </c>
      <c r="G989" s="70" t="s">
        <v>525</v>
      </c>
      <c r="H989" s="3" t="s">
        <v>343</v>
      </c>
      <c r="I989" s="3" t="s">
        <v>526</v>
      </c>
      <c r="J989" s="3">
        <v>47</v>
      </c>
      <c r="K989" s="3">
        <v>234</v>
      </c>
      <c r="L989" s="3">
        <v>248</v>
      </c>
      <c r="M989" s="3">
        <v>33</v>
      </c>
      <c r="N989" s="3">
        <v>33</v>
      </c>
      <c r="O989" s="70">
        <v>0</v>
      </c>
      <c r="P989" s="3">
        <v>0</v>
      </c>
      <c r="Q989" s="3">
        <v>0</v>
      </c>
      <c r="R989" s="3">
        <v>8.3387879999999992</v>
      </c>
      <c r="S989" s="3">
        <v>0</v>
      </c>
      <c r="T989" s="3">
        <v>275.18</v>
      </c>
      <c r="U989" s="3">
        <v>275.18</v>
      </c>
      <c r="V989" s="70" t="s">
        <v>639</v>
      </c>
      <c r="W989" s="3" t="s">
        <v>343</v>
      </c>
      <c r="X989" s="3" t="s">
        <v>508</v>
      </c>
      <c r="Y989" s="3" t="s">
        <v>508</v>
      </c>
    </row>
    <row r="990" spans="1:25" hidden="1" x14ac:dyDescent="0.2">
      <c r="A990" s="83" t="str">
        <f t="shared" si="15"/>
        <v>郑州盛华里西装鸡</v>
      </c>
      <c r="B990" s="3" t="s">
        <v>709</v>
      </c>
      <c r="C990" s="3">
        <v>44377</v>
      </c>
      <c r="D990" s="3" t="s">
        <v>524</v>
      </c>
      <c r="E990" s="3" t="s">
        <v>508</v>
      </c>
      <c r="F990" s="3" t="s">
        <v>508</v>
      </c>
      <c r="G990" s="70" t="s">
        <v>525</v>
      </c>
      <c r="H990" s="3" t="s">
        <v>343</v>
      </c>
      <c r="I990" s="3" t="s">
        <v>526</v>
      </c>
      <c r="J990" s="3">
        <v>8</v>
      </c>
      <c r="K990" s="3">
        <v>216</v>
      </c>
      <c r="L990" s="3">
        <v>98</v>
      </c>
      <c r="M990" s="3">
        <v>126</v>
      </c>
      <c r="N990" s="3">
        <v>126</v>
      </c>
      <c r="O990" s="70">
        <v>0</v>
      </c>
      <c r="P990" s="3">
        <v>0</v>
      </c>
      <c r="Q990" s="3">
        <v>0</v>
      </c>
      <c r="R990" s="3">
        <v>8.2314290000000003</v>
      </c>
      <c r="S990" s="3">
        <v>0</v>
      </c>
      <c r="T990" s="3">
        <v>1037.1600000000001</v>
      </c>
      <c r="U990" s="3">
        <v>1037.1600000000001</v>
      </c>
      <c r="V990" s="70" t="s">
        <v>637</v>
      </c>
      <c r="W990" s="3" t="s">
        <v>343</v>
      </c>
      <c r="X990" s="3" t="s">
        <v>508</v>
      </c>
      <c r="Y990" s="3" t="s">
        <v>508</v>
      </c>
    </row>
    <row r="991" spans="1:25" hidden="1" x14ac:dyDescent="0.2">
      <c r="A991" s="83" t="str">
        <f t="shared" si="15"/>
        <v>郑州裕华西装鸡</v>
      </c>
      <c r="B991" s="3" t="s">
        <v>711</v>
      </c>
      <c r="C991" s="3">
        <v>44377</v>
      </c>
      <c r="D991" s="3" t="s">
        <v>524</v>
      </c>
      <c r="E991" s="3" t="s">
        <v>508</v>
      </c>
      <c r="F991" s="3" t="s">
        <v>508</v>
      </c>
      <c r="G991" s="70" t="s">
        <v>525</v>
      </c>
      <c r="H991" s="3" t="s">
        <v>343</v>
      </c>
      <c r="I991" s="3" t="s">
        <v>526</v>
      </c>
      <c r="J991" s="3">
        <v>32</v>
      </c>
      <c r="K991" s="3">
        <v>144</v>
      </c>
      <c r="L991" s="3">
        <v>153</v>
      </c>
      <c r="M991" s="3">
        <v>0</v>
      </c>
      <c r="N991" s="3">
        <v>23</v>
      </c>
      <c r="O991" s="70">
        <v>-23</v>
      </c>
      <c r="P991" s="3">
        <v>0</v>
      </c>
      <c r="Q991" s="3">
        <v>0</v>
      </c>
      <c r="R991" s="3">
        <v>8.6131820000000001</v>
      </c>
      <c r="S991" s="3">
        <v>-198.1</v>
      </c>
      <c r="T991" s="3">
        <v>0</v>
      </c>
      <c r="U991" s="3">
        <v>198.1</v>
      </c>
      <c r="V991" s="70" t="s">
        <v>641</v>
      </c>
      <c r="W991" s="3" t="s">
        <v>343</v>
      </c>
      <c r="X991" s="3" t="s">
        <v>508</v>
      </c>
      <c r="Y991" s="3" t="s">
        <v>508</v>
      </c>
    </row>
    <row r="992" spans="1:25" hidden="1" x14ac:dyDescent="0.2">
      <c r="A992" s="83" t="str">
        <f t="shared" si="15"/>
        <v>方城锦城国际西装鸡</v>
      </c>
      <c r="B992" s="3" t="s">
        <v>712</v>
      </c>
      <c r="C992" s="3">
        <v>44377</v>
      </c>
      <c r="D992" s="3" t="s">
        <v>524</v>
      </c>
      <c r="E992" s="3" t="s">
        <v>508</v>
      </c>
      <c r="F992" s="3" t="s">
        <v>508</v>
      </c>
      <c r="G992" s="70" t="s">
        <v>525</v>
      </c>
      <c r="H992" s="3" t="s">
        <v>343</v>
      </c>
      <c r="I992" s="3" t="s">
        <v>526</v>
      </c>
      <c r="J992" s="3">
        <v>7</v>
      </c>
      <c r="K992" s="3">
        <v>180</v>
      </c>
      <c r="L992" s="3">
        <v>158</v>
      </c>
      <c r="M992" s="3">
        <v>29</v>
      </c>
      <c r="N992" s="3">
        <v>29</v>
      </c>
      <c r="O992" s="70">
        <v>0</v>
      </c>
      <c r="P992" s="3">
        <v>0</v>
      </c>
      <c r="Q992" s="3">
        <v>0</v>
      </c>
      <c r="R992" s="3">
        <v>8.0841379999999994</v>
      </c>
      <c r="S992" s="3">
        <v>0</v>
      </c>
      <c r="T992" s="3">
        <v>234.44</v>
      </c>
      <c r="U992" s="3">
        <v>234.44</v>
      </c>
      <c r="V992" s="70" t="s">
        <v>594</v>
      </c>
      <c r="W992" s="3" t="s">
        <v>343</v>
      </c>
      <c r="X992" s="3" t="s">
        <v>508</v>
      </c>
      <c r="Y992" s="3" t="s">
        <v>508</v>
      </c>
    </row>
    <row r="993" spans="1:25" hidden="1" x14ac:dyDescent="0.2">
      <c r="A993" s="83" t="str">
        <f t="shared" si="15"/>
        <v>清丰凤鸣西装鸡</v>
      </c>
      <c r="B993" s="3" t="s">
        <v>713</v>
      </c>
      <c r="C993" s="3">
        <v>44377</v>
      </c>
      <c r="D993" s="3" t="s">
        <v>524</v>
      </c>
      <c r="E993" s="3" t="s">
        <v>508</v>
      </c>
      <c r="F993" s="3" t="s">
        <v>508</v>
      </c>
      <c r="G993" s="70" t="s">
        <v>525</v>
      </c>
      <c r="H993" s="3" t="s">
        <v>343</v>
      </c>
      <c r="I993" s="3" t="s">
        <v>526</v>
      </c>
      <c r="J993" s="3">
        <v>44</v>
      </c>
      <c r="K993" s="3">
        <v>126</v>
      </c>
      <c r="L993" s="3">
        <v>125</v>
      </c>
      <c r="M993" s="3">
        <v>45</v>
      </c>
      <c r="N993" s="3">
        <v>45</v>
      </c>
      <c r="O993" s="70">
        <v>0</v>
      </c>
      <c r="P993" s="3">
        <v>0</v>
      </c>
      <c r="Q993" s="3">
        <v>0</v>
      </c>
      <c r="R993" s="3">
        <v>8.5340000000000007</v>
      </c>
      <c r="S993" s="3">
        <v>0</v>
      </c>
      <c r="T993" s="3">
        <v>384.03</v>
      </c>
      <c r="U993" s="3">
        <v>384.03</v>
      </c>
      <c r="V993" s="70" t="s">
        <v>334</v>
      </c>
      <c r="W993" s="3" t="s">
        <v>343</v>
      </c>
      <c r="X993" s="3" t="s">
        <v>508</v>
      </c>
      <c r="Y993" s="3" t="s">
        <v>508</v>
      </c>
    </row>
    <row r="994" spans="1:25" hidden="1" x14ac:dyDescent="0.2">
      <c r="A994" s="83" t="str">
        <f t="shared" si="15"/>
        <v>华山龙源西装鸡</v>
      </c>
      <c r="B994" s="3" t="s">
        <v>705</v>
      </c>
      <c r="C994" s="3">
        <v>44377</v>
      </c>
      <c r="D994" s="3" t="s">
        <v>524</v>
      </c>
      <c r="E994" s="3" t="s">
        <v>508</v>
      </c>
      <c r="F994" s="3" t="s">
        <v>508</v>
      </c>
      <c r="G994" s="70" t="s">
        <v>525</v>
      </c>
      <c r="H994" s="3" t="s">
        <v>343</v>
      </c>
      <c r="I994" s="3" t="s">
        <v>526</v>
      </c>
      <c r="J994" s="3">
        <v>60</v>
      </c>
      <c r="K994" s="3">
        <v>108</v>
      </c>
      <c r="L994" s="3">
        <v>116</v>
      </c>
      <c r="M994" s="3">
        <v>15</v>
      </c>
      <c r="N994" s="3">
        <v>16</v>
      </c>
      <c r="O994" s="70">
        <v>-1</v>
      </c>
      <c r="P994" s="3">
        <v>0</v>
      </c>
      <c r="Q994" s="3">
        <v>36</v>
      </c>
      <c r="R994" s="3">
        <v>8.5459999999999994</v>
      </c>
      <c r="S994" s="3">
        <v>-8.5500000000000007</v>
      </c>
      <c r="T994" s="3">
        <v>128.19</v>
      </c>
      <c r="U994" s="3">
        <v>136.74</v>
      </c>
      <c r="V994" s="70" t="s">
        <v>643</v>
      </c>
      <c r="W994" s="3" t="s">
        <v>761</v>
      </c>
      <c r="X994" s="3" t="s">
        <v>508</v>
      </c>
      <c r="Y994" s="3" t="s">
        <v>508</v>
      </c>
    </row>
    <row r="995" spans="1:25" hidden="1" x14ac:dyDescent="0.2">
      <c r="A995" s="83" t="str">
        <f t="shared" si="15"/>
        <v>郑州瀚海海尚西装鸡</v>
      </c>
      <c r="B995" s="3" t="s">
        <v>706</v>
      </c>
      <c r="C995" s="3">
        <v>44377</v>
      </c>
      <c r="D995" s="3" t="s">
        <v>524</v>
      </c>
      <c r="E995" s="3" t="s">
        <v>508</v>
      </c>
      <c r="F995" s="3" t="s">
        <v>508</v>
      </c>
      <c r="G995" s="70" t="s">
        <v>525</v>
      </c>
      <c r="H995" s="3" t="s">
        <v>343</v>
      </c>
      <c r="I995" s="3" t="s">
        <v>526</v>
      </c>
      <c r="J995" s="3">
        <v>112</v>
      </c>
      <c r="K995" s="3">
        <v>180</v>
      </c>
      <c r="L995" s="3">
        <v>185</v>
      </c>
      <c r="M995" s="3">
        <v>107</v>
      </c>
      <c r="N995" s="3">
        <v>94</v>
      </c>
      <c r="O995" s="70">
        <v>13</v>
      </c>
      <c r="P995" s="3">
        <v>0</v>
      </c>
      <c r="Q995" s="3">
        <v>13</v>
      </c>
      <c r="R995" s="3">
        <v>8.5787849999999999</v>
      </c>
      <c r="S995" s="3">
        <v>111.52</v>
      </c>
      <c r="T995" s="3">
        <v>917.93</v>
      </c>
      <c r="U995" s="3">
        <v>806.41</v>
      </c>
      <c r="V995" s="70" t="s">
        <v>333</v>
      </c>
      <c r="W995" s="3" t="s">
        <v>343</v>
      </c>
      <c r="X995" s="3" t="s">
        <v>508</v>
      </c>
      <c r="Y995" s="3" t="s">
        <v>508</v>
      </c>
    </row>
    <row r="996" spans="1:25" hidden="1" x14ac:dyDescent="0.2">
      <c r="A996" s="83" t="str">
        <f t="shared" si="15"/>
        <v>郑州西悦城西装鸡</v>
      </c>
      <c r="B996" s="3" t="s">
        <v>708</v>
      </c>
      <c r="C996" s="3">
        <v>44377</v>
      </c>
      <c r="D996" s="3" t="s">
        <v>524</v>
      </c>
      <c r="E996" s="3" t="s">
        <v>508</v>
      </c>
      <c r="F996" s="3" t="s">
        <v>508</v>
      </c>
      <c r="G996" s="70" t="s">
        <v>525</v>
      </c>
      <c r="H996" s="3" t="s">
        <v>343</v>
      </c>
      <c r="I996" s="3" t="s">
        <v>526</v>
      </c>
      <c r="J996" s="3">
        <v>25</v>
      </c>
      <c r="K996" s="3">
        <v>468</v>
      </c>
      <c r="L996" s="3">
        <v>437</v>
      </c>
      <c r="M996" s="3">
        <v>55</v>
      </c>
      <c r="N996" s="3">
        <v>56</v>
      </c>
      <c r="O996" s="70">
        <v>-1</v>
      </c>
      <c r="P996" s="3">
        <v>0</v>
      </c>
      <c r="Q996" s="3">
        <v>0</v>
      </c>
      <c r="R996" s="3">
        <v>8.3320000000000007</v>
      </c>
      <c r="S996" s="3">
        <v>-8.33</v>
      </c>
      <c r="T996" s="3">
        <v>458.26</v>
      </c>
      <c r="U996" s="3">
        <v>466.59</v>
      </c>
      <c r="V996" s="70" t="s">
        <v>332</v>
      </c>
      <c r="W996" s="3" t="s">
        <v>343</v>
      </c>
      <c r="X996" s="3" t="s">
        <v>508</v>
      </c>
      <c r="Y996" s="3" t="s">
        <v>508</v>
      </c>
    </row>
    <row r="997" spans="1:25" hidden="1" x14ac:dyDescent="0.2">
      <c r="A997" s="83" t="str">
        <f t="shared" si="15"/>
        <v>郑州铁英街西装鸡</v>
      </c>
      <c r="B997" s="3" t="s">
        <v>707</v>
      </c>
      <c r="C997" s="3">
        <v>44377</v>
      </c>
      <c r="D997" s="3" t="s">
        <v>524</v>
      </c>
      <c r="E997" s="3" t="s">
        <v>508</v>
      </c>
      <c r="F997" s="3" t="s">
        <v>508</v>
      </c>
      <c r="G997" s="70" t="s">
        <v>525</v>
      </c>
      <c r="H997" s="3" t="s">
        <v>343</v>
      </c>
      <c r="I997" s="3" t="s">
        <v>526</v>
      </c>
      <c r="J997" s="3">
        <v>17</v>
      </c>
      <c r="K997" s="3">
        <v>198</v>
      </c>
      <c r="L997" s="3">
        <v>176</v>
      </c>
      <c r="M997" s="3">
        <v>29</v>
      </c>
      <c r="N997" s="3">
        <v>29</v>
      </c>
      <c r="O997" s="70">
        <v>0</v>
      </c>
      <c r="P997" s="3">
        <v>0</v>
      </c>
      <c r="Q997" s="3">
        <v>10</v>
      </c>
      <c r="R997" s="3">
        <v>8.4313789999999997</v>
      </c>
      <c r="S997" s="3">
        <v>0</v>
      </c>
      <c r="T997" s="3">
        <v>244.51</v>
      </c>
      <c r="U997" s="3">
        <v>244.51</v>
      </c>
      <c r="V997" s="70" t="s">
        <v>592</v>
      </c>
      <c r="W997" s="3" t="s">
        <v>343</v>
      </c>
      <c r="X997" s="3" t="s">
        <v>508</v>
      </c>
      <c r="Y997" s="3" t="s">
        <v>508</v>
      </c>
    </row>
    <row r="998" spans="1:25" hidden="1" x14ac:dyDescent="0.2">
      <c r="A998" s="83" t="str">
        <f t="shared" si="15"/>
        <v>郑州康复中街西装鸡</v>
      </c>
      <c r="B998" s="3" t="s">
        <v>704</v>
      </c>
      <c r="C998" s="3">
        <v>44377</v>
      </c>
      <c r="D998" s="3" t="s">
        <v>524</v>
      </c>
      <c r="E998" s="3" t="s">
        <v>508</v>
      </c>
      <c r="F998" s="3" t="s">
        <v>508</v>
      </c>
      <c r="G998" s="70" t="s">
        <v>525</v>
      </c>
      <c r="H998" s="3" t="s">
        <v>343</v>
      </c>
      <c r="I998" s="3" t="s">
        <v>526</v>
      </c>
      <c r="J998" s="3">
        <v>45</v>
      </c>
      <c r="K998" s="3">
        <v>342</v>
      </c>
      <c r="L998" s="3">
        <v>298</v>
      </c>
      <c r="M998" s="3">
        <v>0</v>
      </c>
      <c r="N998" s="3">
        <v>-13</v>
      </c>
      <c r="O998" s="70">
        <v>13</v>
      </c>
      <c r="P998" s="3">
        <v>0</v>
      </c>
      <c r="Q998" s="3">
        <v>102</v>
      </c>
      <c r="R998" s="3">
        <v>8.5459949999999996</v>
      </c>
      <c r="S998" s="3">
        <v>111.1</v>
      </c>
      <c r="T998" s="3">
        <v>0</v>
      </c>
      <c r="U998" s="3">
        <v>-111.1</v>
      </c>
      <c r="V998" s="70" t="s">
        <v>593</v>
      </c>
      <c r="W998" s="3" t="s">
        <v>762</v>
      </c>
      <c r="X998" s="3" t="s">
        <v>508</v>
      </c>
      <c r="Y998" s="3" t="s">
        <v>508</v>
      </c>
    </row>
    <row r="999" spans="1:25" hidden="1" x14ac:dyDescent="0.2">
      <c r="A999" s="83" t="str">
        <f t="shared" si="15"/>
        <v>新蔡水韵天街西装鸡</v>
      </c>
      <c r="B999" s="3" t="s">
        <v>703</v>
      </c>
      <c r="C999" s="3">
        <v>44377</v>
      </c>
      <c r="D999" s="3" t="s">
        <v>524</v>
      </c>
      <c r="E999" s="3" t="s">
        <v>508</v>
      </c>
      <c r="F999" s="3" t="s">
        <v>508</v>
      </c>
      <c r="G999" s="70" t="s">
        <v>525</v>
      </c>
      <c r="H999" s="3" t="s">
        <v>343</v>
      </c>
      <c r="I999" s="3" t="s">
        <v>526</v>
      </c>
      <c r="J999" s="3">
        <v>64</v>
      </c>
      <c r="K999" s="3">
        <v>216</v>
      </c>
      <c r="L999" s="3">
        <v>188</v>
      </c>
      <c r="M999" s="3">
        <v>20</v>
      </c>
      <c r="N999" s="3">
        <v>20</v>
      </c>
      <c r="O999" s="70">
        <v>0</v>
      </c>
      <c r="P999" s="3">
        <v>0</v>
      </c>
      <c r="Q999" s="3">
        <v>72</v>
      </c>
      <c r="R999" s="3">
        <v>8.4969999999999999</v>
      </c>
      <c r="S999" s="3">
        <v>0</v>
      </c>
      <c r="T999" s="3">
        <v>169.94</v>
      </c>
      <c r="U999" s="3">
        <v>169.94</v>
      </c>
      <c r="V999" s="70" t="s">
        <v>335</v>
      </c>
      <c r="W999" s="3" t="s">
        <v>343</v>
      </c>
      <c r="X999" s="3" t="s">
        <v>508</v>
      </c>
      <c r="Y999" s="3" t="s">
        <v>508</v>
      </c>
    </row>
    <row r="1000" spans="1:25" hidden="1" x14ac:dyDescent="0.2">
      <c r="A1000" s="83" t="str">
        <f t="shared" si="15"/>
        <v>新蔡水韵天街门店生菜</v>
      </c>
      <c r="B1000" s="3" t="s">
        <v>703</v>
      </c>
      <c r="C1000" s="3">
        <v>44377</v>
      </c>
      <c r="D1000" s="3" t="s">
        <v>527</v>
      </c>
      <c r="E1000" s="3" t="s">
        <v>508</v>
      </c>
      <c r="F1000" s="3" t="s">
        <v>508</v>
      </c>
      <c r="G1000" s="70" t="s">
        <v>169</v>
      </c>
      <c r="H1000" s="3" t="s">
        <v>343</v>
      </c>
      <c r="I1000" s="3" t="s">
        <v>89</v>
      </c>
      <c r="J1000" s="3">
        <v>22000</v>
      </c>
      <c r="K1000" s="3">
        <v>37500</v>
      </c>
      <c r="L1000" s="3">
        <v>58505.7</v>
      </c>
      <c r="M1000" s="3">
        <v>1000</v>
      </c>
      <c r="N1000" s="3">
        <v>994.3</v>
      </c>
      <c r="O1000" s="70">
        <v>5.7</v>
      </c>
      <c r="P1000" s="3">
        <v>239.87</v>
      </c>
      <c r="Q1000" s="3">
        <v>0</v>
      </c>
      <c r="R1000" s="3">
        <v>7.2399999999999999E-3</v>
      </c>
      <c r="S1000" s="3">
        <v>0.04</v>
      </c>
      <c r="T1000" s="3">
        <v>7.24</v>
      </c>
      <c r="U1000" s="3">
        <v>7.2</v>
      </c>
      <c r="V1000" s="70" t="s">
        <v>335</v>
      </c>
      <c r="W1000" s="3" t="s">
        <v>343</v>
      </c>
      <c r="X1000" s="3" t="s">
        <v>508</v>
      </c>
      <c r="Y1000" s="3" t="s">
        <v>508</v>
      </c>
    </row>
    <row r="1001" spans="1:25" hidden="1" x14ac:dyDescent="0.2">
      <c r="A1001" s="83" t="str">
        <f t="shared" si="15"/>
        <v>郑州康复中街门店生菜</v>
      </c>
      <c r="B1001" s="3" t="s">
        <v>704</v>
      </c>
      <c r="C1001" s="3">
        <v>44377</v>
      </c>
      <c r="D1001" s="3" t="s">
        <v>527</v>
      </c>
      <c r="E1001" s="3" t="s">
        <v>508</v>
      </c>
      <c r="F1001" s="3" t="s">
        <v>508</v>
      </c>
      <c r="G1001" s="70" t="s">
        <v>169</v>
      </c>
      <c r="H1001" s="3" t="s">
        <v>343</v>
      </c>
      <c r="I1001" s="3" t="s">
        <v>89</v>
      </c>
      <c r="J1001" s="3">
        <v>500</v>
      </c>
      <c r="K1001" s="3">
        <v>50000</v>
      </c>
      <c r="L1001" s="3">
        <v>109864.4</v>
      </c>
      <c r="M1001" s="3">
        <v>0</v>
      </c>
      <c r="N1001" s="3">
        <v>-59364.4</v>
      </c>
      <c r="O1001" s="70">
        <v>59364.4</v>
      </c>
      <c r="P1001" s="3">
        <v>347.77</v>
      </c>
      <c r="Q1001" s="3">
        <v>0</v>
      </c>
      <c r="R1001" s="3">
        <v>7.1999999999999998E-3</v>
      </c>
      <c r="S1001" s="3">
        <v>427.42</v>
      </c>
      <c r="T1001" s="3">
        <v>0</v>
      </c>
      <c r="U1001" s="3">
        <v>-427.42</v>
      </c>
      <c r="V1001" s="70" t="s">
        <v>593</v>
      </c>
      <c r="W1001" s="3" t="s">
        <v>343</v>
      </c>
      <c r="X1001" s="3" t="s">
        <v>508</v>
      </c>
      <c r="Y1001" s="3" t="s">
        <v>508</v>
      </c>
    </row>
    <row r="1002" spans="1:25" hidden="1" x14ac:dyDescent="0.2">
      <c r="A1002" s="83" t="str">
        <f t="shared" si="15"/>
        <v>郑州铁英街门店生菜</v>
      </c>
      <c r="B1002" s="3" t="s">
        <v>707</v>
      </c>
      <c r="C1002" s="3">
        <v>44377</v>
      </c>
      <c r="D1002" s="3" t="s">
        <v>527</v>
      </c>
      <c r="E1002" s="3" t="s">
        <v>508</v>
      </c>
      <c r="F1002" s="3" t="s">
        <v>508</v>
      </c>
      <c r="G1002" s="70" t="s">
        <v>169</v>
      </c>
      <c r="H1002" s="3" t="s">
        <v>343</v>
      </c>
      <c r="I1002" s="3" t="s">
        <v>89</v>
      </c>
      <c r="J1002" s="3">
        <v>500</v>
      </c>
      <c r="K1002" s="3">
        <v>62500</v>
      </c>
      <c r="L1002" s="3">
        <v>67165</v>
      </c>
      <c r="M1002" s="3">
        <v>1200</v>
      </c>
      <c r="N1002" s="3">
        <v>-4165</v>
      </c>
      <c r="O1002" s="70">
        <v>5365</v>
      </c>
      <c r="P1002" s="3">
        <v>272.24</v>
      </c>
      <c r="Q1002" s="3">
        <v>0</v>
      </c>
      <c r="R1002" s="3">
        <v>7.2170000000000003E-3</v>
      </c>
      <c r="S1002" s="3">
        <v>38.72</v>
      </c>
      <c r="T1002" s="3">
        <v>8.66</v>
      </c>
      <c r="U1002" s="3">
        <v>-30.06</v>
      </c>
      <c r="V1002" s="70" t="s">
        <v>592</v>
      </c>
      <c r="W1002" s="3" t="s">
        <v>343</v>
      </c>
      <c r="X1002" s="3" t="s">
        <v>508</v>
      </c>
      <c r="Y1002" s="3" t="s">
        <v>508</v>
      </c>
    </row>
    <row r="1003" spans="1:25" hidden="1" x14ac:dyDescent="0.2">
      <c r="A1003" s="83" t="str">
        <f t="shared" si="15"/>
        <v>郑州西悦城门店生菜</v>
      </c>
      <c r="B1003" s="3" t="s">
        <v>708</v>
      </c>
      <c r="C1003" s="3">
        <v>44377</v>
      </c>
      <c r="D1003" s="3" t="s">
        <v>527</v>
      </c>
      <c r="E1003" s="3" t="s">
        <v>508</v>
      </c>
      <c r="F1003" s="3" t="s">
        <v>508</v>
      </c>
      <c r="G1003" s="70" t="s">
        <v>169</v>
      </c>
      <c r="H1003" s="3" t="s">
        <v>343</v>
      </c>
      <c r="I1003" s="3" t="s">
        <v>89</v>
      </c>
      <c r="J1003" s="3">
        <v>8000</v>
      </c>
      <c r="K1003" s="3">
        <v>112500</v>
      </c>
      <c r="L1003" s="3">
        <v>129560</v>
      </c>
      <c r="M1003" s="3">
        <v>0</v>
      </c>
      <c r="N1003" s="3">
        <v>-9060</v>
      </c>
      <c r="O1003" s="70">
        <v>9060</v>
      </c>
      <c r="P1003" s="3">
        <v>452.35</v>
      </c>
      <c r="Q1003" s="3">
        <v>0</v>
      </c>
      <c r="R1003" s="3">
        <v>7.1999999999999998E-3</v>
      </c>
      <c r="S1003" s="3">
        <v>65.23</v>
      </c>
      <c r="T1003" s="3">
        <v>0</v>
      </c>
      <c r="U1003" s="3">
        <v>-65.23</v>
      </c>
      <c r="V1003" s="70" t="s">
        <v>332</v>
      </c>
      <c r="W1003" s="3" t="s">
        <v>343</v>
      </c>
      <c r="X1003" s="3" t="s">
        <v>508</v>
      </c>
      <c r="Y1003" s="3" t="s">
        <v>508</v>
      </c>
    </row>
    <row r="1004" spans="1:25" hidden="1" x14ac:dyDescent="0.2">
      <c r="A1004" s="83" t="str">
        <f t="shared" si="15"/>
        <v>华山龙源门店生菜</v>
      </c>
      <c r="B1004" s="3" t="s">
        <v>705</v>
      </c>
      <c r="C1004" s="3">
        <v>44377</v>
      </c>
      <c r="D1004" s="3" t="s">
        <v>527</v>
      </c>
      <c r="E1004" s="3" t="s">
        <v>508</v>
      </c>
      <c r="F1004" s="3" t="s">
        <v>508</v>
      </c>
      <c r="G1004" s="70" t="s">
        <v>169</v>
      </c>
      <c r="H1004" s="3" t="s">
        <v>343</v>
      </c>
      <c r="I1004" s="3" t="s">
        <v>89</v>
      </c>
      <c r="J1004" s="3">
        <v>0</v>
      </c>
      <c r="K1004" s="3">
        <v>50000</v>
      </c>
      <c r="L1004" s="3">
        <v>49806.6</v>
      </c>
      <c r="M1004" s="3">
        <v>0</v>
      </c>
      <c r="N1004" s="3">
        <v>193.4</v>
      </c>
      <c r="O1004" s="70">
        <v>-193.4</v>
      </c>
      <c r="P1004" s="3">
        <v>226.59</v>
      </c>
      <c r="Q1004" s="3">
        <v>0</v>
      </c>
      <c r="R1004" s="3">
        <v>7.1999999999999998E-3</v>
      </c>
      <c r="S1004" s="3">
        <v>-1.39</v>
      </c>
      <c r="T1004" s="3">
        <v>0</v>
      </c>
      <c r="U1004" s="3">
        <v>1.39</v>
      </c>
      <c r="V1004" s="70" t="s">
        <v>643</v>
      </c>
      <c r="W1004" s="3" t="s">
        <v>343</v>
      </c>
      <c r="X1004" s="3" t="s">
        <v>508</v>
      </c>
      <c r="Y1004" s="3" t="s">
        <v>508</v>
      </c>
    </row>
    <row r="1005" spans="1:25" hidden="1" x14ac:dyDescent="0.2">
      <c r="A1005" s="83" t="str">
        <f t="shared" si="15"/>
        <v>郑州瀚海海尚门店生菜</v>
      </c>
      <c r="B1005" s="3" t="s">
        <v>706</v>
      </c>
      <c r="C1005" s="3">
        <v>44377</v>
      </c>
      <c r="D1005" s="3" t="s">
        <v>527</v>
      </c>
      <c r="E1005" s="3" t="s">
        <v>508</v>
      </c>
      <c r="F1005" s="3" t="s">
        <v>508</v>
      </c>
      <c r="G1005" s="70" t="s">
        <v>169</v>
      </c>
      <c r="H1005" s="3" t="s">
        <v>343</v>
      </c>
      <c r="I1005" s="3" t="s">
        <v>89</v>
      </c>
      <c r="J1005" s="3">
        <v>27000</v>
      </c>
      <c r="K1005" s="3">
        <v>62500</v>
      </c>
      <c r="L1005" s="3">
        <v>85837.7</v>
      </c>
      <c r="M1005" s="3">
        <v>0</v>
      </c>
      <c r="N1005" s="3">
        <v>3662.3</v>
      </c>
      <c r="O1005" s="70">
        <v>-3662.3</v>
      </c>
      <c r="P1005" s="3">
        <v>441.56</v>
      </c>
      <c r="Q1005" s="3">
        <v>0</v>
      </c>
      <c r="R1005" s="3">
        <v>7.1999999999999998E-3</v>
      </c>
      <c r="S1005" s="3">
        <v>-26.37</v>
      </c>
      <c r="T1005" s="3">
        <v>0</v>
      </c>
      <c r="U1005" s="3">
        <v>26.37</v>
      </c>
      <c r="V1005" s="70" t="s">
        <v>333</v>
      </c>
      <c r="W1005" s="3" t="s">
        <v>343</v>
      </c>
      <c r="X1005" s="3" t="s">
        <v>508</v>
      </c>
      <c r="Y1005" s="3" t="s">
        <v>508</v>
      </c>
    </row>
    <row r="1006" spans="1:25" hidden="1" x14ac:dyDescent="0.2">
      <c r="A1006" s="83" t="str">
        <f t="shared" si="15"/>
        <v>方城锦城国际门店生菜</v>
      </c>
      <c r="B1006" s="3" t="s">
        <v>712</v>
      </c>
      <c r="C1006" s="3">
        <v>44377</v>
      </c>
      <c r="D1006" s="3" t="s">
        <v>527</v>
      </c>
      <c r="E1006" s="3" t="s">
        <v>508</v>
      </c>
      <c r="F1006" s="3" t="s">
        <v>508</v>
      </c>
      <c r="G1006" s="70" t="s">
        <v>169</v>
      </c>
      <c r="H1006" s="3" t="s">
        <v>343</v>
      </c>
      <c r="I1006" s="3" t="s">
        <v>89</v>
      </c>
      <c r="J1006" s="3">
        <v>500</v>
      </c>
      <c r="K1006" s="3">
        <v>75000</v>
      </c>
      <c r="L1006" s="3">
        <v>91789.7</v>
      </c>
      <c r="M1006" s="3">
        <v>500</v>
      </c>
      <c r="N1006" s="3">
        <v>-16289.7</v>
      </c>
      <c r="O1006" s="70">
        <v>16789.7</v>
      </c>
      <c r="P1006" s="3">
        <v>849.92</v>
      </c>
      <c r="Q1006" s="3">
        <v>0</v>
      </c>
      <c r="R1006" s="3">
        <v>7.2399999999999999E-3</v>
      </c>
      <c r="S1006" s="3">
        <v>121.56</v>
      </c>
      <c r="T1006" s="3">
        <v>3.62</v>
      </c>
      <c r="U1006" s="3">
        <v>-117.94</v>
      </c>
      <c r="V1006" s="70" t="s">
        <v>594</v>
      </c>
      <c r="W1006" s="3" t="s">
        <v>343</v>
      </c>
      <c r="X1006" s="3" t="s">
        <v>508</v>
      </c>
      <c r="Y1006" s="3" t="s">
        <v>508</v>
      </c>
    </row>
    <row r="1007" spans="1:25" hidden="1" x14ac:dyDescent="0.2">
      <c r="A1007" s="83" t="str">
        <f t="shared" si="15"/>
        <v>清丰凤鸣门店生菜</v>
      </c>
      <c r="B1007" s="3" t="s">
        <v>713</v>
      </c>
      <c r="C1007" s="3">
        <v>44377</v>
      </c>
      <c r="D1007" s="3" t="s">
        <v>527</v>
      </c>
      <c r="E1007" s="3" t="s">
        <v>508</v>
      </c>
      <c r="F1007" s="3" t="s">
        <v>508</v>
      </c>
      <c r="G1007" s="70" t="s">
        <v>169</v>
      </c>
      <c r="H1007" s="3" t="s">
        <v>343</v>
      </c>
      <c r="I1007" s="3" t="s">
        <v>89</v>
      </c>
      <c r="J1007" s="3">
        <v>19200</v>
      </c>
      <c r="K1007" s="3">
        <v>37500</v>
      </c>
      <c r="L1007" s="3">
        <v>46089</v>
      </c>
      <c r="M1007" s="3">
        <v>10400</v>
      </c>
      <c r="N1007" s="3">
        <v>10611</v>
      </c>
      <c r="O1007" s="70">
        <v>-211</v>
      </c>
      <c r="P1007" s="3">
        <v>571.04</v>
      </c>
      <c r="Q1007" s="3">
        <v>0</v>
      </c>
      <c r="R1007" s="3">
        <v>7.1999999999999998E-3</v>
      </c>
      <c r="S1007" s="3">
        <v>-1.52</v>
      </c>
      <c r="T1007" s="3">
        <v>74.88</v>
      </c>
      <c r="U1007" s="3">
        <v>76.400000000000006</v>
      </c>
      <c r="V1007" s="70" t="s">
        <v>334</v>
      </c>
      <c r="W1007" s="3" t="s">
        <v>343</v>
      </c>
      <c r="X1007" s="3" t="s">
        <v>508</v>
      </c>
      <c r="Y1007" s="3" t="s">
        <v>508</v>
      </c>
    </row>
    <row r="1008" spans="1:25" hidden="1" x14ac:dyDescent="0.2">
      <c r="A1008" s="83" t="str">
        <f t="shared" si="15"/>
        <v>郑州裕华门店生菜</v>
      </c>
      <c r="B1008" s="3" t="s">
        <v>711</v>
      </c>
      <c r="C1008" s="3">
        <v>44377</v>
      </c>
      <c r="D1008" s="3" t="s">
        <v>527</v>
      </c>
      <c r="E1008" s="3" t="s">
        <v>508</v>
      </c>
      <c r="F1008" s="3" t="s">
        <v>508</v>
      </c>
      <c r="G1008" s="70" t="s">
        <v>169</v>
      </c>
      <c r="H1008" s="3" t="s">
        <v>343</v>
      </c>
      <c r="I1008" s="3" t="s">
        <v>89</v>
      </c>
      <c r="J1008" s="3">
        <v>9500</v>
      </c>
      <c r="K1008" s="3">
        <v>50000</v>
      </c>
      <c r="L1008" s="3">
        <v>52700</v>
      </c>
      <c r="M1008" s="3">
        <v>6500</v>
      </c>
      <c r="N1008" s="3">
        <v>6800</v>
      </c>
      <c r="O1008" s="70">
        <v>-300</v>
      </c>
      <c r="P1008" s="3">
        <v>315.39999999999998</v>
      </c>
      <c r="Q1008" s="3">
        <v>0</v>
      </c>
      <c r="R1008" s="3">
        <v>7.2030000000000002E-3</v>
      </c>
      <c r="S1008" s="3">
        <v>-2.16</v>
      </c>
      <c r="T1008" s="3">
        <v>46.82</v>
      </c>
      <c r="U1008" s="3">
        <v>48.98</v>
      </c>
      <c r="V1008" s="70" t="s">
        <v>641</v>
      </c>
      <c r="W1008" s="3" t="s">
        <v>343</v>
      </c>
      <c r="X1008" s="3" t="s">
        <v>508</v>
      </c>
      <c r="Y1008" s="3" t="s">
        <v>508</v>
      </c>
    </row>
    <row r="1009" spans="1:25" hidden="1" x14ac:dyDescent="0.2">
      <c r="A1009" s="83" t="str">
        <f t="shared" si="15"/>
        <v>郑州盛华里门店生菜</v>
      </c>
      <c r="B1009" s="3" t="s">
        <v>709</v>
      </c>
      <c r="C1009" s="3">
        <v>44377</v>
      </c>
      <c r="D1009" s="3" t="s">
        <v>527</v>
      </c>
      <c r="E1009" s="3" t="s">
        <v>508</v>
      </c>
      <c r="F1009" s="3" t="s">
        <v>508</v>
      </c>
      <c r="G1009" s="70" t="s">
        <v>169</v>
      </c>
      <c r="H1009" s="3" t="s">
        <v>343</v>
      </c>
      <c r="I1009" s="3" t="s">
        <v>89</v>
      </c>
      <c r="J1009" s="3">
        <v>800</v>
      </c>
      <c r="K1009" s="3">
        <v>75000</v>
      </c>
      <c r="L1009" s="3">
        <v>44612.1</v>
      </c>
      <c r="M1009" s="3">
        <v>31000</v>
      </c>
      <c r="N1009" s="3">
        <v>31187.9</v>
      </c>
      <c r="O1009" s="70">
        <v>-187.9</v>
      </c>
      <c r="P1009" s="3">
        <v>64.739999999999995</v>
      </c>
      <c r="Q1009" s="3">
        <v>0</v>
      </c>
      <c r="R1009" s="3">
        <v>7.2009999999999999E-3</v>
      </c>
      <c r="S1009" s="3">
        <v>-1.35</v>
      </c>
      <c r="T1009" s="3">
        <v>223.24</v>
      </c>
      <c r="U1009" s="3">
        <v>224.58</v>
      </c>
      <c r="V1009" s="70" t="s">
        <v>637</v>
      </c>
      <c r="W1009" s="3" t="s">
        <v>343</v>
      </c>
      <c r="X1009" s="3" t="s">
        <v>508</v>
      </c>
      <c r="Y1009" s="3" t="s">
        <v>508</v>
      </c>
    </row>
    <row r="1010" spans="1:25" hidden="1" x14ac:dyDescent="0.2">
      <c r="A1010" s="83" t="str">
        <f t="shared" si="15"/>
        <v>滑县滑台门店生菜</v>
      </c>
      <c r="B1010" s="3" t="s">
        <v>710</v>
      </c>
      <c r="C1010" s="3">
        <v>44377</v>
      </c>
      <c r="D1010" s="3" t="s">
        <v>527</v>
      </c>
      <c r="E1010" s="3" t="s">
        <v>508</v>
      </c>
      <c r="F1010" s="3" t="s">
        <v>508</v>
      </c>
      <c r="G1010" s="70" t="s">
        <v>169</v>
      </c>
      <c r="H1010" s="3" t="s">
        <v>343</v>
      </c>
      <c r="I1010" s="3" t="s">
        <v>89</v>
      </c>
      <c r="J1010" s="3">
        <v>0</v>
      </c>
      <c r="K1010" s="3">
        <v>100000</v>
      </c>
      <c r="L1010" s="3">
        <v>118888.7</v>
      </c>
      <c r="M1010" s="3">
        <v>0</v>
      </c>
      <c r="N1010" s="3">
        <v>-18888.7</v>
      </c>
      <c r="O1010" s="70">
        <v>18888.7</v>
      </c>
      <c r="P1010" s="3">
        <v>835.81</v>
      </c>
      <c r="Q1010" s="3">
        <v>0</v>
      </c>
      <c r="R1010" s="3">
        <v>7.1999999999999998E-3</v>
      </c>
      <c r="S1010" s="3">
        <v>136</v>
      </c>
      <c r="T1010" s="3">
        <v>0</v>
      </c>
      <c r="U1010" s="3">
        <v>-136</v>
      </c>
      <c r="V1010" s="70" t="s">
        <v>639</v>
      </c>
      <c r="W1010" s="3" t="s">
        <v>343</v>
      </c>
      <c r="X1010" s="3" t="s">
        <v>508</v>
      </c>
      <c r="Y1010" s="3" t="s">
        <v>508</v>
      </c>
    </row>
    <row r="1011" spans="1:25" hidden="1" x14ac:dyDescent="0.2">
      <c r="A1011" s="83" t="str">
        <f t="shared" si="15"/>
        <v>郑州政六街门店生菜</v>
      </c>
      <c r="B1011" s="3" t="s">
        <v>714</v>
      </c>
      <c r="C1011" s="3">
        <v>44377</v>
      </c>
      <c r="D1011" s="3" t="s">
        <v>527</v>
      </c>
      <c r="E1011" s="3" t="s">
        <v>508</v>
      </c>
      <c r="F1011" s="3" t="s">
        <v>508</v>
      </c>
      <c r="G1011" s="70" t="s">
        <v>169</v>
      </c>
      <c r="H1011" s="3" t="s">
        <v>343</v>
      </c>
      <c r="I1011" s="3" t="s">
        <v>89</v>
      </c>
      <c r="J1011" s="3">
        <v>3500</v>
      </c>
      <c r="K1011" s="3">
        <v>87500</v>
      </c>
      <c r="L1011" s="3">
        <v>128695.1</v>
      </c>
      <c r="M1011" s="3">
        <v>0</v>
      </c>
      <c r="N1011" s="3">
        <v>-37695.1</v>
      </c>
      <c r="O1011" s="70">
        <v>37695.1</v>
      </c>
      <c r="P1011" s="3">
        <v>321.20999999999998</v>
      </c>
      <c r="Q1011" s="3">
        <v>0</v>
      </c>
      <c r="R1011" s="3">
        <v>7.2009999999999999E-3</v>
      </c>
      <c r="S1011" s="3">
        <v>271.44</v>
      </c>
      <c r="T1011" s="3">
        <v>0</v>
      </c>
      <c r="U1011" s="3">
        <v>-271.44</v>
      </c>
      <c r="V1011" s="70" t="s">
        <v>591</v>
      </c>
      <c r="W1011" s="3" t="s">
        <v>343</v>
      </c>
      <c r="X1011" s="3" t="s">
        <v>508</v>
      </c>
      <c r="Y1011" s="3" t="s">
        <v>508</v>
      </c>
    </row>
    <row r="1012" spans="1:25" hidden="1" x14ac:dyDescent="0.2">
      <c r="A1012" s="83" t="str">
        <f t="shared" si="15"/>
        <v>郑州政六街小腿(琵琶腿）</v>
      </c>
      <c r="B1012" s="3" t="s">
        <v>714</v>
      </c>
      <c r="C1012" s="3">
        <v>44377</v>
      </c>
      <c r="D1012" s="3" t="s">
        <v>528</v>
      </c>
      <c r="E1012" s="3" t="s">
        <v>508</v>
      </c>
      <c r="F1012" s="3" t="s">
        <v>508</v>
      </c>
      <c r="G1012" s="70" t="s">
        <v>529</v>
      </c>
      <c r="H1012" s="3" t="s">
        <v>397</v>
      </c>
      <c r="I1012" s="3" t="s">
        <v>339</v>
      </c>
      <c r="J1012" s="3">
        <v>60</v>
      </c>
      <c r="K1012" s="3">
        <v>300</v>
      </c>
      <c r="L1012" s="3">
        <v>369</v>
      </c>
      <c r="M1012" s="3">
        <v>0</v>
      </c>
      <c r="N1012" s="3">
        <v>-9</v>
      </c>
      <c r="O1012" s="70">
        <v>9</v>
      </c>
      <c r="P1012" s="3">
        <v>0</v>
      </c>
      <c r="Q1012" s="3">
        <v>0</v>
      </c>
      <c r="R1012" s="3">
        <v>1.9832780000000001</v>
      </c>
      <c r="S1012" s="3">
        <v>17.850000000000001</v>
      </c>
      <c r="T1012" s="3">
        <v>0</v>
      </c>
      <c r="U1012" s="3">
        <v>-17.850000000000001</v>
      </c>
      <c r="V1012" s="70" t="s">
        <v>591</v>
      </c>
      <c r="W1012" s="3" t="s">
        <v>763</v>
      </c>
      <c r="X1012" s="3" t="s">
        <v>508</v>
      </c>
      <c r="Y1012" s="3" t="s">
        <v>508</v>
      </c>
    </row>
    <row r="1013" spans="1:25" hidden="1" x14ac:dyDescent="0.2">
      <c r="A1013" s="83" t="str">
        <f t="shared" si="15"/>
        <v>滑县滑台小腿(琵琶腿）</v>
      </c>
      <c r="B1013" s="3" t="s">
        <v>710</v>
      </c>
      <c r="C1013" s="3">
        <v>44377</v>
      </c>
      <c r="D1013" s="3" t="s">
        <v>528</v>
      </c>
      <c r="E1013" s="3" t="s">
        <v>508</v>
      </c>
      <c r="F1013" s="3" t="s">
        <v>508</v>
      </c>
      <c r="G1013" s="70" t="s">
        <v>529</v>
      </c>
      <c r="H1013" s="3" t="s">
        <v>397</v>
      </c>
      <c r="I1013" s="3" t="s">
        <v>339</v>
      </c>
      <c r="J1013" s="3">
        <v>92</v>
      </c>
      <c r="K1013" s="3">
        <v>330</v>
      </c>
      <c r="L1013" s="3">
        <v>291</v>
      </c>
      <c r="M1013" s="3">
        <v>144</v>
      </c>
      <c r="N1013" s="3">
        <v>131</v>
      </c>
      <c r="O1013" s="70">
        <v>13</v>
      </c>
      <c r="P1013" s="3">
        <v>0</v>
      </c>
      <c r="Q1013" s="3">
        <v>0</v>
      </c>
      <c r="R1013" s="3">
        <v>1.8831249999999999</v>
      </c>
      <c r="S1013" s="3">
        <v>24.48</v>
      </c>
      <c r="T1013" s="3">
        <v>271.17</v>
      </c>
      <c r="U1013" s="3">
        <v>246.69</v>
      </c>
      <c r="V1013" s="70" t="s">
        <v>639</v>
      </c>
      <c r="W1013" s="3" t="s">
        <v>764</v>
      </c>
      <c r="X1013" s="3" t="s">
        <v>508</v>
      </c>
      <c r="Y1013" s="3" t="s">
        <v>508</v>
      </c>
    </row>
    <row r="1014" spans="1:25" hidden="1" x14ac:dyDescent="0.2">
      <c r="A1014" s="83" t="str">
        <f t="shared" si="15"/>
        <v>郑州盛华里小腿(琵琶腿）</v>
      </c>
      <c r="B1014" s="3" t="s">
        <v>709</v>
      </c>
      <c r="C1014" s="3">
        <v>44377</v>
      </c>
      <c r="D1014" s="3" t="s">
        <v>528</v>
      </c>
      <c r="E1014" s="3" t="s">
        <v>508</v>
      </c>
      <c r="F1014" s="3" t="s">
        <v>508</v>
      </c>
      <c r="G1014" s="70" t="s">
        <v>529</v>
      </c>
      <c r="H1014" s="3" t="s">
        <v>397</v>
      </c>
      <c r="I1014" s="3" t="s">
        <v>339</v>
      </c>
      <c r="J1014" s="3">
        <v>55</v>
      </c>
      <c r="K1014" s="3">
        <v>210</v>
      </c>
      <c r="L1014" s="3">
        <v>159</v>
      </c>
      <c r="M1014" s="3">
        <v>106</v>
      </c>
      <c r="N1014" s="3">
        <v>106</v>
      </c>
      <c r="O1014" s="70">
        <v>0</v>
      </c>
      <c r="P1014" s="3">
        <v>0</v>
      </c>
      <c r="Q1014" s="3">
        <v>0</v>
      </c>
      <c r="R1014" s="3">
        <v>1.946226</v>
      </c>
      <c r="S1014" s="3">
        <v>0</v>
      </c>
      <c r="T1014" s="3">
        <v>206.3</v>
      </c>
      <c r="U1014" s="3">
        <v>206.3</v>
      </c>
      <c r="V1014" s="70" t="s">
        <v>637</v>
      </c>
      <c r="W1014" s="3" t="s">
        <v>343</v>
      </c>
      <c r="X1014" s="3" t="s">
        <v>508</v>
      </c>
      <c r="Y1014" s="3" t="s">
        <v>508</v>
      </c>
    </row>
    <row r="1015" spans="1:25" hidden="1" x14ac:dyDescent="0.2">
      <c r="A1015" s="83" t="str">
        <f t="shared" si="15"/>
        <v>郑州裕华小腿(琵琶腿）</v>
      </c>
      <c r="B1015" s="3" t="s">
        <v>711</v>
      </c>
      <c r="C1015" s="3">
        <v>44377</v>
      </c>
      <c r="D1015" s="3" t="s">
        <v>528</v>
      </c>
      <c r="E1015" s="3" t="s">
        <v>508</v>
      </c>
      <c r="F1015" s="3" t="s">
        <v>508</v>
      </c>
      <c r="G1015" s="70" t="s">
        <v>529</v>
      </c>
      <c r="H1015" s="3" t="s">
        <v>397</v>
      </c>
      <c r="I1015" s="3" t="s">
        <v>339</v>
      </c>
      <c r="J1015" s="3">
        <v>105</v>
      </c>
      <c r="K1015" s="3">
        <v>90</v>
      </c>
      <c r="L1015" s="3">
        <v>296</v>
      </c>
      <c r="M1015" s="3">
        <v>0</v>
      </c>
      <c r="N1015" s="3">
        <v>-101</v>
      </c>
      <c r="O1015" s="70">
        <v>101</v>
      </c>
      <c r="P1015" s="3">
        <v>0</v>
      </c>
      <c r="Q1015" s="3">
        <v>0</v>
      </c>
      <c r="R1015" s="3">
        <v>2.1528719999999999</v>
      </c>
      <c r="S1015" s="3">
        <v>217.44</v>
      </c>
      <c r="T1015" s="3">
        <v>0</v>
      </c>
      <c r="U1015" s="3">
        <v>-217.44</v>
      </c>
      <c r="V1015" s="70" t="s">
        <v>641</v>
      </c>
      <c r="W1015" s="3" t="s">
        <v>765</v>
      </c>
      <c r="X1015" s="3" t="s">
        <v>508</v>
      </c>
      <c r="Y1015" s="3" t="s">
        <v>508</v>
      </c>
    </row>
    <row r="1016" spans="1:25" hidden="1" x14ac:dyDescent="0.2">
      <c r="A1016" s="83" t="str">
        <f t="shared" si="15"/>
        <v>清丰凤鸣小腿(琵琶腿）</v>
      </c>
      <c r="B1016" s="3" t="s">
        <v>713</v>
      </c>
      <c r="C1016" s="3">
        <v>44377</v>
      </c>
      <c r="D1016" s="3" t="s">
        <v>528</v>
      </c>
      <c r="E1016" s="3" t="s">
        <v>508</v>
      </c>
      <c r="F1016" s="3" t="s">
        <v>508</v>
      </c>
      <c r="G1016" s="70" t="s">
        <v>529</v>
      </c>
      <c r="H1016" s="3" t="s">
        <v>397</v>
      </c>
      <c r="I1016" s="3" t="s">
        <v>339</v>
      </c>
      <c r="J1016" s="3">
        <v>10</v>
      </c>
      <c r="K1016" s="3">
        <v>210</v>
      </c>
      <c r="L1016" s="3">
        <v>159</v>
      </c>
      <c r="M1016" s="3">
        <v>61</v>
      </c>
      <c r="N1016" s="3">
        <v>61</v>
      </c>
      <c r="O1016" s="70">
        <v>0</v>
      </c>
      <c r="P1016" s="3">
        <v>0</v>
      </c>
      <c r="Q1016" s="3">
        <v>0</v>
      </c>
      <c r="R1016" s="3">
        <v>1.8855740000000001</v>
      </c>
      <c r="S1016" s="3">
        <v>0</v>
      </c>
      <c r="T1016" s="3">
        <v>115.02</v>
      </c>
      <c r="U1016" s="3">
        <v>115.02</v>
      </c>
      <c r="V1016" s="70" t="s">
        <v>334</v>
      </c>
      <c r="W1016" s="3" t="s">
        <v>343</v>
      </c>
      <c r="X1016" s="3" t="s">
        <v>508</v>
      </c>
      <c r="Y1016" s="3" t="s">
        <v>508</v>
      </c>
    </row>
    <row r="1017" spans="1:25" hidden="1" x14ac:dyDescent="0.2">
      <c r="A1017" s="83" t="str">
        <f t="shared" si="15"/>
        <v>方城锦城国际小腿(琵琶腿）</v>
      </c>
      <c r="B1017" s="3" t="s">
        <v>712</v>
      </c>
      <c r="C1017" s="3">
        <v>44377</v>
      </c>
      <c r="D1017" s="3" t="s">
        <v>528</v>
      </c>
      <c r="E1017" s="3" t="s">
        <v>508</v>
      </c>
      <c r="F1017" s="3" t="s">
        <v>508</v>
      </c>
      <c r="G1017" s="70" t="s">
        <v>529</v>
      </c>
      <c r="H1017" s="3" t="s">
        <v>397</v>
      </c>
      <c r="I1017" s="3" t="s">
        <v>339</v>
      </c>
      <c r="J1017" s="3">
        <v>32</v>
      </c>
      <c r="K1017" s="3">
        <v>870</v>
      </c>
      <c r="L1017" s="3">
        <v>693</v>
      </c>
      <c r="M1017" s="3">
        <v>209</v>
      </c>
      <c r="N1017" s="3">
        <v>209</v>
      </c>
      <c r="O1017" s="70">
        <v>0</v>
      </c>
      <c r="P1017" s="3">
        <v>0</v>
      </c>
      <c r="Q1017" s="3">
        <v>0</v>
      </c>
      <c r="R1017" s="3">
        <v>2.004928</v>
      </c>
      <c r="S1017" s="3">
        <v>0</v>
      </c>
      <c r="T1017" s="3">
        <v>419.03</v>
      </c>
      <c r="U1017" s="3">
        <v>419.03</v>
      </c>
      <c r="V1017" s="70" t="s">
        <v>594</v>
      </c>
      <c r="W1017" s="3" t="s">
        <v>343</v>
      </c>
      <c r="X1017" s="3" t="s">
        <v>508</v>
      </c>
      <c r="Y1017" s="3" t="s">
        <v>508</v>
      </c>
    </row>
    <row r="1018" spans="1:25" hidden="1" x14ac:dyDescent="0.2">
      <c r="A1018" s="83" t="str">
        <f t="shared" si="15"/>
        <v>郑州瀚海海尚小腿(琵琶腿）</v>
      </c>
      <c r="B1018" s="3" t="s">
        <v>706</v>
      </c>
      <c r="C1018" s="3">
        <v>44377</v>
      </c>
      <c r="D1018" s="3" t="s">
        <v>528</v>
      </c>
      <c r="E1018" s="3" t="s">
        <v>508</v>
      </c>
      <c r="F1018" s="3" t="s">
        <v>508</v>
      </c>
      <c r="G1018" s="70" t="s">
        <v>529</v>
      </c>
      <c r="H1018" s="3" t="s">
        <v>397</v>
      </c>
      <c r="I1018" s="3" t="s">
        <v>339</v>
      </c>
      <c r="J1018" s="3">
        <v>21</v>
      </c>
      <c r="K1018" s="3">
        <v>300</v>
      </c>
      <c r="L1018" s="3">
        <v>423</v>
      </c>
      <c r="M1018" s="3">
        <v>0</v>
      </c>
      <c r="N1018" s="3">
        <v>-102</v>
      </c>
      <c r="O1018" s="70">
        <v>102</v>
      </c>
      <c r="P1018" s="3">
        <v>0</v>
      </c>
      <c r="Q1018" s="3">
        <v>0</v>
      </c>
      <c r="R1018" s="3">
        <v>1.9578819999999999</v>
      </c>
      <c r="S1018" s="3">
        <v>199.7</v>
      </c>
      <c r="T1018" s="3">
        <v>0</v>
      </c>
      <c r="U1018" s="3">
        <v>-199.7</v>
      </c>
      <c r="V1018" s="70" t="s">
        <v>333</v>
      </c>
      <c r="W1018" s="3" t="s">
        <v>766</v>
      </c>
      <c r="X1018" s="3" t="s">
        <v>508</v>
      </c>
      <c r="Y1018" s="3" t="s">
        <v>508</v>
      </c>
    </row>
    <row r="1019" spans="1:25" hidden="1" x14ac:dyDescent="0.2">
      <c r="A1019" s="83" t="str">
        <f t="shared" si="15"/>
        <v>华山龙源小腿(琵琶腿）</v>
      </c>
      <c r="B1019" s="3" t="s">
        <v>705</v>
      </c>
      <c r="C1019" s="3">
        <v>44377</v>
      </c>
      <c r="D1019" s="3" t="s">
        <v>528</v>
      </c>
      <c r="E1019" s="3" t="s">
        <v>508</v>
      </c>
      <c r="F1019" s="3" t="s">
        <v>508</v>
      </c>
      <c r="G1019" s="70" t="s">
        <v>529</v>
      </c>
      <c r="H1019" s="3" t="s">
        <v>397</v>
      </c>
      <c r="I1019" s="3" t="s">
        <v>339</v>
      </c>
      <c r="J1019" s="3">
        <v>19</v>
      </c>
      <c r="K1019" s="3">
        <v>300</v>
      </c>
      <c r="L1019" s="3">
        <v>317</v>
      </c>
      <c r="M1019" s="3">
        <v>160</v>
      </c>
      <c r="N1019" s="3">
        <v>2</v>
      </c>
      <c r="O1019" s="70">
        <v>158</v>
      </c>
      <c r="P1019" s="3">
        <v>0</v>
      </c>
      <c r="Q1019" s="3">
        <v>0</v>
      </c>
      <c r="R1019" s="3">
        <v>1.957875</v>
      </c>
      <c r="S1019" s="3">
        <v>309.33999999999997</v>
      </c>
      <c r="T1019" s="3">
        <v>313.26</v>
      </c>
      <c r="U1019" s="3">
        <v>3.92</v>
      </c>
      <c r="V1019" s="70" t="s">
        <v>643</v>
      </c>
      <c r="W1019" s="3" t="s">
        <v>767</v>
      </c>
      <c r="X1019" s="3" t="s">
        <v>508</v>
      </c>
      <c r="Y1019" s="3" t="s">
        <v>508</v>
      </c>
    </row>
    <row r="1020" spans="1:25" hidden="1" x14ac:dyDescent="0.2">
      <c r="A1020" s="83" t="str">
        <f t="shared" si="15"/>
        <v>郑州西悦城小腿(琵琶腿）</v>
      </c>
      <c r="B1020" s="3" t="s">
        <v>708</v>
      </c>
      <c r="C1020" s="3">
        <v>44377</v>
      </c>
      <c r="D1020" s="3" t="s">
        <v>528</v>
      </c>
      <c r="E1020" s="3" t="s">
        <v>508</v>
      </c>
      <c r="F1020" s="3" t="s">
        <v>508</v>
      </c>
      <c r="G1020" s="70" t="s">
        <v>529</v>
      </c>
      <c r="H1020" s="3" t="s">
        <v>397</v>
      </c>
      <c r="I1020" s="3" t="s">
        <v>339</v>
      </c>
      <c r="J1020" s="3">
        <v>139</v>
      </c>
      <c r="K1020" s="3">
        <v>210</v>
      </c>
      <c r="L1020" s="3">
        <v>420</v>
      </c>
      <c r="M1020" s="3">
        <v>0</v>
      </c>
      <c r="N1020" s="3">
        <v>-71</v>
      </c>
      <c r="O1020" s="70">
        <v>71</v>
      </c>
      <c r="P1020" s="3">
        <v>0</v>
      </c>
      <c r="Q1020" s="3">
        <v>0</v>
      </c>
      <c r="R1020" s="3">
        <v>1.992923</v>
      </c>
      <c r="S1020" s="3">
        <v>141.5</v>
      </c>
      <c r="T1020" s="3">
        <v>0</v>
      </c>
      <c r="U1020" s="3">
        <v>-141.5</v>
      </c>
      <c r="V1020" s="70" t="s">
        <v>332</v>
      </c>
      <c r="W1020" s="3" t="s">
        <v>768</v>
      </c>
      <c r="X1020" s="3" t="s">
        <v>508</v>
      </c>
      <c r="Y1020" s="3" t="s">
        <v>508</v>
      </c>
    </row>
    <row r="1021" spans="1:25" hidden="1" x14ac:dyDescent="0.2">
      <c r="A1021" s="83" t="str">
        <f t="shared" si="15"/>
        <v>郑州铁英街小腿(琵琶腿）</v>
      </c>
      <c r="B1021" s="3" t="s">
        <v>707</v>
      </c>
      <c r="C1021" s="3">
        <v>44377</v>
      </c>
      <c r="D1021" s="3" t="s">
        <v>528</v>
      </c>
      <c r="E1021" s="3" t="s">
        <v>508</v>
      </c>
      <c r="F1021" s="3" t="s">
        <v>508</v>
      </c>
      <c r="G1021" s="70" t="s">
        <v>529</v>
      </c>
      <c r="H1021" s="3" t="s">
        <v>397</v>
      </c>
      <c r="I1021" s="3" t="s">
        <v>339</v>
      </c>
      <c r="J1021" s="3">
        <v>46</v>
      </c>
      <c r="K1021" s="3">
        <v>210</v>
      </c>
      <c r="L1021" s="3">
        <v>313</v>
      </c>
      <c r="M1021" s="3">
        <v>71</v>
      </c>
      <c r="N1021" s="3">
        <v>-57</v>
      </c>
      <c r="O1021" s="70">
        <v>128</v>
      </c>
      <c r="P1021" s="3">
        <v>0</v>
      </c>
      <c r="Q1021" s="3">
        <v>0</v>
      </c>
      <c r="R1021" s="3">
        <v>1.924366</v>
      </c>
      <c r="S1021" s="3">
        <v>246.32</v>
      </c>
      <c r="T1021" s="3">
        <v>136.63</v>
      </c>
      <c r="U1021" s="3">
        <v>-109.69</v>
      </c>
      <c r="V1021" s="70" t="s">
        <v>592</v>
      </c>
      <c r="W1021" s="3" t="s">
        <v>769</v>
      </c>
      <c r="X1021" s="3" t="s">
        <v>508</v>
      </c>
      <c r="Y1021" s="3" t="s">
        <v>508</v>
      </c>
    </row>
    <row r="1022" spans="1:25" hidden="1" x14ac:dyDescent="0.2">
      <c r="A1022" s="83" t="str">
        <f t="shared" si="15"/>
        <v>郑州康复中街小腿(琵琶腿）</v>
      </c>
      <c r="B1022" s="3" t="s">
        <v>704</v>
      </c>
      <c r="C1022" s="3">
        <v>44377</v>
      </c>
      <c r="D1022" s="3" t="s">
        <v>528</v>
      </c>
      <c r="E1022" s="3" t="s">
        <v>508</v>
      </c>
      <c r="F1022" s="3" t="s">
        <v>508</v>
      </c>
      <c r="G1022" s="70" t="s">
        <v>529</v>
      </c>
      <c r="H1022" s="3" t="s">
        <v>397</v>
      </c>
      <c r="I1022" s="3" t="s">
        <v>339</v>
      </c>
      <c r="J1022" s="3">
        <v>67</v>
      </c>
      <c r="K1022" s="3">
        <v>300</v>
      </c>
      <c r="L1022" s="3">
        <v>376</v>
      </c>
      <c r="M1022" s="3">
        <v>170</v>
      </c>
      <c r="N1022" s="3">
        <v>-9</v>
      </c>
      <c r="O1022" s="70">
        <v>179</v>
      </c>
      <c r="P1022" s="3">
        <v>0</v>
      </c>
      <c r="Q1022" s="3">
        <v>0</v>
      </c>
      <c r="R1022" s="3">
        <v>1.989706</v>
      </c>
      <c r="S1022" s="3">
        <v>356.16</v>
      </c>
      <c r="T1022" s="3">
        <v>338.25</v>
      </c>
      <c r="U1022" s="3">
        <v>-17.91</v>
      </c>
      <c r="V1022" s="70" t="s">
        <v>593</v>
      </c>
      <c r="W1022" s="3" t="s">
        <v>770</v>
      </c>
      <c r="X1022" s="3" t="s">
        <v>508</v>
      </c>
      <c r="Y1022" s="3" t="s">
        <v>508</v>
      </c>
    </row>
    <row r="1023" spans="1:25" hidden="1" x14ac:dyDescent="0.2">
      <c r="A1023" s="83" t="str">
        <f t="shared" si="15"/>
        <v>新蔡水韵天街小腿(琵琶腿）</v>
      </c>
      <c r="B1023" s="3" t="s">
        <v>703</v>
      </c>
      <c r="C1023" s="3">
        <v>44377</v>
      </c>
      <c r="D1023" s="3" t="s">
        <v>528</v>
      </c>
      <c r="E1023" s="3" t="s">
        <v>508</v>
      </c>
      <c r="F1023" s="3" t="s">
        <v>508</v>
      </c>
      <c r="G1023" s="70" t="s">
        <v>529</v>
      </c>
      <c r="H1023" s="3" t="s">
        <v>397</v>
      </c>
      <c r="I1023" s="3" t="s">
        <v>339</v>
      </c>
      <c r="J1023" s="3">
        <v>0</v>
      </c>
      <c r="K1023" s="3">
        <v>600</v>
      </c>
      <c r="L1023" s="3">
        <v>279</v>
      </c>
      <c r="M1023" s="3">
        <v>254</v>
      </c>
      <c r="N1023" s="3">
        <v>321</v>
      </c>
      <c r="O1023" s="70">
        <v>-67</v>
      </c>
      <c r="P1023" s="3">
        <v>0</v>
      </c>
      <c r="Q1023" s="3">
        <v>0</v>
      </c>
      <c r="R1023" s="3">
        <v>1.9435830000000001</v>
      </c>
      <c r="S1023" s="3">
        <v>-130.22</v>
      </c>
      <c r="T1023" s="3">
        <v>493.67</v>
      </c>
      <c r="U1023" s="3">
        <v>623.89</v>
      </c>
      <c r="V1023" s="70" t="s">
        <v>335</v>
      </c>
      <c r="W1023" s="3" t="s">
        <v>771</v>
      </c>
      <c r="X1023" s="3" t="s">
        <v>508</v>
      </c>
      <c r="Y1023" s="3" t="s">
        <v>508</v>
      </c>
    </row>
    <row r="1024" spans="1:25" hidden="1" x14ac:dyDescent="0.2">
      <c r="A1024" s="83" t="str">
        <f t="shared" si="15"/>
        <v>郑州康复中街切全翅</v>
      </c>
      <c r="B1024" s="3" t="s">
        <v>704</v>
      </c>
      <c r="C1024" s="3">
        <v>44377</v>
      </c>
      <c r="D1024" s="3" t="s">
        <v>530</v>
      </c>
      <c r="E1024" s="3" t="s">
        <v>508</v>
      </c>
      <c r="F1024" s="3" t="s">
        <v>508</v>
      </c>
      <c r="G1024" s="70" t="s">
        <v>531</v>
      </c>
      <c r="H1024" s="3" t="s">
        <v>397</v>
      </c>
      <c r="I1024" s="3" t="s">
        <v>532</v>
      </c>
      <c r="J1024" s="3">
        <v>0</v>
      </c>
      <c r="K1024" s="3">
        <v>0</v>
      </c>
      <c r="L1024" s="3">
        <v>132</v>
      </c>
      <c r="M1024" s="3">
        <v>0</v>
      </c>
      <c r="N1024" s="3">
        <v>-132</v>
      </c>
      <c r="O1024" s="70">
        <v>132</v>
      </c>
      <c r="P1024" s="3">
        <v>0</v>
      </c>
      <c r="Q1024" s="3">
        <v>0</v>
      </c>
      <c r="R1024" s="3">
        <v>2.8569930000000001</v>
      </c>
      <c r="S1024" s="3">
        <v>377.12</v>
      </c>
      <c r="T1024" s="3">
        <v>0</v>
      </c>
      <c r="U1024" s="3">
        <v>-377.12</v>
      </c>
      <c r="V1024" s="70" t="s">
        <v>593</v>
      </c>
      <c r="W1024" s="3" t="s">
        <v>772</v>
      </c>
      <c r="X1024" s="3" t="s">
        <v>508</v>
      </c>
      <c r="Y1024" s="3" t="s">
        <v>508</v>
      </c>
    </row>
    <row r="1025" spans="1:25" hidden="1" x14ac:dyDescent="0.2">
      <c r="A1025" s="83" t="str">
        <f t="shared" si="15"/>
        <v>郑州铁英街切全翅</v>
      </c>
      <c r="B1025" s="3" t="s">
        <v>707</v>
      </c>
      <c r="C1025" s="3">
        <v>44377</v>
      </c>
      <c r="D1025" s="3" t="s">
        <v>530</v>
      </c>
      <c r="E1025" s="3" t="s">
        <v>508</v>
      </c>
      <c r="F1025" s="3" t="s">
        <v>508</v>
      </c>
      <c r="G1025" s="70" t="s">
        <v>531</v>
      </c>
      <c r="H1025" s="3" t="s">
        <v>397</v>
      </c>
      <c r="I1025" s="3" t="s">
        <v>532</v>
      </c>
      <c r="J1025" s="3">
        <v>0</v>
      </c>
      <c r="K1025" s="3">
        <v>0</v>
      </c>
      <c r="L1025" s="3">
        <v>56</v>
      </c>
      <c r="M1025" s="3">
        <v>0</v>
      </c>
      <c r="N1025" s="3">
        <v>-56</v>
      </c>
      <c r="O1025" s="70">
        <v>56</v>
      </c>
      <c r="P1025" s="3">
        <v>0</v>
      </c>
      <c r="Q1025" s="3">
        <v>0</v>
      </c>
      <c r="R1025" s="3">
        <v>2.8569930000000001</v>
      </c>
      <c r="S1025" s="3">
        <v>159.99</v>
      </c>
      <c r="T1025" s="3">
        <v>0</v>
      </c>
      <c r="U1025" s="3">
        <v>-159.99</v>
      </c>
      <c r="V1025" s="70" t="s">
        <v>592</v>
      </c>
      <c r="W1025" s="3" t="s">
        <v>773</v>
      </c>
      <c r="X1025" s="3" t="s">
        <v>508</v>
      </c>
      <c r="Y1025" s="3" t="s">
        <v>508</v>
      </c>
    </row>
    <row r="1026" spans="1:25" hidden="1" x14ac:dyDescent="0.2">
      <c r="A1026" s="83" t="str">
        <f t="shared" si="15"/>
        <v>郑州西悦城切全翅</v>
      </c>
      <c r="B1026" s="3" t="s">
        <v>708</v>
      </c>
      <c r="C1026" s="3">
        <v>44377</v>
      </c>
      <c r="D1026" s="3" t="s">
        <v>530</v>
      </c>
      <c r="E1026" s="3" t="s">
        <v>508</v>
      </c>
      <c r="F1026" s="3" t="s">
        <v>508</v>
      </c>
      <c r="G1026" s="70" t="s">
        <v>531</v>
      </c>
      <c r="H1026" s="3" t="s">
        <v>397</v>
      </c>
      <c r="I1026" s="3" t="s">
        <v>532</v>
      </c>
      <c r="J1026" s="3">
        <v>0</v>
      </c>
      <c r="K1026" s="3">
        <v>0</v>
      </c>
      <c r="L1026" s="3">
        <v>159</v>
      </c>
      <c r="M1026" s="3">
        <v>0</v>
      </c>
      <c r="N1026" s="3">
        <v>-159</v>
      </c>
      <c r="O1026" s="70">
        <v>159</v>
      </c>
      <c r="P1026" s="3">
        <v>0</v>
      </c>
      <c r="Q1026" s="3">
        <v>0</v>
      </c>
      <c r="R1026" s="3">
        <v>2.8569930000000001</v>
      </c>
      <c r="S1026" s="3">
        <v>454.26</v>
      </c>
      <c r="T1026" s="3">
        <v>0</v>
      </c>
      <c r="U1026" s="3">
        <v>-454.26</v>
      </c>
      <c r="V1026" s="70" t="s">
        <v>332</v>
      </c>
      <c r="W1026" s="3" t="s">
        <v>774</v>
      </c>
      <c r="X1026" s="3" t="s">
        <v>508</v>
      </c>
      <c r="Y1026" s="3" t="s">
        <v>508</v>
      </c>
    </row>
    <row r="1027" spans="1:25" hidden="1" x14ac:dyDescent="0.2">
      <c r="A1027" s="83" t="str">
        <f t="shared" ref="A1027:A1090" si="16">V1027&amp;G1027</f>
        <v>华山龙源切全翅</v>
      </c>
      <c r="B1027" s="3" t="s">
        <v>705</v>
      </c>
      <c r="C1027" s="3">
        <v>44377</v>
      </c>
      <c r="D1027" s="3" t="s">
        <v>530</v>
      </c>
      <c r="E1027" s="3" t="s">
        <v>508</v>
      </c>
      <c r="F1027" s="3" t="s">
        <v>508</v>
      </c>
      <c r="G1027" s="70" t="s">
        <v>531</v>
      </c>
      <c r="H1027" s="3" t="s">
        <v>397</v>
      </c>
      <c r="I1027" s="3" t="s">
        <v>532</v>
      </c>
      <c r="J1027" s="3">
        <v>0</v>
      </c>
      <c r="K1027" s="3">
        <v>0</v>
      </c>
      <c r="L1027" s="3">
        <v>20</v>
      </c>
      <c r="M1027" s="3">
        <v>52</v>
      </c>
      <c r="N1027" s="3">
        <v>-20</v>
      </c>
      <c r="O1027" s="70">
        <v>72</v>
      </c>
      <c r="P1027" s="3">
        <v>0</v>
      </c>
      <c r="Q1027" s="3">
        <v>0</v>
      </c>
      <c r="R1027" s="3">
        <v>2.8569230000000001</v>
      </c>
      <c r="S1027" s="3">
        <v>205.7</v>
      </c>
      <c r="T1027" s="3">
        <v>148.56</v>
      </c>
      <c r="U1027" s="3">
        <v>-57.14</v>
      </c>
      <c r="V1027" s="70" t="s">
        <v>643</v>
      </c>
      <c r="W1027" s="3" t="s">
        <v>775</v>
      </c>
      <c r="X1027" s="3" t="s">
        <v>508</v>
      </c>
      <c r="Y1027" s="3" t="s">
        <v>508</v>
      </c>
    </row>
    <row r="1028" spans="1:25" hidden="1" x14ac:dyDescent="0.2">
      <c r="A1028" s="83" t="str">
        <f t="shared" si="16"/>
        <v>郑州瀚海海尚切全翅</v>
      </c>
      <c r="B1028" s="3" t="s">
        <v>706</v>
      </c>
      <c r="C1028" s="3">
        <v>44377</v>
      </c>
      <c r="D1028" s="3" t="s">
        <v>530</v>
      </c>
      <c r="E1028" s="3" t="s">
        <v>508</v>
      </c>
      <c r="F1028" s="3" t="s">
        <v>508</v>
      </c>
      <c r="G1028" s="70" t="s">
        <v>531</v>
      </c>
      <c r="H1028" s="3" t="s">
        <v>397</v>
      </c>
      <c r="I1028" s="3" t="s">
        <v>532</v>
      </c>
      <c r="J1028" s="3">
        <v>0</v>
      </c>
      <c r="K1028" s="3">
        <v>0</v>
      </c>
      <c r="L1028" s="3">
        <v>75</v>
      </c>
      <c r="M1028" s="3">
        <v>0</v>
      </c>
      <c r="N1028" s="3">
        <v>-75</v>
      </c>
      <c r="O1028" s="70">
        <v>75</v>
      </c>
      <c r="P1028" s="3">
        <v>0</v>
      </c>
      <c r="Q1028" s="3">
        <v>0</v>
      </c>
      <c r="R1028" s="3">
        <v>2.8569930000000001</v>
      </c>
      <c r="S1028" s="3">
        <v>214.27</v>
      </c>
      <c r="T1028" s="3">
        <v>0</v>
      </c>
      <c r="U1028" s="3">
        <v>-214.27</v>
      </c>
      <c r="V1028" s="70" t="s">
        <v>333</v>
      </c>
      <c r="W1028" s="3" t="s">
        <v>776</v>
      </c>
      <c r="X1028" s="3" t="s">
        <v>508</v>
      </c>
      <c r="Y1028" s="3" t="s">
        <v>508</v>
      </c>
    </row>
    <row r="1029" spans="1:25" hidden="1" x14ac:dyDescent="0.2">
      <c r="A1029" s="83" t="str">
        <f t="shared" si="16"/>
        <v>方城锦城国际切全翅</v>
      </c>
      <c r="B1029" s="3" t="s">
        <v>712</v>
      </c>
      <c r="C1029" s="3">
        <v>44377</v>
      </c>
      <c r="D1029" s="3" t="s">
        <v>530</v>
      </c>
      <c r="E1029" s="3" t="s">
        <v>508</v>
      </c>
      <c r="F1029" s="3" t="s">
        <v>508</v>
      </c>
      <c r="G1029" s="70" t="s">
        <v>531</v>
      </c>
      <c r="H1029" s="3" t="s">
        <v>397</v>
      </c>
      <c r="I1029" s="3" t="s">
        <v>532</v>
      </c>
      <c r="J1029" s="3">
        <v>93</v>
      </c>
      <c r="K1029" s="3">
        <v>120</v>
      </c>
      <c r="L1029" s="3">
        <v>110</v>
      </c>
      <c r="M1029" s="3">
        <v>103</v>
      </c>
      <c r="N1029" s="3">
        <v>103</v>
      </c>
      <c r="O1029" s="70">
        <v>0</v>
      </c>
      <c r="P1029" s="3">
        <v>0</v>
      </c>
      <c r="Q1029" s="3">
        <v>0</v>
      </c>
      <c r="R1029" s="3">
        <v>2.2949510000000002</v>
      </c>
      <c r="S1029" s="3">
        <v>0</v>
      </c>
      <c r="T1029" s="3">
        <v>236.38</v>
      </c>
      <c r="U1029" s="3">
        <v>236.38</v>
      </c>
      <c r="V1029" s="70" t="s">
        <v>594</v>
      </c>
      <c r="W1029" s="3" t="s">
        <v>343</v>
      </c>
      <c r="X1029" s="3" t="s">
        <v>508</v>
      </c>
      <c r="Y1029" s="3" t="s">
        <v>508</v>
      </c>
    </row>
    <row r="1030" spans="1:25" hidden="1" x14ac:dyDescent="0.2">
      <c r="A1030" s="83" t="str">
        <f t="shared" si="16"/>
        <v>清丰凤鸣切全翅</v>
      </c>
      <c r="B1030" s="3" t="s">
        <v>713</v>
      </c>
      <c r="C1030" s="3">
        <v>44377</v>
      </c>
      <c r="D1030" s="3" t="s">
        <v>530</v>
      </c>
      <c r="E1030" s="3" t="s">
        <v>508</v>
      </c>
      <c r="F1030" s="3" t="s">
        <v>508</v>
      </c>
      <c r="G1030" s="70" t="s">
        <v>531</v>
      </c>
      <c r="H1030" s="3" t="s">
        <v>397</v>
      </c>
      <c r="I1030" s="3" t="s">
        <v>532</v>
      </c>
      <c r="J1030" s="3">
        <v>0</v>
      </c>
      <c r="K1030" s="3">
        <v>0</v>
      </c>
      <c r="L1030" s="3">
        <v>27</v>
      </c>
      <c r="M1030" s="3">
        <v>0</v>
      </c>
      <c r="N1030" s="3">
        <v>-27</v>
      </c>
      <c r="O1030" s="70">
        <v>27</v>
      </c>
      <c r="P1030" s="3">
        <v>0</v>
      </c>
      <c r="Q1030" s="3">
        <v>0</v>
      </c>
      <c r="R1030" s="3">
        <v>2.8569930000000001</v>
      </c>
      <c r="S1030" s="3">
        <v>77.14</v>
      </c>
      <c r="T1030" s="3">
        <v>0</v>
      </c>
      <c r="U1030" s="3">
        <v>-77.14</v>
      </c>
      <c r="V1030" s="70" t="s">
        <v>334</v>
      </c>
      <c r="W1030" s="3" t="s">
        <v>777</v>
      </c>
      <c r="X1030" s="3" t="s">
        <v>508</v>
      </c>
      <c r="Y1030" s="3" t="s">
        <v>508</v>
      </c>
    </row>
    <row r="1031" spans="1:25" hidden="1" x14ac:dyDescent="0.2">
      <c r="A1031" s="83" t="str">
        <f t="shared" si="16"/>
        <v>郑州裕华切全翅</v>
      </c>
      <c r="B1031" s="3" t="s">
        <v>711</v>
      </c>
      <c r="C1031" s="3">
        <v>44377</v>
      </c>
      <c r="D1031" s="3" t="s">
        <v>530</v>
      </c>
      <c r="E1031" s="3" t="s">
        <v>508</v>
      </c>
      <c r="F1031" s="3" t="s">
        <v>508</v>
      </c>
      <c r="G1031" s="70" t="s">
        <v>531</v>
      </c>
      <c r="H1031" s="3" t="s">
        <v>397</v>
      </c>
      <c r="I1031" s="3" t="s">
        <v>532</v>
      </c>
      <c r="J1031" s="3">
        <v>0</v>
      </c>
      <c r="K1031" s="3">
        <v>0</v>
      </c>
      <c r="L1031" s="3">
        <v>72</v>
      </c>
      <c r="M1031" s="3">
        <v>0</v>
      </c>
      <c r="N1031" s="3">
        <v>-72</v>
      </c>
      <c r="O1031" s="70">
        <v>72</v>
      </c>
      <c r="P1031" s="3">
        <v>0</v>
      </c>
      <c r="Q1031" s="3">
        <v>0</v>
      </c>
      <c r="R1031" s="3">
        <v>2.8569930000000001</v>
      </c>
      <c r="S1031" s="3">
        <v>205.7</v>
      </c>
      <c r="T1031" s="3">
        <v>0</v>
      </c>
      <c r="U1031" s="3">
        <v>-205.7</v>
      </c>
      <c r="V1031" s="70" t="s">
        <v>641</v>
      </c>
      <c r="W1031" s="3" t="s">
        <v>775</v>
      </c>
      <c r="X1031" s="3" t="s">
        <v>508</v>
      </c>
      <c r="Y1031" s="3" t="s">
        <v>508</v>
      </c>
    </row>
    <row r="1032" spans="1:25" hidden="1" x14ac:dyDescent="0.2">
      <c r="A1032" s="83" t="str">
        <f t="shared" si="16"/>
        <v>郑州盛华里切全翅</v>
      </c>
      <c r="B1032" s="3" t="s">
        <v>709</v>
      </c>
      <c r="C1032" s="3">
        <v>44377</v>
      </c>
      <c r="D1032" s="3" t="s">
        <v>530</v>
      </c>
      <c r="E1032" s="3" t="s">
        <v>508</v>
      </c>
      <c r="F1032" s="3" t="s">
        <v>508</v>
      </c>
      <c r="G1032" s="70" t="s">
        <v>531</v>
      </c>
      <c r="H1032" s="3" t="s">
        <v>397</v>
      </c>
      <c r="I1032" s="3" t="s">
        <v>532</v>
      </c>
      <c r="J1032" s="3">
        <v>0</v>
      </c>
      <c r="K1032" s="3">
        <v>0</v>
      </c>
      <c r="L1032" s="3">
        <v>37</v>
      </c>
      <c r="M1032" s="3">
        <v>0</v>
      </c>
      <c r="N1032" s="3">
        <v>-37</v>
      </c>
      <c r="O1032" s="70">
        <v>37</v>
      </c>
      <c r="P1032" s="3">
        <v>0</v>
      </c>
      <c r="Q1032" s="3">
        <v>0</v>
      </c>
      <c r="R1032" s="3">
        <v>2.8569930000000001</v>
      </c>
      <c r="S1032" s="3">
        <v>105.71</v>
      </c>
      <c r="T1032" s="3">
        <v>0</v>
      </c>
      <c r="U1032" s="3">
        <v>-105.71</v>
      </c>
      <c r="V1032" s="70" t="s">
        <v>637</v>
      </c>
      <c r="W1032" s="3" t="s">
        <v>343</v>
      </c>
      <c r="X1032" s="3" t="s">
        <v>508</v>
      </c>
      <c r="Y1032" s="3" t="s">
        <v>508</v>
      </c>
    </row>
    <row r="1033" spans="1:25" hidden="1" x14ac:dyDescent="0.2">
      <c r="A1033" s="83" t="str">
        <f t="shared" si="16"/>
        <v>滑县滑台切全翅</v>
      </c>
      <c r="B1033" s="3" t="s">
        <v>710</v>
      </c>
      <c r="C1033" s="3">
        <v>44377</v>
      </c>
      <c r="D1033" s="3" t="s">
        <v>530</v>
      </c>
      <c r="E1033" s="3" t="s">
        <v>508</v>
      </c>
      <c r="F1033" s="3" t="s">
        <v>508</v>
      </c>
      <c r="G1033" s="70" t="s">
        <v>531</v>
      </c>
      <c r="H1033" s="3" t="s">
        <v>397</v>
      </c>
      <c r="I1033" s="3" t="s">
        <v>532</v>
      </c>
      <c r="J1033" s="3">
        <v>0</v>
      </c>
      <c r="K1033" s="3">
        <v>0</v>
      </c>
      <c r="L1033" s="3">
        <v>35</v>
      </c>
      <c r="M1033" s="3">
        <v>0</v>
      </c>
      <c r="N1033" s="3">
        <v>-35</v>
      </c>
      <c r="O1033" s="70">
        <v>35</v>
      </c>
      <c r="P1033" s="3">
        <v>0</v>
      </c>
      <c r="Q1033" s="3">
        <v>0</v>
      </c>
      <c r="R1033" s="3">
        <v>2.8569930000000001</v>
      </c>
      <c r="S1033" s="3">
        <v>99.99</v>
      </c>
      <c r="T1033" s="3">
        <v>0</v>
      </c>
      <c r="U1033" s="3">
        <v>-99.99</v>
      </c>
      <c r="V1033" s="70" t="s">
        <v>639</v>
      </c>
      <c r="W1033" s="3" t="s">
        <v>778</v>
      </c>
      <c r="X1033" s="3" t="s">
        <v>508</v>
      </c>
      <c r="Y1033" s="3" t="s">
        <v>508</v>
      </c>
    </row>
    <row r="1034" spans="1:25" hidden="1" x14ac:dyDescent="0.2">
      <c r="A1034" s="83" t="str">
        <f t="shared" si="16"/>
        <v>郑州政六街切全翅</v>
      </c>
      <c r="B1034" s="3" t="s">
        <v>714</v>
      </c>
      <c r="C1034" s="3">
        <v>44377</v>
      </c>
      <c r="D1034" s="3" t="s">
        <v>530</v>
      </c>
      <c r="E1034" s="3" t="s">
        <v>508</v>
      </c>
      <c r="F1034" s="3" t="s">
        <v>508</v>
      </c>
      <c r="G1034" s="70" t="s">
        <v>531</v>
      </c>
      <c r="H1034" s="3" t="s">
        <v>397</v>
      </c>
      <c r="I1034" s="3" t="s">
        <v>532</v>
      </c>
      <c r="J1034" s="3">
        <v>89</v>
      </c>
      <c r="K1034" s="3">
        <v>0</v>
      </c>
      <c r="L1034" s="3">
        <v>23</v>
      </c>
      <c r="M1034" s="3">
        <v>65</v>
      </c>
      <c r="N1034" s="3">
        <v>66</v>
      </c>
      <c r="O1034" s="70">
        <v>-1</v>
      </c>
      <c r="P1034" s="3">
        <v>0</v>
      </c>
      <c r="Q1034" s="3">
        <v>0</v>
      </c>
      <c r="R1034" s="3">
        <v>2.5499999999999998</v>
      </c>
      <c r="S1034" s="3">
        <v>-2.5499999999999998</v>
      </c>
      <c r="T1034" s="3">
        <v>165.75</v>
      </c>
      <c r="U1034" s="3">
        <v>168.3</v>
      </c>
      <c r="V1034" s="70" t="s">
        <v>591</v>
      </c>
      <c r="W1034" s="3" t="s">
        <v>343</v>
      </c>
      <c r="X1034" s="3" t="s">
        <v>508</v>
      </c>
      <c r="Y1034" s="3" t="s">
        <v>508</v>
      </c>
    </row>
    <row r="1035" spans="1:25" hidden="1" x14ac:dyDescent="0.2">
      <c r="A1035" s="83" t="str">
        <f t="shared" si="16"/>
        <v>郑州政六街骨肉串</v>
      </c>
      <c r="B1035" s="3" t="s">
        <v>714</v>
      </c>
      <c r="C1035" s="3">
        <v>44377</v>
      </c>
      <c r="D1035" s="3" t="s">
        <v>533</v>
      </c>
      <c r="E1035" s="3" t="s">
        <v>508</v>
      </c>
      <c r="F1035" s="3" t="s">
        <v>508</v>
      </c>
      <c r="G1035" s="70" t="s">
        <v>534</v>
      </c>
      <c r="H1035" s="3" t="s">
        <v>343</v>
      </c>
      <c r="I1035" s="3" t="s">
        <v>339</v>
      </c>
      <c r="J1035" s="3">
        <v>50</v>
      </c>
      <c r="K1035" s="3">
        <v>600</v>
      </c>
      <c r="L1035" s="3">
        <v>398</v>
      </c>
      <c r="M1035" s="3">
        <v>236</v>
      </c>
      <c r="N1035" s="3">
        <v>252</v>
      </c>
      <c r="O1035" s="70">
        <v>-16</v>
      </c>
      <c r="P1035" s="3">
        <v>0</v>
      </c>
      <c r="Q1035" s="3">
        <v>0</v>
      </c>
      <c r="R1035" s="3">
        <v>0.88652500000000001</v>
      </c>
      <c r="S1035" s="3">
        <v>-14.18</v>
      </c>
      <c r="T1035" s="3">
        <v>209.22</v>
      </c>
      <c r="U1035" s="3">
        <v>223.4</v>
      </c>
      <c r="V1035" s="70" t="s">
        <v>591</v>
      </c>
      <c r="W1035" s="3" t="s">
        <v>343</v>
      </c>
      <c r="X1035" s="3" t="s">
        <v>508</v>
      </c>
      <c r="Y1035" s="3" t="s">
        <v>508</v>
      </c>
    </row>
    <row r="1036" spans="1:25" hidden="1" x14ac:dyDescent="0.2">
      <c r="A1036" s="83" t="str">
        <f t="shared" si="16"/>
        <v>滑县滑台骨肉串</v>
      </c>
      <c r="B1036" s="3" t="s">
        <v>710</v>
      </c>
      <c r="C1036" s="3">
        <v>44377</v>
      </c>
      <c r="D1036" s="3" t="s">
        <v>533</v>
      </c>
      <c r="E1036" s="3" t="s">
        <v>508</v>
      </c>
      <c r="F1036" s="3" t="s">
        <v>508</v>
      </c>
      <c r="G1036" s="70" t="s">
        <v>534</v>
      </c>
      <c r="H1036" s="3" t="s">
        <v>343</v>
      </c>
      <c r="I1036" s="3" t="s">
        <v>339</v>
      </c>
      <c r="J1036" s="3">
        <v>82</v>
      </c>
      <c r="K1036" s="3">
        <v>200</v>
      </c>
      <c r="L1036" s="3">
        <v>254</v>
      </c>
      <c r="M1036" s="3">
        <v>28</v>
      </c>
      <c r="N1036" s="3">
        <v>28</v>
      </c>
      <c r="O1036" s="70">
        <v>0</v>
      </c>
      <c r="P1036" s="3">
        <v>0</v>
      </c>
      <c r="Q1036" s="3">
        <v>0</v>
      </c>
      <c r="R1036" s="3">
        <v>0.88535699999999995</v>
      </c>
      <c r="S1036" s="3">
        <v>0</v>
      </c>
      <c r="T1036" s="3">
        <v>24.79</v>
      </c>
      <c r="U1036" s="3">
        <v>24.79</v>
      </c>
      <c r="V1036" s="70" t="s">
        <v>639</v>
      </c>
      <c r="W1036" s="3" t="s">
        <v>343</v>
      </c>
      <c r="X1036" s="3" t="s">
        <v>508</v>
      </c>
      <c r="Y1036" s="3" t="s">
        <v>508</v>
      </c>
    </row>
    <row r="1037" spans="1:25" hidden="1" x14ac:dyDescent="0.2">
      <c r="A1037" s="83" t="str">
        <f t="shared" si="16"/>
        <v>郑州盛华里骨肉串</v>
      </c>
      <c r="B1037" s="3" t="s">
        <v>709</v>
      </c>
      <c r="C1037" s="3">
        <v>44377</v>
      </c>
      <c r="D1037" s="3" t="s">
        <v>533</v>
      </c>
      <c r="E1037" s="3" t="s">
        <v>508</v>
      </c>
      <c r="F1037" s="3" t="s">
        <v>508</v>
      </c>
      <c r="G1037" s="70" t="s">
        <v>534</v>
      </c>
      <c r="H1037" s="3" t="s">
        <v>343</v>
      </c>
      <c r="I1037" s="3" t="s">
        <v>339</v>
      </c>
      <c r="J1037" s="3">
        <v>163</v>
      </c>
      <c r="K1037" s="3">
        <v>0</v>
      </c>
      <c r="L1037" s="3">
        <v>88</v>
      </c>
      <c r="M1037" s="3">
        <v>75</v>
      </c>
      <c r="N1037" s="3">
        <v>75</v>
      </c>
      <c r="O1037" s="70">
        <v>0</v>
      </c>
      <c r="P1037" s="3">
        <v>0</v>
      </c>
      <c r="Q1037" s="3">
        <v>0</v>
      </c>
      <c r="R1037" s="3">
        <v>0.9052</v>
      </c>
      <c r="S1037" s="3">
        <v>0</v>
      </c>
      <c r="T1037" s="3">
        <v>67.89</v>
      </c>
      <c r="U1037" s="3">
        <v>67.89</v>
      </c>
      <c r="V1037" s="70" t="s">
        <v>637</v>
      </c>
      <c r="W1037" s="3" t="s">
        <v>343</v>
      </c>
      <c r="X1037" s="3" t="s">
        <v>508</v>
      </c>
      <c r="Y1037" s="3" t="s">
        <v>508</v>
      </c>
    </row>
    <row r="1038" spans="1:25" hidden="1" x14ac:dyDescent="0.2">
      <c r="A1038" s="83" t="str">
        <f t="shared" si="16"/>
        <v>郑州裕华骨肉串</v>
      </c>
      <c r="B1038" s="3" t="s">
        <v>711</v>
      </c>
      <c r="C1038" s="3">
        <v>44377</v>
      </c>
      <c r="D1038" s="3" t="s">
        <v>533</v>
      </c>
      <c r="E1038" s="3" t="s">
        <v>508</v>
      </c>
      <c r="F1038" s="3" t="s">
        <v>508</v>
      </c>
      <c r="G1038" s="70" t="s">
        <v>534</v>
      </c>
      <c r="H1038" s="3" t="s">
        <v>343</v>
      </c>
      <c r="I1038" s="3" t="s">
        <v>339</v>
      </c>
      <c r="J1038" s="3">
        <v>179</v>
      </c>
      <c r="K1038" s="3">
        <v>0</v>
      </c>
      <c r="L1038" s="3">
        <v>48</v>
      </c>
      <c r="M1038" s="3">
        <v>128</v>
      </c>
      <c r="N1038" s="3">
        <v>131</v>
      </c>
      <c r="O1038" s="70">
        <v>-3</v>
      </c>
      <c r="P1038" s="3">
        <v>0</v>
      </c>
      <c r="Q1038" s="3">
        <v>0</v>
      </c>
      <c r="R1038" s="3">
        <v>0.88500000000000001</v>
      </c>
      <c r="S1038" s="3">
        <v>-2.66</v>
      </c>
      <c r="T1038" s="3">
        <v>113.28</v>
      </c>
      <c r="U1038" s="3">
        <v>115.94</v>
      </c>
      <c r="V1038" s="70" t="s">
        <v>641</v>
      </c>
      <c r="W1038" s="3" t="s">
        <v>343</v>
      </c>
      <c r="X1038" s="3" t="s">
        <v>508</v>
      </c>
      <c r="Y1038" s="3" t="s">
        <v>508</v>
      </c>
    </row>
    <row r="1039" spans="1:25" hidden="1" x14ac:dyDescent="0.2">
      <c r="A1039" s="83" t="str">
        <f t="shared" si="16"/>
        <v>方城锦城国际骨肉串</v>
      </c>
      <c r="B1039" s="3" t="s">
        <v>712</v>
      </c>
      <c r="C1039" s="3">
        <v>44377</v>
      </c>
      <c r="D1039" s="3" t="s">
        <v>533</v>
      </c>
      <c r="E1039" s="3" t="s">
        <v>508</v>
      </c>
      <c r="F1039" s="3" t="s">
        <v>508</v>
      </c>
      <c r="G1039" s="70" t="s">
        <v>534</v>
      </c>
      <c r="H1039" s="3" t="s">
        <v>343</v>
      </c>
      <c r="I1039" s="3" t="s">
        <v>339</v>
      </c>
      <c r="J1039" s="3">
        <v>17</v>
      </c>
      <c r="K1039" s="3">
        <v>200</v>
      </c>
      <c r="L1039" s="3">
        <v>154</v>
      </c>
      <c r="M1039" s="3">
        <v>63</v>
      </c>
      <c r="N1039" s="3">
        <v>63</v>
      </c>
      <c r="O1039" s="70">
        <v>0</v>
      </c>
      <c r="P1039" s="3">
        <v>0</v>
      </c>
      <c r="Q1039" s="3">
        <v>0</v>
      </c>
      <c r="R1039" s="3">
        <v>0.88666699999999998</v>
      </c>
      <c r="S1039" s="3">
        <v>0</v>
      </c>
      <c r="T1039" s="3">
        <v>55.86</v>
      </c>
      <c r="U1039" s="3">
        <v>55.86</v>
      </c>
      <c r="V1039" s="70" t="s">
        <v>594</v>
      </c>
      <c r="W1039" s="3" t="s">
        <v>343</v>
      </c>
      <c r="X1039" s="3" t="s">
        <v>508</v>
      </c>
      <c r="Y1039" s="3" t="s">
        <v>508</v>
      </c>
    </row>
    <row r="1040" spans="1:25" hidden="1" x14ac:dyDescent="0.2">
      <c r="A1040" s="83" t="str">
        <f t="shared" si="16"/>
        <v>清丰凤鸣骨肉串</v>
      </c>
      <c r="B1040" s="3" t="s">
        <v>713</v>
      </c>
      <c r="C1040" s="3">
        <v>44377</v>
      </c>
      <c r="D1040" s="3" t="s">
        <v>533</v>
      </c>
      <c r="E1040" s="3" t="s">
        <v>508</v>
      </c>
      <c r="F1040" s="3" t="s">
        <v>508</v>
      </c>
      <c r="G1040" s="70" t="s">
        <v>534</v>
      </c>
      <c r="H1040" s="3" t="s">
        <v>343</v>
      </c>
      <c r="I1040" s="3" t="s">
        <v>339</v>
      </c>
      <c r="J1040" s="3">
        <v>229</v>
      </c>
      <c r="K1040" s="3">
        <v>0</v>
      </c>
      <c r="L1040" s="3">
        <v>139</v>
      </c>
      <c r="M1040" s="3">
        <v>90</v>
      </c>
      <c r="N1040" s="3">
        <v>90</v>
      </c>
      <c r="O1040" s="70">
        <v>0</v>
      </c>
      <c r="P1040" s="3">
        <v>0</v>
      </c>
      <c r="Q1040" s="3">
        <v>0</v>
      </c>
      <c r="R1040" s="3">
        <v>0.90500000000000003</v>
      </c>
      <c r="S1040" s="3">
        <v>0</v>
      </c>
      <c r="T1040" s="3">
        <v>81.45</v>
      </c>
      <c r="U1040" s="3">
        <v>81.45</v>
      </c>
      <c r="V1040" s="70" t="s">
        <v>334</v>
      </c>
      <c r="W1040" s="3" t="s">
        <v>343</v>
      </c>
      <c r="X1040" s="3" t="s">
        <v>508</v>
      </c>
      <c r="Y1040" s="3" t="s">
        <v>508</v>
      </c>
    </row>
    <row r="1041" spans="1:25" hidden="1" x14ac:dyDescent="0.2">
      <c r="A1041" s="83" t="str">
        <f t="shared" si="16"/>
        <v>华山龙源骨肉串</v>
      </c>
      <c r="B1041" s="3" t="s">
        <v>705</v>
      </c>
      <c r="C1041" s="3">
        <v>44377</v>
      </c>
      <c r="D1041" s="3" t="s">
        <v>533</v>
      </c>
      <c r="E1041" s="3" t="s">
        <v>508</v>
      </c>
      <c r="F1041" s="3" t="s">
        <v>508</v>
      </c>
      <c r="G1041" s="70" t="s">
        <v>534</v>
      </c>
      <c r="H1041" s="3" t="s">
        <v>343</v>
      </c>
      <c r="I1041" s="3" t="s">
        <v>339</v>
      </c>
      <c r="J1041" s="3">
        <v>80</v>
      </c>
      <c r="K1041" s="3">
        <v>40</v>
      </c>
      <c r="L1041" s="3">
        <v>95</v>
      </c>
      <c r="M1041" s="3">
        <v>25</v>
      </c>
      <c r="N1041" s="3">
        <v>25</v>
      </c>
      <c r="O1041" s="70">
        <v>0</v>
      </c>
      <c r="P1041" s="3">
        <v>0</v>
      </c>
      <c r="Q1041" s="3">
        <v>0</v>
      </c>
      <c r="R1041" s="3">
        <v>0.89880000000000004</v>
      </c>
      <c r="S1041" s="3">
        <v>0</v>
      </c>
      <c r="T1041" s="3">
        <v>22.47</v>
      </c>
      <c r="U1041" s="3">
        <v>22.47</v>
      </c>
      <c r="V1041" s="70" t="s">
        <v>643</v>
      </c>
      <c r="W1041" s="3" t="s">
        <v>343</v>
      </c>
      <c r="X1041" s="3" t="s">
        <v>508</v>
      </c>
      <c r="Y1041" s="3" t="s">
        <v>508</v>
      </c>
    </row>
    <row r="1042" spans="1:25" hidden="1" x14ac:dyDescent="0.2">
      <c r="A1042" s="83" t="str">
        <f t="shared" si="16"/>
        <v>郑州瀚海海尚骨肉串</v>
      </c>
      <c r="B1042" s="3" t="s">
        <v>706</v>
      </c>
      <c r="C1042" s="3">
        <v>44377</v>
      </c>
      <c r="D1042" s="3" t="s">
        <v>533</v>
      </c>
      <c r="E1042" s="3" t="s">
        <v>508</v>
      </c>
      <c r="F1042" s="3" t="s">
        <v>508</v>
      </c>
      <c r="G1042" s="70" t="s">
        <v>534</v>
      </c>
      <c r="H1042" s="3" t="s">
        <v>343</v>
      </c>
      <c r="I1042" s="3" t="s">
        <v>339</v>
      </c>
      <c r="J1042" s="3">
        <v>104</v>
      </c>
      <c r="K1042" s="3">
        <v>200</v>
      </c>
      <c r="L1042" s="3">
        <v>206</v>
      </c>
      <c r="M1042" s="3">
        <v>98</v>
      </c>
      <c r="N1042" s="3">
        <v>98</v>
      </c>
      <c r="O1042" s="70">
        <v>0</v>
      </c>
      <c r="P1042" s="3">
        <v>0</v>
      </c>
      <c r="Q1042" s="3">
        <v>0</v>
      </c>
      <c r="R1042" s="3">
        <v>0.88724499999999995</v>
      </c>
      <c r="S1042" s="3">
        <v>0</v>
      </c>
      <c r="T1042" s="3">
        <v>86.95</v>
      </c>
      <c r="U1042" s="3">
        <v>86.95</v>
      </c>
      <c r="V1042" s="70" t="s">
        <v>333</v>
      </c>
      <c r="W1042" s="3" t="s">
        <v>343</v>
      </c>
      <c r="X1042" s="3" t="s">
        <v>508</v>
      </c>
      <c r="Y1042" s="3" t="s">
        <v>508</v>
      </c>
    </row>
    <row r="1043" spans="1:25" hidden="1" x14ac:dyDescent="0.2">
      <c r="A1043" s="83" t="str">
        <f t="shared" si="16"/>
        <v>郑州西悦城骨肉串</v>
      </c>
      <c r="B1043" s="3" t="s">
        <v>708</v>
      </c>
      <c r="C1043" s="3">
        <v>44377</v>
      </c>
      <c r="D1043" s="3" t="s">
        <v>533</v>
      </c>
      <c r="E1043" s="3" t="s">
        <v>508</v>
      </c>
      <c r="F1043" s="3" t="s">
        <v>508</v>
      </c>
      <c r="G1043" s="70" t="s">
        <v>534</v>
      </c>
      <c r="H1043" s="3" t="s">
        <v>343</v>
      </c>
      <c r="I1043" s="3" t="s">
        <v>339</v>
      </c>
      <c r="J1043" s="3">
        <v>151</v>
      </c>
      <c r="K1043" s="3">
        <v>200</v>
      </c>
      <c r="L1043" s="3">
        <v>331</v>
      </c>
      <c r="M1043" s="3">
        <v>20</v>
      </c>
      <c r="N1043" s="3">
        <v>20</v>
      </c>
      <c r="O1043" s="70">
        <v>0</v>
      </c>
      <c r="P1043" s="3">
        <v>0</v>
      </c>
      <c r="Q1043" s="3">
        <v>0</v>
      </c>
      <c r="R1043" s="3">
        <v>0.88649999999999995</v>
      </c>
      <c r="S1043" s="3">
        <v>0</v>
      </c>
      <c r="T1043" s="3">
        <v>17.73</v>
      </c>
      <c r="U1043" s="3">
        <v>17.73</v>
      </c>
      <c r="V1043" s="70" t="s">
        <v>332</v>
      </c>
      <c r="W1043" s="3" t="s">
        <v>343</v>
      </c>
      <c r="X1043" s="3" t="s">
        <v>508</v>
      </c>
      <c r="Y1043" s="3" t="s">
        <v>508</v>
      </c>
    </row>
    <row r="1044" spans="1:25" hidden="1" x14ac:dyDescent="0.2">
      <c r="A1044" s="83" t="str">
        <f t="shared" si="16"/>
        <v>郑州铁英街骨肉串</v>
      </c>
      <c r="B1044" s="3" t="s">
        <v>707</v>
      </c>
      <c r="C1044" s="3">
        <v>44377</v>
      </c>
      <c r="D1044" s="3" t="s">
        <v>533</v>
      </c>
      <c r="E1044" s="3" t="s">
        <v>508</v>
      </c>
      <c r="F1044" s="3" t="s">
        <v>508</v>
      </c>
      <c r="G1044" s="70" t="s">
        <v>534</v>
      </c>
      <c r="H1044" s="3" t="s">
        <v>343</v>
      </c>
      <c r="I1044" s="3" t="s">
        <v>339</v>
      </c>
      <c r="J1044" s="3">
        <v>101</v>
      </c>
      <c r="K1044" s="3">
        <v>0</v>
      </c>
      <c r="L1044" s="3">
        <v>42</v>
      </c>
      <c r="M1044" s="3">
        <v>58</v>
      </c>
      <c r="N1044" s="3">
        <v>59</v>
      </c>
      <c r="O1044" s="70">
        <v>-1</v>
      </c>
      <c r="P1044" s="3">
        <v>0</v>
      </c>
      <c r="Q1044" s="3">
        <v>0</v>
      </c>
      <c r="R1044" s="3">
        <v>0.90482799999999997</v>
      </c>
      <c r="S1044" s="3">
        <v>-0.9</v>
      </c>
      <c r="T1044" s="3">
        <v>52.48</v>
      </c>
      <c r="U1044" s="3">
        <v>53.38</v>
      </c>
      <c r="V1044" s="70" t="s">
        <v>592</v>
      </c>
      <c r="W1044" s="3" t="s">
        <v>343</v>
      </c>
      <c r="X1044" s="3" t="s">
        <v>508</v>
      </c>
      <c r="Y1044" s="3" t="s">
        <v>508</v>
      </c>
    </row>
    <row r="1045" spans="1:25" hidden="1" x14ac:dyDescent="0.2">
      <c r="A1045" s="83" t="str">
        <f t="shared" si="16"/>
        <v>郑州康复中街骨肉串</v>
      </c>
      <c r="B1045" s="3" t="s">
        <v>704</v>
      </c>
      <c r="C1045" s="3">
        <v>44377</v>
      </c>
      <c r="D1045" s="3" t="s">
        <v>533</v>
      </c>
      <c r="E1045" s="3" t="s">
        <v>508</v>
      </c>
      <c r="F1045" s="3" t="s">
        <v>508</v>
      </c>
      <c r="G1045" s="70" t="s">
        <v>534</v>
      </c>
      <c r="H1045" s="3" t="s">
        <v>343</v>
      </c>
      <c r="I1045" s="3" t="s">
        <v>339</v>
      </c>
      <c r="J1045" s="3">
        <v>152</v>
      </c>
      <c r="K1045" s="3">
        <v>400</v>
      </c>
      <c r="L1045" s="3">
        <v>523</v>
      </c>
      <c r="M1045" s="3">
        <v>29</v>
      </c>
      <c r="N1045" s="3">
        <v>29</v>
      </c>
      <c r="O1045" s="70">
        <v>0</v>
      </c>
      <c r="P1045" s="3">
        <v>0</v>
      </c>
      <c r="Q1045" s="3">
        <v>0</v>
      </c>
      <c r="R1045" s="3">
        <v>0.885517</v>
      </c>
      <c r="S1045" s="3">
        <v>0</v>
      </c>
      <c r="T1045" s="3">
        <v>25.68</v>
      </c>
      <c r="U1045" s="3">
        <v>25.68</v>
      </c>
      <c r="V1045" s="70" t="s">
        <v>593</v>
      </c>
      <c r="W1045" s="3" t="s">
        <v>343</v>
      </c>
      <c r="X1045" s="3" t="s">
        <v>508</v>
      </c>
      <c r="Y1045" s="3" t="s">
        <v>508</v>
      </c>
    </row>
    <row r="1046" spans="1:25" hidden="1" x14ac:dyDescent="0.2">
      <c r="A1046" s="83" t="str">
        <f t="shared" si="16"/>
        <v>新蔡水韵天街骨肉串</v>
      </c>
      <c r="B1046" s="3" t="s">
        <v>703</v>
      </c>
      <c r="C1046" s="3">
        <v>44377</v>
      </c>
      <c r="D1046" s="3" t="s">
        <v>533</v>
      </c>
      <c r="E1046" s="3" t="s">
        <v>508</v>
      </c>
      <c r="F1046" s="3" t="s">
        <v>508</v>
      </c>
      <c r="G1046" s="70" t="s">
        <v>534</v>
      </c>
      <c r="H1046" s="3" t="s">
        <v>343</v>
      </c>
      <c r="I1046" s="3" t="s">
        <v>339</v>
      </c>
      <c r="J1046" s="3">
        <v>253</v>
      </c>
      <c r="K1046" s="3">
        <v>200</v>
      </c>
      <c r="L1046" s="3">
        <v>271</v>
      </c>
      <c r="M1046" s="3">
        <v>180</v>
      </c>
      <c r="N1046" s="3">
        <v>182</v>
      </c>
      <c r="O1046" s="70">
        <v>-2</v>
      </c>
      <c r="P1046" s="3">
        <v>0</v>
      </c>
      <c r="Q1046" s="3">
        <v>0</v>
      </c>
      <c r="R1046" s="3">
        <v>0.88500000000000001</v>
      </c>
      <c r="S1046" s="3">
        <v>-1.77</v>
      </c>
      <c r="T1046" s="3">
        <v>159.30000000000001</v>
      </c>
      <c r="U1046" s="3">
        <v>161.07</v>
      </c>
      <c r="V1046" s="70" t="s">
        <v>335</v>
      </c>
      <c r="W1046" s="3" t="s">
        <v>343</v>
      </c>
      <c r="X1046" s="3" t="s">
        <v>508</v>
      </c>
      <c r="Y1046" s="3" t="s">
        <v>508</v>
      </c>
    </row>
    <row r="1047" spans="1:25" hidden="1" x14ac:dyDescent="0.2">
      <c r="A1047" s="83" t="str">
        <f t="shared" si="16"/>
        <v>新蔡水韵天街田园堡肉</v>
      </c>
      <c r="B1047" s="3" t="s">
        <v>703</v>
      </c>
      <c r="C1047" s="3">
        <v>44377</v>
      </c>
      <c r="D1047" s="3" t="s">
        <v>535</v>
      </c>
      <c r="E1047" s="3" t="s">
        <v>508</v>
      </c>
      <c r="F1047" s="3" t="s">
        <v>508</v>
      </c>
      <c r="G1047" s="70" t="s">
        <v>536</v>
      </c>
      <c r="H1047" s="3" t="s">
        <v>510</v>
      </c>
      <c r="I1047" s="3" t="s">
        <v>511</v>
      </c>
      <c r="J1047" s="3">
        <v>108</v>
      </c>
      <c r="K1047" s="3">
        <v>0</v>
      </c>
      <c r="L1047" s="3">
        <v>77</v>
      </c>
      <c r="M1047" s="3">
        <v>31</v>
      </c>
      <c r="N1047" s="3">
        <v>31</v>
      </c>
      <c r="O1047" s="70">
        <v>0</v>
      </c>
      <c r="P1047" s="3">
        <v>0</v>
      </c>
      <c r="Q1047" s="3">
        <v>0</v>
      </c>
      <c r="R1047" s="3">
        <v>1.118387</v>
      </c>
      <c r="S1047" s="3">
        <v>0</v>
      </c>
      <c r="T1047" s="3">
        <v>34.67</v>
      </c>
      <c r="U1047" s="3">
        <v>34.67</v>
      </c>
      <c r="V1047" s="70" t="s">
        <v>335</v>
      </c>
      <c r="W1047" s="3" t="s">
        <v>343</v>
      </c>
      <c r="X1047" s="3" t="s">
        <v>508</v>
      </c>
      <c r="Y1047" s="3" t="s">
        <v>508</v>
      </c>
    </row>
    <row r="1048" spans="1:25" hidden="1" x14ac:dyDescent="0.2">
      <c r="A1048" s="83" t="str">
        <f t="shared" si="16"/>
        <v>郑州康复中街田园堡肉</v>
      </c>
      <c r="B1048" s="3" t="s">
        <v>704</v>
      </c>
      <c r="C1048" s="3">
        <v>44377</v>
      </c>
      <c r="D1048" s="3" t="s">
        <v>535</v>
      </c>
      <c r="E1048" s="3" t="s">
        <v>508</v>
      </c>
      <c r="F1048" s="3" t="s">
        <v>508</v>
      </c>
      <c r="G1048" s="70" t="s">
        <v>536</v>
      </c>
      <c r="H1048" s="3" t="s">
        <v>510</v>
      </c>
      <c r="I1048" s="3" t="s">
        <v>511</v>
      </c>
      <c r="J1048" s="3">
        <v>48</v>
      </c>
      <c r="K1048" s="3">
        <v>150</v>
      </c>
      <c r="L1048" s="3">
        <v>131</v>
      </c>
      <c r="M1048" s="3">
        <v>67</v>
      </c>
      <c r="N1048" s="3">
        <v>67</v>
      </c>
      <c r="O1048" s="70">
        <v>0</v>
      </c>
      <c r="P1048" s="3">
        <v>0</v>
      </c>
      <c r="Q1048" s="3">
        <v>0</v>
      </c>
      <c r="R1048" s="3">
        <v>1.118657</v>
      </c>
      <c r="S1048" s="3">
        <v>0</v>
      </c>
      <c r="T1048" s="3">
        <v>74.95</v>
      </c>
      <c r="U1048" s="3">
        <v>74.95</v>
      </c>
      <c r="V1048" s="70" t="s">
        <v>593</v>
      </c>
      <c r="W1048" s="3" t="s">
        <v>343</v>
      </c>
      <c r="X1048" s="3" t="s">
        <v>508</v>
      </c>
      <c r="Y1048" s="3" t="s">
        <v>508</v>
      </c>
    </row>
    <row r="1049" spans="1:25" hidden="1" x14ac:dyDescent="0.2">
      <c r="A1049" s="83" t="str">
        <f t="shared" si="16"/>
        <v>郑州铁英街田园堡肉</v>
      </c>
      <c r="B1049" s="3" t="s">
        <v>707</v>
      </c>
      <c r="C1049" s="3">
        <v>44377</v>
      </c>
      <c r="D1049" s="3" t="s">
        <v>535</v>
      </c>
      <c r="E1049" s="3" t="s">
        <v>508</v>
      </c>
      <c r="F1049" s="3" t="s">
        <v>508</v>
      </c>
      <c r="G1049" s="70" t="s">
        <v>536</v>
      </c>
      <c r="H1049" s="3" t="s">
        <v>510</v>
      </c>
      <c r="I1049" s="3" t="s">
        <v>511</v>
      </c>
      <c r="J1049" s="3">
        <v>15</v>
      </c>
      <c r="K1049" s="3">
        <v>150</v>
      </c>
      <c r="L1049" s="3">
        <v>49</v>
      </c>
      <c r="M1049" s="3">
        <v>116</v>
      </c>
      <c r="N1049" s="3">
        <v>116</v>
      </c>
      <c r="O1049" s="70">
        <v>0</v>
      </c>
      <c r="P1049" s="3">
        <v>0</v>
      </c>
      <c r="Q1049" s="3">
        <v>0</v>
      </c>
      <c r="R1049" s="3">
        <v>1.1184480000000001</v>
      </c>
      <c r="S1049" s="3">
        <v>0</v>
      </c>
      <c r="T1049" s="3">
        <v>129.74</v>
      </c>
      <c r="U1049" s="3">
        <v>129.74</v>
      </c>
      <c r="V1049" s="70" t="s">
        <v>592</v>
      </c>
      <c r="W1049" s="3" t="s">
        <v>343</v>
      </c>
      <c r="X1049" s="3" t="s">
        <v>508</v>
      </c>
      <c r="Y1049" s="3" t="s">
        <v>508</v>
      </c>
    </row>
    <row r="1050" spans="1:25" hidden="1" x14ac:dyDescent="0.2">
      <c r="A1050" s="83" t="str">
        <f t="shared" si="16"/>
        <v>郑州西悦城田园堡肉</v>
      </c>
      <c r="B1050" s="3" t="s">
        <v>708</v>
      </c>
      <c r="C1050" s="3">
        <v>44377</v>
      </c>
      <c r="D1050" s="3" t="s">
        <v>535</v>
      </c>
      <c r="E1050" s="3" t="s">
        <v>508</v>
      </c>
      <c r="F1050" s="3" t="s">
        <v>508</v>
      </c>
      <c r="G1050" s="70" t="s">
        <v>536</v>
      </c>
      <c r="H1050" s="3" t="s">
        <v>510</v>
      </c>
      <c r="I1050" s="3" t="s">
        <v>511</v>
      </c>
      <c r="J1050" s="3">
        <v>100</v>
      </c>
      <c r="K1050" s="3">
        <v>150</v>
      </c>
      <c r="L1050" s="3">
        <v>142</v>
      </c>
      <c r="M1050" s="3">
        <v>108</v>
      </c>
      <c r="N1050" s="3">
        <v>108</v>
      </c>
      <c r="O1050" s="70">
        <v>0</v>
      </c>
      <c r="P1050" s="3">
        <v>0</v>
      </c>
      <c r="Q1050" s="3">
        <v>0</v>
      </c>
      <c r="R1050" s="3">
        <v>1.118333</v>
      </c>
      <c r="S1050" s="3">
        <v>0</v>
      </c>
      <c r="T1050" s="3">
        <v>120.78</v>
      </c>
      <c r="U1050" s="3">
        <v>120.78</v>
      </c>
      <c r="V1050" s="70" t="s">
        <v>332</v>
      </c>
      <c r="W1050" s="3" t="s">
        <v>343</v>
      </c>
      <c r="X1050" s="3" t="s">
        <v>508</v>
      </c>
      <c r="Y1050" s="3" t="s">
        <v>508</v>
      </c>
    </row>
    <row r="1051" spans="1:25" hidden="1" x14ac:dyDescent="0.2">
      <c r="A1051" s="83" t="str">
        <f t="shared" si="16"/>
        <v>华山龙源田园堡肉</v>
      </c>
      <c r="B1051" s="3" t="s">
        <v>705</v>
      </c>
      <c r="C1051" s="3">
        <v>44377</v>
      </c>
      <c r="D1051" s="3" t="s">
        <v>535</v>
      </c>
      <c r="E1051" s="3" t="s">
        <v>508</v>
      </c>
      <c r="F1051" s="3" t="s">
        <v>508</v>
      </c>
      <c r="G1051" s="70" t="s">
        <v>536</v>
      </c>
      <c r="H1051" s="3" t="s">
        <v>510</v>
      </c>
      <c r="I1051" s="3" t="s">
        <v>511</v>
      </c>
      <c r="J1051" s="3">
        <v>95</v>
      </c>
      <c r="K1051" s="3">
        <v>0</v>
      </c>
      <c r="L1051" s="3">
        <v>76</v>
      </c>
      <c r="M1051" s="3">
        <v>19</v>
      </c>
      <c r="N1051" s="3">
        <v>19</v>
      </c>
      <c r="O1051" s="70">
        <v>0</v>
      </c>
      <c r="P1051" s="3">
        <v>0</v>
      </c>
      <c r="Q1051" s="3">
        <v>0</v>
      </c>
      <c r="R1051" s="3">
        <v>1.1173679999999999</v>
      </c>
      <c r="S1051" s="3">
        <v>0</v>
      </c>
      <c r="T1051" s="3">
        <v>21.23</v>
      </c>
      <c r="U1051" s="3">
        <v>21.23</v>
      </c>
      <c r="V1051" s="70" t="s">
        <v>643</v>
      </c>
      <c r="W1051" s="3" t="s">
        <v>343</v>
      </c>
      <c r="X1051" s="3" t="s">
        <v>508</v>
      </c>
      <c r="Y1051" s="3" t="s">
        <v>508</v>
      </c>
    </row>
    <row r="1052" spans="1:25" hidden="1" x14ac:dyDescent="0.2">
      <c r="A1052" s="83" t="str">
        <f t="shared" si="16"/>
        <v>郑州瀚海海尚田园堡肉</v>
      </c>
      <c r="B1052" s="3" t="s">
        <v>706</v>
      </c>
      <c r="C1052" s="3">
        <v>44377</v>
      </c>
      <c r="D1052" s="3" t="s">
        <v>535</v>
      </c>
      <c r="E1052" s="3" t="s">
        <v>508</v>
      </c>
      <c r="F1052" s="3" t="s">
        <v>508</v>
      </c>
      <c r="G1052" s="70" t="s">
        <v>536</v>
      </c>
      <c r="H1052" s="3" t="s">
        <v>510</v>
      </c>
      <c r="I1052" s="3" t="s">
        <v>511</v>
      </c>
      <c r="J1052" s="3">
        <v>63</v>
      </c>
      <c r="K1052" s="3">
        <v>150</v>
      </c>
      <c r="L1052" s="3">
        <v>188</v>
      </c>
      <c r="M1052" s="3">
        <v>25</v>
      </c>
      <c r="N1052" s="3">
        <v>25</v>
      </c>
      <c r="O1052" s="70">
        <v>0</v>
      </c>
      <c r="P1052" s="3">
        <v>0</v>
      </c>
      <c r="Q1052" s="3">
        <v>0</v>
      </c>
      <c r="R1052" s="3">
        <v>1.1188</v>
      </c>
      <c r="S1052" s="3">
        <v>0</v>
      </c>
      <c r="T1052" s="3">
        <v>27.97</v>
      </c>
      <c r="U1052" s="3">
        <v>27.97</v>
      </c>
      <c r="V1052" s="70" t="s">
        <v>333</v>
      </c>
      <c r="W1052" s="3" t="s">
        <v>343</v>
      </c>
      <c r="X1052" s="3" t="s">
        <v>508</v>
      </c>
      <c r="Y1052" s="3" t="s">
        <v>508</v>
      </c>
    </row>
    <row r="1053" spans="1:25" hidden="1" x14ac:dyDescent="0.2">
      <c r="A1053" s="83" t="str">
        <f t="shared" si="16"/>
        <v>方城锦城国际田园堡肉</v>
      </c>
      <c r="B1053" s="3" t="s">
        <v>712</v>
      </c>
      <c r="C1053" s="3">
        <v>44377</v>
      </c>
      <c r="D1053" s="3" t="s">
        <v>535</v>
      </c>
      <c r="E1053" s="3" t="s">
        <v>508</v>
      </c>
      <c r="F1053" s="3" t="s">
        <v>508</v>
      </c>
      <c r="G1053" s="70" t="s">
        <v>536</v>
      </c>
      <c r="H1053" s="3" t="s">
        <v>510</v>
      </c>
      <c r="I1053" s="3" t="s">
        <v>511</v>
      </c>
      <c r="J1053" s="3">
        <v>116</v>
      </c>
      <c r="K1053" s="3">
        <v>150</v>
      </c>
      <c r="L1053" s="3">
        <v>140</v>
      </c>
      <c r="M1053" s="3">
        <v>126</v>
      </c>
      <c r="N1053" s="3">
        <v>126</v>
      </c>
      <c r="O1053" s="70">
        <v>0</v>
      </c>
      <c r="P1053" s="3">
        <v>0</v>
      </c>
      <c r="Q1053" s="3">
        <v>0</v>
      </c>
      <c r="R1053" s="3">
        <v>1.118492</v>
      </c>
      <c r="S1053" s="3">
        <v>0</v>
      </c>
      <c r="T1053" s="3">
        <v>140.93</v>
      </c>
      <c r="U1053" s="3">
        <v>140.93</v>
      </c>
      <c r="V1053" s="70" t="s">
        <v>594</v>
      </c>
      <c r="W1053" s="3" t="s">
        <v>343</v>
      </c>
      <c r="X1053" s="3" t="s">
        <v>508</v>
      </c>
      <c r="Y1053" s="3" t="s">
        <v>508</v>
      </c>
    </row>
    <row r="1054" spans="1:25" hidden="1" x14ac:dyDescent="0.2">
      <c r="A1054" s="83" t="str">
        <f t="shared" si="16"/>
        <v>清丰凤鸣田园堡肉</v>
      </c>
      <c r="B1054" s="3" t="s">
        <v>713</v>
      </c>
      <c r="C1054" s="3">
        <v>44377</v>
      </c>
      <c r="D1054" s="3" t="s">
        <v>535</v>
      </c>
      <c r="E1054" s="3" t="s">
        <v>508</v>
      </c>
      <c r="F1054" s="3" t="s">
        <v>508</v>
      </c>
      <c r="G1054" s="70" t="s">
        <v>536</v>
      </c>
      <c r="H1054" s="3" t="s">
        <v>510</v>
      </c>
      <c r="I1054" s="3" t="s">
        <v>511</v>
      </c>
      <c r="J1054" s="3">
        <v>130</v>
      </c>
      <c r="K1054" s="3">
        <v>0</v>
      </c>
      <c r="L1054" s="3">
        <v>52</v>
      </c>
      <c r="M1054" s="3">
        <v>75</v>
      </c>
      <c r="N1054" s="3">
        <v>78</v>
      </c>
      <c r="O1054" s="70">
        <v>-3</v>
      </c>
      <c r="P1054" s="3">
        <v>0</v>
      </c>
      <c r="Q1054" s="3">
        <v>0</v>
      </c>
      <c r="R1054" s="3">
        <v>1.1184000000000001</v>
      </c>
      <c r="S1054" s="3">
        <v>-3.36</v>
      </c>
      <c r="T1054" s="3">
        <v>83.88</v>
      </c>
      <c r="U1054" s="3">
        <v>87.24</v>
      </c>
      <c r="V1054" s="70" t="s">
        <v>334</v>
      </c>
      <c r="W1054" s="3" t="s">
        <v>343</v>
      </c>
      <c r="X1054" s="3" t="s">
        <v>508</v>
      </c>
      <c r="Y1054" s="3" t="s">
        <v>508</v>
      </c>
    </row>
    <row r="1055" spans="1:25" hidden="1" x14ac:dyDescent="0.2">
      <c r="A1055" s="83" t="str">
        <f t="shared" si="16"/>
        <v>郑州裕华田园堡肉</v>
      </c>
      <c r="B1055" s="3" t="s">
        <v>711</v>
      </c>
      <c r="C1055" s="3">
        <v>44377</v>
      </c>
      <c r="D1055" s="3" t="s">
        <v>535</v>
      </c>
      <c r="E1055" s="3" t="s">
        <v>508</v>
      </c>
      <c r="F1055" s="3" t="s">
        <v>508</v>
      </c>
      <c r="G1055" s="70" t="s">
        <v>536</v>
      </c>
      <c r="H1055" s="3" t="s">
        <v>510</v>
      </c>
      <c r="I1055" s="3" t="s">
        <v>511</v>
      </c>
      <c r="J1055" s="3">
        <v>76</v>
      </c>
      <c r="K1055" s="3">
        <v>300</v>
      </c>
      <c r="L1055" s="3">
        <v>95</v>
      </c>
      <c r="M1055" s="3">
        <v>263</v>
      </c>
      <c r="N1055" s="3">
        <v>281</v>
      </c>
      <c r="O1055" s="70">
        <v>-18</v>
      </c>
      <c r="P1055" s="3">
        <v>0</v>
      </c>
      <c r="Q1055" s="3">
        <v>0</v>
      </c>
      <c r="R1055" s="3">
        <v>1.118517</v>
      </c>
      <c r="S1055" s="3">
        <v>-20.13</v>
      </c>
      <c r="T1055" s="3">
        <v>294.17</v>
      </c>
      <c r="U1055" s="3">
        <v>314.3</v>
      </c>
      <c r="V1055" s="70" t="s">
        <v>641</v>
      </c>
      <c r="W1055" s="3" t="s">
        <v>343</v>
      </c>
      <c r="X1055" s="3" t="s">
        <v>508</v>
      </c>
      <c r="Y1055" s="3" t="s">
        <v>508</v>
      </c>
    </row>
    <row r="1056" spans="1:25" hidden="1" x14ac:dyDescent="0.2">
      <c r="A1056" s="83" t="str">
        <f t="shared" si="16"/>
        <v>郑州盛华里田园堡肉</v>
      </c>
      <c r="B1056" s="3" t="s">
        <v>709</v>
      </c>
      <c r="C1056" s="3">
        <v>44377</v>
      </c>
      <c r="D1056" s="3" t="s">
        <v>535</v>
      </c>
      <c r="E1056" s="3" t="s">
        <v>508</v>
      </c>
      <c r="F1056" s="3" t="s">
        <v>508</v>
      </c>
      <c r="G1056" s="70" t="s">
        <v>536</v>
      </c>
      <c r="H1056" s="3" t="s">
        <v>510</v>
      </c>
      <c r="I1056" s="3" t="s">
        <v>511</v>
      </c>
      <c r="J1056" s="3">
        <v>135</v>
      </c>
      <c r="K1056" s="3">
        <v>0</v>
      </c>
      <c r="L1056" s="3">
        <v>20</v>
      </c>
      <c r="M1056" s="3">
        <v>115</v>
      </c>
      <c r="N1056" s="3">
        <v>115</v>
      </c>
      <c r="O1056" s="70">
        <v>0</v>
      </c>
      <c r="P1056" s="3">
        <v>0</v>
      </c>
      <c r="Q1056" s="3">
        <v>0</v>
      </c>
      <c r="R1056" s="3">
        <v>1.118522</v>
      </c>
      <c r="S1056" s="3">
        <v>0</v>
      </c>
      <c r="T1056" s="3">
        <v>128.63</v>
      </c>
      <c r="U1056" s="3">
        <v>128.63</v>
      </c>
      <c r="V1056" s="70" t="s">
        <v>637</v>
      </c>
      <c r="W1056" s="3" t="s">
        <v>343</v>
      </c>
      <c r="X1056" s="3" t="s">
        <v>508</v>
      </c>
      <c r="Y1056" s="3" t="s">
        <v>508</v>
      </c>
    </row>
    <row r="1057" spans="1:25" hidden="1" x14ac:dyDescent="0.2">
      <c r="A1057" s="83" t="str">
        <f t="shared" si="16"/>
        <v>滑县滑台田园堡肉</v>
      </c>
      <c r="B1057" s="3" t="s">
        <v>710</v>
      </c>
      <c r="C1057" s="3">
        <v>44377</v>
      </c>
      <c r="D1057" s="3" t="s">
        <v>535</v>
      </c>
      <c r="E1057" s="3" t="s">
        <v>508</v>
      </c>
      <c r="F1057" s="3" t="s">
        <v>508</v>
      </c>
      <c r="G1057" s="70" t="s">
        <v>536</v>
      </c>
      <c r="H1057" s="3" t="s">
        <v>510</v>
      </c>
      <c r="I1057" s="3" t="s">
        <v>511</v>
      </c>
      <c r="J1057" s="3">
        <v>65</v>
      </c>
      <c r="K1057" s="3">
        <v>1200</v>
      </c>
      <c r="L1057" s="3">
        <v>1182</v>
      </c>
      <c r="M1057" s="3">
        <v>83</v>
      </c>
      <c r="N1057" s="3">
        <v>83</v>
      </c>
      <c r="O1057" s="70">
        <v>0</v>
      </c>
      <c r="P1057" s="3">
        <v>0</v>
      </c>
      <c r="Q1057" s="3">
        <v>0</v>
      </c>
      <c r="R1057" s="3">
        <v>1.1183129999999999</v>
      </c>
      <c r="S1057" s="3">
        <v>0</v>
      </c>
      <c r="T1057" s="3">
        <v>92.82</v>
      </c>
      <c r="U1057" s="3">
        <v>92.82</v>
      </c>
      <c r="V1057" s="70" t="s">
        <v>639</v>
      </c>
      <c r="W1057" s="3" t="s">
        <v>343</v>
      </c>
      <c r="X1057" s="3" t="s">
        <v>508</v>
      </c>
      <c r="Y1057" s="3" t="s">
        <v>508</v>
      </c>
    </row>
    <row r="1058" spans="1:25" hidden="1" x14ac:dyDescent="0.2">
      <c r="A1058" s="83" t="str">
        <f t="shared" si="16"/>
        <v>郑州政六街田园堡肉</v>
      </c>
      <c r="B1058" s="3" t="s">
        <v>714</v>
      </c>
      <c r="C1058" s="3">
        <v>44377</v>
      </c>
      <c r="D1058" s="3" t="s">
        <v>535</v>
      </c>
      <c r="E1058" s="3" t="s">
        <v>508</v>
      </c>
      <c r="F1058" s="3" t="s">
        <v>508</v>
      </c>
      <c r="G1058" s="70" t="s">
        <v>536</v>
      </c>
      <c r="H1058" s="3" t="s">
        <v>510</v>
      </c>
      <c r="I1058" s="3" t="s">
        <v>511</v>
      </c>
      <c r="J1058" s="3">
        <v>67</v>
      </c>
      <c r="K1058" s="3">
        <v>150</v>
      </c>
      <c r="L1058" s="3">
        <v>57</v>
      </c>
      <c r="M1058" s="3">
        <v>158</v>
      </c>
      <c r="N1058" s="3">
        <v>160</v>
      </c>
      <c r="O1058" s="70">
        <v>-2</v>
      </c>
      <c r="P1058" s="3">
        <v>0</v>
      </c>
      <c r="Q1058" s="3">
        <v>0</v>
      </c>
      <c r="R1058" s="3">
        <v>1.118608</v>
      </c>
      <c r="S1058" s="3">
        <v>-2.2400000000000002</v>
      </c>
      <c r="T1058" s="3">
        <v>176.74</v>
      </c>
      <c r="U1058" s="3">
        <v>178.98</v>
      </c>
      <c r="V1058" s="70" t="s">
        <v>591</v>
      </c>
      <c r="W1058" s="3" t="s">
        <v>343</v>
      </c>
      <c r="X1058" s="3" t="s">
        <v>508</v>
      </c>
      <c r="Y1058" s="3" t="s">
        <v>508</v>
      </c>
    </row>
    <row r="1059" spans="1:25" hidden="1" x14ac:dyDescent="0.2">
      <c r="A1059" s="83" t="str">
        <f t="shared" si="16"/>
        <v>郑州政六街玉米粒</v>
      </c>
      <c r="B1059" s="3" t="s">
        <v>714</v>
      </c>
      <c r="C1059" s="3">
        <v>44377</v>
      </c>
      <c r="D1059" s="3" t="s">
        <v>537</v>
      </c>
      <c r="E1059" s="3" t="s">
        <v>508</v>
      </c>
      <c r="F1059" s="3" t="s">
        <v>508</v>
      </c>
      <c r="G1059" s="70" t="s">
        <v>4</v>
      </c>
      <c r="H1059" s="3" t="s">
        <v>343</v>
      </c>
      <c r="I1059" s="3" t="s">
        <v>89</v>
      </c>
      <c r="J1059" s="3">
        <v>9600</v>
      </c>
      <c r="K1059" s="3">
        <v>15000</v>
      </c>
      <c r="L1059" s="3">
        <v>10292.4</v>
      </c>
      <c r="M1059" s="3">
        <v>15200</v>
      </c>
      <c r="N1059" s="3">
        <v>14307.6</v>
      </c>
      <c r="O1059" s="70">
        <v>892.4</v>
      </c>
      <c r="P1059" s="3">
        <v>0</v>
      </c>
      <c r="Q1059" s="3">
        <v>0</v>
      </c>
      <c r="R1059" s="3">
        <v>1.1833E-2</v>
      </c>
      <c r="S1059" s="3">
        <v>10.56</v>
      </c>
      <c r="T1059" s="3">
        <v>179.86</v>
      </c>
      <c r="U1059" s="3">
        <v>169.3</v>
      </c>
      <c r="V1059" s="70" t="s">
        <v>591</v>
      </c>
      <c r="W1059" s="3" t="s">
        <v>343</v>
      </c>
      <c r="X1059" s="3" t="s">
        <v>508</v>
      </c>
      <c r="Y1059" s="3" t="s">
        <v>508</v>
      </c>
    </row>
    <row r="1060" spans="1:25" hidden="1" x14ac:dyDescent="0.2">
      <c r="A1060" s="83" t="str">
        <f t="shared" si="16"/>
        <v>滑县滑台玉米粒</v>
      </c>
      <c r="B1060" s="3" t="s">
        <v>710</v>
      </c>
      <c r="C1060" s="3">
        <v>44377</v>
      </c>
      <c r="D1060" s="3" t="s">
        <v>537</v>
      </c>
      <c r="E1060" s="3" t="s">
        <v>508</v>
      </c>
      <c r="F1060" s="3" t="s">
        <v>508</v>
      </c>
      <c r="G1060" s="70" t="s">
        <v>4</v>
      </c>
      <c r="H1060" s="3" t="s">
        <v>343</v>
      </c>
      <c r="I1060" s="3" t="s">
        <v>89</v>
      </c>
      <c r="J1060" s="3">
        <v>11000</v>
      </c>
      <c r="K1060" s="3">
        <v>45000</v>
      </c>
      <c r="L1060" s="3">
        <v>39263.599999999999</v>
      </c>
      <c r="M1060" s="3">
        <v>17500</v>
      </c>
      <c r="N1060" s="3">
        <v>16736.400000000001</v>
      </c>
      <c r="O1060" s="70">
        <v>763.6</v>
      </c>
      <c r="P1060" s="3">
        <v>0</v>
      </c>
      <c r="Q1060" s="3">
        <v>0</v>
      </c>
      <c r="R1060" s="3">
        <v>1.1833E-2</v>
      </c>
      <c r="S1060" s="3">
        <v>9.0399999999999991</v>
      </c>
      <c r="T1060" s="3">
        <v>207.08</v>
      </c>
      <c r="U1060" s="3">
        <v>198.04</v>
      </c>
      <c r="V1060" s="70" t="s">
        <v>639</v>
      </c>
      <c r="W1060" s="3" t="s">
        <v>343</v>
      </c>
      <c r="X1060" s="3" t="s">
        <v>508</v>
      </c>
      <c r="Y1060" s="3" t="s">
        <v>508</v>
      </c>
    </row>
    <row r="1061" spans="1:25" hidden="1" x14ac:dyDescent="0.2">
      <c r="A1061" s="83" t="str">
        <f t="shared" si="16"/>
        <v>郑州盛华里玉米粒</v>
      </c>
      <c r="B1061" s="3" t="s">
        <v>709</v>
      </c>
      <c r="C1061" s="3">
        <v>44377</v>
      </c>
      <c r="D1061" s="3" t="s">
        <v>537</v>
      </c>
      <c r="E1061" s="3" t="s">
        <v>508</v>
      </c>
      <c r="F1061" s="3" t="s">
        <v>508</v>
      </c>
      <c r="G1061" s="70" t="s">
        <v>4</v>
      </c>
      <c r="H1061" s="3" t="s">
        <v>343</v>
      </c>
      <c r="I1061" s="3" t="s">
        <v>89</v>
      </c>
      <c r="J1061" s="3">
        <v>10500</v>
      </c>
      <c r="K1061" s="3">
        <v>15000</v>
      </c>
      <c r="L1061" s="3">
        <v>6099.2</v>
      </c>
      <c r="M1061" s="3">
        <v>19300</v>
      </c>
      <c r="N1061" s="3">
        <v>19400.8</v>
      </c>
      <c r="O1061" s="70">
        <v>-100.8</v>
      </c>
      <c r="P1061" s="3">
        <v>0</v>
      </c>
      <c r="Q1061" s="3">
        <v>0</v>
      </c>
      <c r="R1061" s="3">
        <v>1.1833E-2</v>
      </c>
      <c r="S1061" s="3">
        <v>-1.19</v>
      </c>
      <c r="T1061" s="3">
        <v>228.37</v>
      </c>
      <c r="U1061" s="3">
        <v>229.57</v>
      </c>
      <c r="V1061" s="70" t="s">
        <v>637</v>
      </c>
      <c r="W1061" s="3" t="s">
        <v>343</v>
      </c>
      <c r="X1061" s="3" t="s">
        <v>508</v>
      </c>
      <c r="Y1061" s="3" t="s">
        <v>508</v>
      </c>
    </row>
    <row r="1062" spans="1:25" hidden="1" x14ac:dyDescent="0.2">
      <c r="A1062" s="83" t="str">
        <f t="shared" si="16"/>
        <v>郑州裕华玉米粒</v>
      </c>
      <c r="B1062" s="3" t="s">
        <v>711</v>
      </c>
      <c r="C1062" s="3">
        <v>44377</v>
      </c>
      <c r="D1062" s="3" t="s">
        <v>537</v>
      </c>
      <c r="E1062" s="3" t="s">
        <v>508</v>
      </c>
      <c r="F1062" s="3" t="s">
        <v>508</v>
      </c>
      <c r="G1062" s="70" t="s">
        <v>4</v>
      </c>
      <c r="H1062" s="3" t="s">
        <v>343</v>
      </c>
      <c r="I1062" s="3" t="s">
        <v>89</v>
      </c>
      <c r="J1062" s="3">
        <v>2500</v>
      </c>
      <c r="K1062" s="3">
        <v>30000</v>
      </c>
      <c r="L1062" s="3">
        <v>15438.6</v>
      </c>
      <c r="M1062" s="3">
        <v>17000</v>
      </c>
      <c r="N1062" s="3">
        <v>17061.400000000001</v>
      </c>
      <c r="O1062" s="70">
        <v>-61.4</v>
      </c>
      <c r="P1062" s="3">
        <v>0</v>
      </c>
      <c r="Q1062" s="3">
        <v>0</v>
      </c>
      <c r="R1062" s="3">
        <v>1.1832000000000001E-2</v>
      </c>
      <c r="S1062" s="3">
        <v>-0.73</v>
      </c>
      <c r="T1062" s="3">
        <v>201.14</v>
      </c>
      <c r="U1062" s="3">
        <v>201.87</v>
      </c>
      <c r="V1062" s="70" t="s">
        <v>641</v>
      </c>
      <c r="W1062" s="3" t="s">
        <v>343</v>
      </c>
      <c r="X1062" s="3" t="s">
        <v>508</v>
      </c>
      <c r="Y1062" s="3" t="s">
        <v>508</v>
      </c>
    </row>
    <row r="1063" spans="1:25" hidden="1" x14ac:dyDescent="0.2">
      <c r="A1063" s="83" t="str">
        <f t="shared" si="16"/>
        <v>方城锦城国际玉米粒</v>
      </c>
      <c r="B1063" s="3" t="s">
        <v>712</v>
      </c>
      <c r="C1063" s="3">
        <v>44377</v>
      </c>
      <c r="D1063" s="3" t="s">
        <v>537</v>
      </c>
      <c r="E1063" s="3" t="s">
        <v>508</v>
      </c>
      <c r="F1063" s="3" t="s">
        <v>508</v>
      </c>
      <c r="G1063" s="70" t="s">
        <v>4</v>
      </c>
      <c r="H1063" s="3" t="s">
        <v>343</v>
      </c>
      <c r="I1063" s="3" t="s">
        <v>89</v>
      </c>
      <c r="J1063" s="3">
        <v>6000</v>
      </c>
      <c r="K1063" s="3">
        <v>15000</v>
      </c>
      <c r="L1063" s="3">
        <v>22300.2</v>
      </c>
      <c r="M1063" s="3">
        <v>0</v>
      </c>
      <c r="N1063" s="3">
        <v>-1300.2</v>
      </c>
      <c r="O1063" s="70">
        <v>1300.2</v>
      </c>
      <c r="P1063" s="3">
        <v>0</v>
      </c>
      <c r="Q1063" s="3">
        <v>0</v>
      </c>
      <c r="R1063" s="3">
        <v>1.1833E-2</v>
      </c>
      <c r="S1063" s="3">
        <v>15.39</v>
      </c>
      <c r="T1063" s="3">
        <v>0</v>
      </c>
      <c r="U1063" s="3">
        <v>-15.39</v>
      </c>
      <c r="V1063" s="70" t="s">
        <v>594</v>
      </c>
      <c r="W1063" s="3" t="s">
        <v>343</v>
      </c>
      <c r="X1063" s="3" t="s">
        <v>508</v>
      </c>
      <c r="Y1063" s="3" t="s">
        <v>508</v>
      </c>
    </row>
    <row r="1064" spans="1:25" hidden="1" x14ac:dyDescent="0.2">
      <c r="A1064" s="83" t="str">
        <f t="shared" si="16"/>
        <v>清丰凤鸣玉米粒</v>
      </c>
      <c r="B1064" s="3" t="s">
        <v>713</v>
      </c>
      <c r="C1064" s="3">
        <v>44377</v>
      </c>
      <c r="D1064" s="3" t="s">
        <v>537</v>
      </c>
      <c r="E1064" s="3" t="s">
        <v>508</v>
      </c>
      <c r="F1064" s="3" t="s">
        <v>508</v>
      </c>
      <c r="G1064" s="70" t="s">
        <v>4</v>
      </c>
      <c r="H1064" s="3" t="s">
        <v>343</v>
      </c>
      <c r="I1064" s="3" t="s">
        <v>89</v>
      </c>
      <c r="J1064" s="3">
        <v>15600</v>
      </c>
      <c r="K1064" s="3">
        <v>15000</v>
      </c>
      <c r="L1064" s="3">
        <v>18583.5</v>
      </c>
      <c r="M1064" s="3">
        <v>12500</v>
      </c>
      <c r="N1064" s="3">
        <v>12016.5</v>
      </c>
      <c r="O1064" s="70">
        <v>483.5</v>
      </c>
      <c r="P1064" s="3">
        <v>0</v>
      </c>
      <c r="Q1064" s="3">
        <v>0</v>
      </c>
      <c r="R1064" s="3">
        <v>1.1833E-2</v>
      </c>
      <c r="S1064" s="3">
        <v>5.72</v>
      </c>
      <c r="T1064" s="3">
        <v>147.91</v>
      </c>
      <c r="U1064" s="3">
        <v>142.19</v>
      </c>
      <c r="V1064" s="70" t="s">
        <v>334</v>
      </c>
      <c r="W1064" s="3" t="s">
        <v>343</v>
      </c>
      <c r="X1064" s="3" t="s">
        <v>508</v>
      </c>
      <c r="Y1064" s="3" t="s">
        <v>508</v>
      </c>
    </row>
    <row r="1065" spans="1:25" hidden="1" x14ac:dyDescent="0.2">
      <c r="A1065" s="83" t="str">
        <f t="shared" si="16"/>
        <v>华山龙源玉米粒</v>
      </c>
      <c r="B1065" s="3" t="s">
        <v>705</v>
      </c>
      <c r="C1065" s="3">
        <v>44377</v>
      </c>
      <c r="D1065" s="3" t="s">
        <v>537</v>
      </c>
      <c r="E1065" s="3" t="s">
        <v>508</v>
      </c>
      <c r="F1065" s="3" t="s">
        <v>508</v>
      </c>
      <c r="G1065" s="70" t="s">
        <v>4</v>
      </c>
      <c r="H1065" s="3" t="s">
        <v>343</v>
      </c>
      <c r="I1065" s="3" t="s">
        <v>89</v>
      </c>
      <c r="J1065" s="3">
        <v>7300</v>
      </c>
      <c r="K1065" s="3">
        <v>15000</v>
      </c>
      <c r="L1065" s="3">
        <v>11721.9</v>
      </c>
      <c r="M1065" s="3">
        <v>10756</v>
      </c>
      <c r="N1065" s="3">
        <v>10578.1</v>
      </c>
      <c r="O1065" s="70">
        <v>177.9</v>
      </c>
      <c r="P1065" s="3">
        <v>0</v>
      </c>
      <c r="Q1065" s="3">
        <v>0</v>
      </c>
      <c r="R1065" s="3">
        <v>1.1832000000000001E-2</v>
      </c>
      <c r="S1065" s="3">
        <v>2.1</v>
      </c>
      <c r="T1065" s="3">
        <v>127.27</v>
      </c>
      <c r="U1065" s="3">
        <v>125.16</v>
      </c>
      <c r="V1065" s="70" t="s">
        <v>643</v>
      </c>
      <c r="W1065" s="3" t="s">
        <v>343</v>
      </c>
      <c r="X1065" s="3" t="s">
        <v>508</v>
      </c>
      <c r="Y1065" s="3" t="s">
        <v>508</v>
      </c>
    </row>
    <row r="1066" spans="1:25" hidden="1" x14ac:dyDescent="0.2">
      <c r="A1066" s="83" t="str">
        <f t="shared" si="16"/>
        <v>郑州瀚海海尚玉米粒</v>
      </c>
      <c r="B1066" s="3" t="s">
        <v>706</v>
      </c>
      <c r="C1066" s="3">
        <v>44377</v>
      </c>
      <c r="D1066" s="3" t="s">
        <v>537</v>
      </c>
      <c r="E1066" s="3" t="s">
        <v>508</v>
      </c>
      <c r="F1066" s="3" t="s">
        <v>508</v>
      </c>
      <c r="G1066" s="70" t="s">
        <v>4</v>
      </c>
      <c r="H1066" s="3" t="s">
        <v>343</v>
      </c>
      <c r="I1066" s="3" t="s">
        <v>89</v>
      </c>
      <c r="J1066" s="3">
        <v>11000</v>
      </c>
      <c r="K1066" s="3">
        <v>15000</v>
      </c>
      <c r="L1066" s="3">
        <v>20584.8</v>
      </c>
      <c r="M1066" s="3">
        <v>5170</v>
      </c>
      <c r="N1066" s="3">
        <v>5415.2</v>
      </c>
      <c r="O1066" s="70">
        <v>-245.2</v>
      </c>
      <c r="P1066" s="3">
        <v>0</v>
      </c>
      <c r="Q1066" s="3">
        <v>0</v>
      </c>
      <c r="R1066" s="3">
        <v>1.1834000000000001E-2</v>
      </c>
      <c r="S1066" s="3">
        <v>-2.9</v>
      </c>
      <c r="T1066" s="3">
        <v>61.18</v>
      </c>
      <c r="U1066" s="3">
        <v>64.08</v>
      </c>
      <c r="V1066" s="70" t="s">
        <v>333</v>
      </c>
      <c r="W1066" s="3" t="s">
        <v>343</v>
      </c>
      <c r="X1066" s="3" t="s">
        <v>508</v>
      </c>
      <c r="Y1066" s="3" t="s">
        <v>508</v>
      </c>
    </row>
    <row r="1067" spans="1:25" hidden="1" x14ac:dyDescent="0.2">
      <c r="A1067" s="83" t="str">
        <f t="shared" si="16"/>
        <v>郑州铁英街玉米粒</v>
      </c>
      <c r="B1067" s="3" t="s">
        <v>707</v>
      </c>
      <c r="C1067" s="3">
        <v>44377</v>
      </c>
      <c r="D1067" s="3" t="s">
        <v>537</v>
      </c>
      <c r="E1067" s="3" t="s">
        <v>508</v>
      </c>
      <c r="F1067" s="3" t="s">
        <v>508</v>
      </c>
      <c r="G1067" s="70" t="s">
        <v>4</v>
      </c>
      <c r="H1067" s="3" t="s">
        <v>343</v>
      </c>
      <c r="I1067" s="3" t="s">
        <v>89</v>
      </c>
      <c r="J1067" s="3">
        <v>5800</v>
      </c>
      <c r="K1067" s="3">
        <v>15000</v>
      </c>
      <c r="L1067" s="3">
        <v>13151.4</v>
      </c>
      <c r="M1067" s="3">
        <v>8904</v>
      </c>
      <c r="N1067" s="3">
        <v>7648.6</v>
      </c>
      <c r="O1067" s="70">
        <v>1255.4000000000001</v>
      </c>
      <c r="P1067" s="3">
        <v>0</v>
      </c>
      <c r="Q1067" s="3">
        <v>0</v>
      </c>
      <c r="R1067" s="3">
        <v>1.1831E-2</v>
      </c>
      <c r="S1067" s="3">
        <v>14.85</v>
      </c>
      <c r="T1067" s="3">
        <v>105.34</v>
      </c>
      <c r="U1067" s="3">
        <v>90.49</v>
      </c>
      <c r="V1067" s="70" t="s">
        <v>592</v>
      </c>
      <c r="W1067" s="3" t="s">
        <v>343</v>
      </c>
      <c r="X1067" s="3" t="s">
        <v>508</v>
      </c>
      <c r="Y1067" s="3" t="s">
        <v>508</v>
      </c>
    </row>
    <row r="1068" spans="1:25" hidden="1" x14ac:dyDescent="0.2">
      <c r="A1068" s="83" t="str">
        <f t="shared" si="16"/>
        <v>郑州西悦城玉米粒</v>
      </c>
      <c r="B1068" s="3" t="s">
        <v>708</v>
      </c>
      <c r="C1068" s="3">
        <v>44377</v>
      </c>
      <c r="D1068" s="3" t="s">
        <v>537</v>
      </c>
      <c r="E1068" s="3" t="s">
        <v>508</v>
      </c>
      <c r="F1068" s="3" t="s">
        <v>508</v>
      </c>
      <c r="G1068" s="70" t="s">
        <v>4</v>
      </c>
      <c r="H1068" s="3" t="s">
        <v>343</v>
      </c>
      <c r="I1068" s="3" t="s">
        <v>89</v>
      </c>
      <c r="J1068" s="3">
        <v>3000</v>
      </c>
      <c r="K1068" s="3">
        <v>30000</v>
      </c>
      <c r="L1068" s="3">
        <v>30496</v>
      </c>
      <c r="M1068" s="3">
        <v>2500</v>
      </c>
      <c r="N1068" s="3">
        <v>2504</v>
      </c>
      <c r="O1068" s="70">
        <v>-4</v>
      </c>
      <c r="P1068" s="3">
        <v>0</v>
      </c>
      <c r="Q1068" s="3">
        <v>0</v>
      </c>
      <c r="R1068" s="3">
        <v>1.1828E-2</v>
      </c>
      <c r="S1068" s="3">
        <v>-0.05</v>
      </c>
      <c r="T1068" s="3">
        <v>29.57</v>
      </c>
      <c r="U1068" s="3">
        <v>29.62</v>
      </c>
      <c r="V1068" s="70" t="s">
        <v>332</v>
      </c>
      <c r="W1068" s="3" t="s">
        <v>343</v>
      </c>
      <c r="X1068" s="3" t="s">
        <v>508</v>
      </c>
      <c r="Y1068" s="3" t="s">
        <v>508</v>
      </c>
    </row>
    <row r="1069" spans="1:25" hidden="1" x14ac:dyDescent="0.2">
      <c r="A1069" s="83" t="str">
        <f t="shared" si="16"/>
        <v>郑州康复中街玉米粒</v>
      </c>
      <c r="B1069" s="3" t="s">
        <v>704</v>
      </c>
      <c r="C1069" s="3">
        <v>44377</v>
      </c>
      <c r="D1069" s="3" t="s">
        <v>537</v>
      </c>
      <c r="E1069" s="3" t="s">
        <v>508</v>
      </c>
      <c r="F1069" s="3" t="s">
        <v>508</v>
      </c>
      <c r="G1069" s="70" t="s">
        <v>4</v>
      </c>
      <c r="H1069" s="3" t="s">
        <v>343</v>
      </c>
      <c r="I1069" s="3" t="s">
        <v>89</v>
      </c>
      <c r="J1069" s="3">
        <v>14000</v>
      </c>
      <c r="K1069" s="3">
        <v>30000</v>
      </c>
      <c r="L1069" s="3">
        <v>18964.7</v>
      </c>
      <c r="M1069" s="3">
        <v>25000</v>
      </c>
      <c r="N1069" s="3">
        <v>25035.3</v>
      </c>
      <c r="O1069" s="70">
        <v>-35.299999999999997</v>
      </c>
      <c r="P1069" s="3">
        <v>0</v>
      </c>
      <c r="Q1069" s="3">
        <v>0</v>
      </c>
      <c r="R1069" s="3">
        <v>1.1833E-2</v>
      </c>
      <c r="S1069" s="3">
        <v>-0.42</v>
      </c>
      <c r="T1069" s="3">
        <v>295.83</v>
      </c>
      <c r="U1069" s="3">
        <v>296.24</v>
      </c>
      <c r="V1069" s="70" t="s">
        <v>593</v>
      </c>
      <c r="W1069" s="3" t="s">
        <v>343</v>
      </c>
      <c r="X1069" s="3" t="s">
        <v>508</v>
      </c>
      <c r="Y1069" s="3" t="s">
        <v>508</v>
      </c>
    </row>
    <row r="1070" spans="1:25" hidden="1" x14ac:dyDescent="0.2">
      <c r="A1070" s="83" t="str">
        <f t="shared" si="16"/>
        <v>新蔡水韵天街玉米粒</v>
      </c>
      <c r="B1070" s="3" t="s">
        <v>703</v>
      </c>
      <c r="C1070" s="3">
        <v>44377</v>
      </c>
      <c r="D1070" s="3" t="s">
        <v>537</v>
      </c>
      <c r="E1070" s="3" t="s">
        <v>508</v>
      </c>
      <c r="F1070" s="3" t="s">
        <v>508</v>
      </c>
      <c r="G1070" s="70" t="s">
        <v>4</v>
      </c>
      <c r="H1070" s="3" t="s">
        <v>343</v>
      </c>
      <c r="I1070" s="3" t="s">
        <v>89</v>
      </c>
      <c r="J1070" s="3">
        <v>4400</v>
      </c>
      <c r="K1070" s="3">
        <v>30000</v>
      </c>
      <c r="L1070" s="3">
        <v>19345.900000000001</v>
      </c>
      <c r="M1070" s="3">
        <v>15000</v>
      </c>
      <c r="N1070" s="3">
        <v>15054.1</v>
      </c>
      <c r="O1070" s="70">
        <v>-54.1</v>
      </c>
      <c r="P1070" s="3">
        <v>0</v>
      </c>
      <c r="Q1070" s="3">
        <v>0</v>
      </c>
      <c r="R1070" s="3">
        <v>1.1833E-2</v>
      </c>
      <c r="S1070" s="3">
        <v>-0.64</v>
      </c>
      <c r="T1070" s="3">
        <v>177.5</v>
      </c>
      <c r="U1070" s="3">
        <v>178.14</v>
      </c>
      <c r="V1070" s="70" t="s">
        <v>335</v>
      </c>
      <c r="W1070" s="3" t="s">
        <v>343</v>
      </c>
      <c r="X1070" s="3" t="s">
        <v>508</v>
      </c>
      <c r="Y1070" s="3" t="s">
        <v>508</v>
      </c>
    </row>
    <row r="1071" spans="1:25" hidden="1" x14ac:dyDescent="0.2">
      <c r="A1071" s="83" t="str">
        <f t="shared" si="16"/>
        <v>新蔡水韵天街鱼饼</v>
      </c>
      <c r="B1071" s="3" t="s">
        <v>703</v>
      </c>
      <c r="C1071" s="3">
        <v>44377</v>
      </c>
      <c r="D1071" s="3" t="s">
        <v>538</v>
      </c>
      <c r="E1071" s="3" t="s">
        <v>508</v>
      </c>
      <c r="F1071" s="3" t="s">
        <v>508</v>
      </c>
      <c r="G1071" s="70" t="s">
        <v>539</v>
      </c>
      <c r="H1071" s="3" t="s">
        <v>343</v>
      </c>
      <c r="I1071" s="3" t="s">
        <v>339</v>
      </c>
      <c r="J1071" s="3">
        <v>134</v>
      </c>
      <c r="K1071" s="3">
        <v>0</v>
      </c>
      <c r="L1071" s="3">
        <v>60</v>
      </c>
      <c r="M1071" s="3">
        <v>74</v>
      </c>
      <c r="N1071" s="3">
        <v>74</v>
      </c>
      <c r="O1071" s="70">
        <v>0</v>
      </c>
      <c r="P1071" s="3">
        <v>0</v>
      </c>
      <c r="Q1071" s="3">
        <v>0</v>
      </c>
      <c r="R1071" s="3">
        <v>1.6762159999999999</v>
      </c>
      <c r="S1071" s="3">
        <v>0</v>
      </c>
      <c r="T1071" s="3">
        <v>124.04</v>
      </c>
      <c r="U1071" s="3">
        <v>124.04</v>
      </c>
      <c r="V1071" s="70" t="s">
        <v>335</v>
      </c>
      <c r="W1071" s="3" t="s">
        <v>343</v>
      </c>
      <c r="X1071" s="3" t="s">
        <v>508</v>
      </c>
      <c r="Y1071" s="3" t="s">
        <v>508</v>
      </c>
    </row>
    <row r="1072" spans="1:25" hidden="1" x14ac:dyDescent="0.2">
      <c r="A1072" s="83" t="str">
        <f t="shared" si="16"/>
        <v>郑州康复中街鱼饼</v>
      </c>
      <c r="B1072" s="3" t="s">
        <v>704</v>
      </c>
      <c r="C1072" s="3">
        <v>44377</v>
      </c>
      <c r="D1072" s="3" t="s">
        <v>538</v>
      </c>
      <c r="E1072" s="3" t="s">
        <v>508</v>
      </c>
      <c r="F1072" s="3" t="s">
        <v>508</v>
      </c>
      <c r="G1072" s="70" t="s">
        <v>539</v>
      </c>
      <c r="H1072" s="3" t="s">
        <v>343</v>
      </c>
      <c r="I1072" s="3" t="s">
        <v>339</v>
      </c>
      <c r="J1072" s="3">
        <v>21</v>
      </c>
      <c r="K1072" s="3">
        <v>240</v>
      </c>
      <c r="L1072" s="3">
        <v>178</v>
      </c>
      <c r="M1072" s="3">
        <v>77</v>
      </c>
      <c r="N1072" s="3">
        <v>83</v>
      </c>
      <c r="O1072" s="70">
        <v>-6</v>
      </c>
      <c r="P1072" s="3">
        <v>0</v>
      </c>
      <c r="Q1072" s="3">
        <v>0</v>
      </c>
      <c r="R1072" s="3">
        <v>1.6423380000000001</v>
      </c>
      <c r="S1072" s="3">
        <v>-9.85</v>
      </c>
      <c r="T1072" s="3">
        <v>126.46</v>
      </c>
      <c r="U1072" s="3">
        <v>136.31</v>
      </c>
      <c r="V1072" s="70" t="s">
        <v>593</v>
      </c>
      <c r="W1072" s="3" t="s">
        <v>343</v>
      </c>
      <c r="X1072" s="3" t="s">
        <v>508</v>
      </c>
      <c r="Y1072" s="3" t="s">
        <v>508</v>
      </c>
    </row>
    <row r="1073" spans="1:25" hidden="1" x14ac:dyDescent="0.2">
      <c r="A1073" s="83" t="str">
        <f t="shared" si="16"/>
        <v>郑州西悦城鱼饼</v>
      </c>
      <c r="B1073" s="3" t="s">
        <v>708</v>
      </c>
      <c r="C1073" s="3">
        <v>44377</v>
      </c>
      <c r="D1073" s="3" t="s">
        <v>538</v>
      </c>
      <c r="E1073" s="3" t="s">
        <v>508</v>
      </c>
      <c r="F1073" s="3" t="s">
        <v>508</v>
      </c>
      <c r="G1073" s="70" t="s">
        <v>539</v>
      </c>
      <c r="H1073" s="3" t="s">
        <v>343</v>
      </c>
      <c r="I1073" s="3" t="s">
        <v>339</v>
      </c>
      <c r="J1073" s="3">
        <v>80</v>
      </c>
      <c r="K1073" s="3">
        <v>120</v>
      </c>
      <c r="L1073" s="3">
        <v>179</v>
      </c>
      <c r="M1073" s="3">
        <v>21</v>
      </c>
      <c r="N1073" s="3">
        <v>21</v>
      </c>
      <c r="O1073" s="70">
        <v>0</v>
      </c>
      <c r="P1073" s="3">
        <v>0</v>
      </c>
      <c r="Q1073" s="3">
        <v>0</v>
      </c>
      <c r="R1073" s="3">
        <v>1.6542859999999999</v>
      </c>
      <c r="S1073" s="3">
        <v>0</v>
      </c>
      <c r="T1073" s="3">
        <v>34.74</v>
      </c>
      <c r="U1073" s="3">
        <v>34.74</v>
      </c>
      <c r="V1073" s="70" t="s">
        <v>332</v>
      </c>
      <c r="W1073" s="3" t="s">
        <v>343</v>
      </c>
      <c r="X1073" s="3" t="s">
        <v>508</v>
      </c>
      <c r="Y1073" s="3" t="s">
        <v>508</v>
      </c>
    </row>
    <row r="1074" spans="1:25" hidden="1" x14ac:dyDescent="0.2">
      <c r="A1074" s="83" t="str">
        <f t="shared" si="16"/>
        <v>郑州铁英街鱼饼</v>
      </c>
      <c r="B1074" s="3" t="s">
        <v>707</v>
      </c>
      <c r="C1074" s="3">
        <v>44377</v>
      </c>
      <c r="D1074" s="3" t="s">
        <v>538</v>
      </c>
      <c r="E1074" s="3" t="s">
        <v>508</v>
      </c>
      <c r="F1074" s="3" t="s">
        <v>508</v>
      </c>
      <c r="G1074" s="70" t="s">
        <v>539</v>
      </c>
      <c r="H1074" s="3" t="s">
        <v>343</v>
      </c>
      <c r="I1074" s="3" t="s">
        <v>339</v>
      </c>
      <c r="J1074" s="3">
        <v>65</v>
      </c>
      <c r="K1074" s="3">
        <v>120</v>
      </c>
      <c r="L1074" s="3">
        <v>67</v>
      </c>
      <c r="M1074" s="3">
        <v>115</v>
      </c>
      <c r="N1074" s="3">
        <v>118</v>
      </c>
      <c r="O1074" s="70">
        <v>-3</v>
      </c>
      <c r="P1074" s="3">
        <v>0</v>
      </c>
      <c r="Q1074" s="3">
        <v>0</v>
      </c>
      <c r="R1074" s="3">
        <v>1.6520870000000001</v>
      </c>
      <c r="S1074" s="3">
        <v>-4.96</v>
      </c>
      <c r="T1074" s="3">
        <v>189.99</v>
      </c>
      <c r="U1074" s="3">
        <v>194.95</v>
      </c>
      <c r="V1074" s="70" t="s">
        <v>592</v>
      </c>
      <c r="W1074" s="3" t="s">
        <v>343</v>
      </c>
      <c r="X1074" s="3" t="s">
        <v>508</v>
      </c>
      <c r="Y1074" s="3" t="s">
        <v>508</v>
      </c>
    </row>
    <row r="1075" spans="1:25" hidden="1" x14ac:dyDescent="0.2">
      <c r="A1075" s="83" t="str">
        <f t="shared" si="16"/>
        <v>郑州瀚海海尚鱼饼</v>
      </c>
      <c r="B1075" s="3" t="s">
        <v>706</v>
      </c>
      <c r="C1075" s="3">
        <v>44377</v>
      </c>
      <c r="D1075" s="3" t="s">
        <v>538</v>
      </c>
      <c r="E1075" s="3" t="s">
        <v>508</v>
      </c>
      <c r="F1075" s="3" t="s">
        <v>508</v>
      </c>
      <c r="G1075" s="70" t="s">
        <v>539</v>
      </c>
      <c r="H1075" s="3" t="s">
        <v>343</v>
      </c>
      <c r="I1075" s="3" t="s">
        <v>339</v>
      </c>
      <c r="J1075" s="3">
        <v>51</v>
      </c>
      <c r="K1075" s="3">
        <v>120</v>
      </c>
      <c r="L1075" s="3">
        <v>117</v>
      </c>
      <c r="M1075" s="3">
        <v>53</v>
      </c>
      <c r="N1075" s="3">
        <v>54</v>
      </c>
      <c r="O1075" s="70">
        <v>-1</v>
      </c>
      <c r="P1075" s="3">
        <v>0</v>
      </c>
      <c r="Q1075" s="3">
        <v>0</v>
      </c>
      <c r="R1075" s="3">
        <v>1.650377</v>
      </c>
      <c r="S1075" s="3">
        <v>-1.65</v>
      </c>
      <c r="T1075" s="3">
        <v>87.47</v>
      </c>
      <c r="U1075" s="3">
        <v>89.12</v>
      </c>
      <c r="V1075" s="70" t="s">
        <v>333</v>
      </c>
      <c r="W1075" s="3" t="s">
        <v>343</v>
      </c>
      <c r="X1075" s="3" t="s">
        <v>508</v>
      </c>
      <c r="Y1075" s="3" t="s">
        <v>508</v>
      </c>
    </row>
    <row r="1076" spans="1:25" hidden="1" x14ac:dyDescent="0.2">
      <c r="A1076" s="83" t="str">
        <f t="shared" si="16"/>
        <v>华山龙源鱼饼</v>
      </c>
      <c r="B1076" s="3" t="s">
        <v>705</v>
      </c>
      <c r="C1076" s="3">
        <v>44377</v>
      </c>
      <c r="D1076" s="3" t="s">
        <v>538</v>
      </c>
      <c r="E1076" s="3" t="s">
        <v>508</v>
      </c>
      <c r="F1076" s="3" t="s">
        <v>508</v>
      </c>
      <c r="G1076" s="70" t="s">
        <v>539</v>
      </c>
      <c r="H1076" s="3" t="s">
        <v>343</v>
      </c>
      <c r="I1076" s="3" t="s">
        <v>339</v>
      </c>
      <c r="J1076" s="3">
        <v>85</v>
      </c>
      <c r="K1076" s="3">
        <v>0</v>
      </c>
      <c r="L1076" s="3">
        <v>60</v>
      </c>
      <c r="M1076" s="3">
        <v>25</v>
      </c>
      <c r="N1076" s="3">
        <v>25</v>
      </c>
      <c r="O1076" s="70">
        <v>0</v>
      </c>
      <c r="P1076" s="3">
        <v>0</v>
      </c>
      <c r="Q1076" s="3">
        <v>0</v>
      </c>
      <c r="R1076" s="3">
        <v>1.6768000000000001</v>
      </c>
      <c r="S1076" s="3">
        <v>0</v>
      </c>
      <c r="T1076" s="3">
        <v>41.92</v>
      </c>
      <c r="U1076" s="3">
        <v>41.92</v>
      </c>
      <c r="V1076" s="70" t="s">
        <v>643</v>
      </c>
      <c r="W1076" s="3" t="s">
        <v>343</v>
      </c>
      <c r="X1076" s="3" t="s">
        <v>508</v>
      </c>
      <c r="Y1076" s="3" t="s">
        <v>508</v>
      </c>
    </row>
    <row r="1077" spans="1:25" hidden="1" x14ac:dyDescent="0.2">
      <c r="A1077" s="83" t="str">
        <f t="shared" si="16"/>
        <v>清丰凤鸣鱼饼</v>
      </c>
      <c r="B1077" s="3" t="s">
        <v>713</v>
      </c>
      <c r="C1077" s="3">
        <v>44377</v>
      </c>
      <c r="D1077" s="3" t="s">
        <v>538</v>
      </c>
      <c r="E1077" s="3" t="s">
        <v>508</v>
      </c>
      <c r="F1077" s="3" t="s">
        <v>508</v>
      </c>
      <c r="G1077" s="70" t="s">
        <v>539</v>
      </c>
      <c r="H1077" s="3" t="s">
        <v>343</v>
      </c>
      <c r="I1077" s="3" t="s">
        <v>339</v>
      </c>
      <c r="J1077" s="3">
        <v>46</v>
      </c>
      <c r="K1077" s="3">
        <v>120</v>
      </c>
      <c r="L1077" s="3">
        <v>55</v>
      </c>
      <c r="M1077" s="3">
        <v>110</v>
      </c>
      <c r="N1077" s="3">
        <v>111</v>
      </c>
      <c r="O1077" s="70">
        <v>-1</v>
      </c>
      <c r="P1077" s="3">
        <v>0</v>
      </c>
      <c r="Q1077" s="3">
        <v>0</v>
      </c>
      <c r="R1077" s="3">
        <v>1.6494549999999999</v>
      </c>
      <c r="S1077" s="3">
        <v>-1.65</v>
      </c>
      <c r="T1077" s="3">
        <v>181.44</v>
      </c>
      <c r="U1077" s="3">
        <v>183.09</v>
      </c>
      <c r="V1077" s="70" t="s">
        <v>334</v>
      </c>
      <c r="W1077" s="3" t="s">
        <v>343</v>
      </c>
      <c r="X1077" s="3" t="s">
        <v>508</v>
      </c>
      <c r="Y1077" s="3" t="s">
        <v>508</v>
      </c>
    </row>
    <row r="1078" spans="1:25" hidden="1" x14ac:dyDescent="0.2">
      <c r="A1078" s="83" t="str">
        <f t="shared" si="16"/>
        <v>方城锦城国际鱼饼</v>
      </c>
      <c r="B1078" s="3" t="s">
        <v>712</v>
      </c>
      <c r="C1078" s="3">
        <v>44377</v>
      </c>
      <c r="D1078" s="3" t="s">
        <v>538</v>
      </c>
      <c r="E1078" s="3" t="s">
        <v>508</v>
      </c>
      <c r="F1078" s="3" t="s">
        <v>508</v>
      </c>
      <c r="G1078" s="70" t="s">
        <v>539</v>
      </c>
      <c r="H1078" s="3" t="s">
        <v>343</v>
      </c>
      <c r="I1078" s="3" t="s">
        <v>339</v>
      </c>
      <c r="J1078" s="3">
        <v>136</v>
      </c>
      <c r="K1078" s="3">
        <v>0</v>
      </c>
      <c r="L1078" s="3">
        <v>68</v>
      </c>
      <c r="M1078" s="3">
        <v>68</v>
      </c>
      <c r="N1078" s="3">
        <v>68</v>
      </c>
      <c r="O1078" s="70">
        <v>0</v>
      </c>
      <c r="P1078" s="3">
        <v>0</v>
      </c>
      <c r="Q1078" s="3">
        <v>0</v>
      </c>
      <c r="R1078" s="3">
        <v>1.6758820000000001</v>
      </c>
      <c r="S1078" s="3">
        <v>0</v>
      </c>
      <c r="T1078" s="3">
        <v>113.96</v>
      </c>
      <c r="U1078" s="3">
        <v>113.96</v>
      </c>
      <c r="V1078" s="70" t="s">
        <v>594</v>
      </c>
      <c r="W1078" s="3" t="s">
        <v>343</v>
      </c>
      <c r="X1078" s="3" t="s">
        <v>508</v>
      </c>
      <c r="Y1078" s="3" t="s">
        <v>508</v>
      </c>
    </row>
    <row r="1079" spans="1:25" hidden="1" x14ac:dyDescent="0.2">
      <c r="A1079" s="83" t="str">
        <f t="shared" si="16"/>
        <v>郑州裕华鱼饼</v>
      </c>
      <c r="B1079" s="3" t="s">
        <v>711</v>
      </c>
      <c r="C1079" s="3">
        <v>44377</v>
      </c>
      <c r="D1079" s="3" t="s">
        <v>538</v>
      </c>
      <c r="E1079" s="3" t="s">
        <v>508</v>
      </c>
      <c r="F1079" s="3" t="s">
        <v>508</v>
      </c>
      <c r="G1079" s="70" t="s">
        <v>539</v>
      </c>
      <c r="H1079" s="3" t="s">
        <v>343</v>
      </c>
      <c r="I1079" s="3" t="s">
        <v>339</v>
      </c>
      <c r="J1079" s="3">
        <v>71</v>
      </c>
      <c r="K1079" s="3">
        <v>0</v>
      </c>
      <c r="L1079" s="3">
        <v>56</v>
      </c>
      <c r="M1079" s="3">
        <v>15</v>
      </c>
      <c r="N1079" s="3">
        <v>15</v>
      </c>
      <c r="O1079" s="70">
        <v>0</v>
      </c>
      <c r="P1079" s="3">
        <v>0</v>
      </c>
      <c r="Q1079" s="3">
        <v>0</v>
      </c>
      <c r="R1079" s="3">
        <v>1.6766669999999999</v>
      </c>
      <c r="S1079" s="3">
        <v>0</v>
      </c>
      <c r="T1079" s="3">
        <v>25.15</v>
      </c>
      <c r="U1079" s="3">
        <v>25.15</v>
      </c>
      <c r="V1079" s="70" t="s">
        <v>641</v>
      </c>
      <c r="W1079" s="3" t="s">
        <v>343</v>
      </c>
      <c r="X1079" s="3" t="s">
        <v>508</v>
      </c>
      <c r="Y1079" s="3" t="s">
        <v>508</v>
      </c>
    </row>
    <row r="1080" spans="1:25" hidden="1" x14ac:dyDescent="0.2">
      <c r="A1080" s="83" t="str">
        <f t="shared" si="16"/>
        <v>郑州盛华里鱼饼</v>
      </c>
      <c r="B1080" s="3" t="s">
        <v>709</v>
      </c>
      <c r="C1080" s="3">
        <v>44377</v>
      </c>
      <c r="D1080" s="3" t="s">
        <v>538</v>
      </c>
      <c r="E1080" s="3" t="s">
        <v>508</v>
      </c>
      <c r="F1080" s="3" t="s">
        <v>508</v>
      </c>
      <c r="G1080" s="70" t="s">
        <v>539</v>
      </c>
      <c r="H1080" s="3" t="s">
        <v>343</v>
      </c>
      <c r="I1080" s="3" t="s">
        <v>339</v>
      </c>
      <c r="J1080" s="3">
        <v>78</v>
      </c>
      <c r="K1080" s="3">
        <v>0</v>
      </c>
      <c r="L1080" s="3">
        <v>54</v>
      </c>
      <c r="M1080" s="3">
        <v>24</v>
      </c>
      <c r="N1080" s="3">
        <v>24</v>
      </c>
      <c r="O1080" s="70">
        <v>0</v>
      </c>
      <c r="P1080" s="3">
        <v>0</v>
      </c>
      <c r="Q1080" s="3">
        <v>0</v>
      </c>
      <c r="R1080" s="3">
        <v>1.6766669999999999</v>
      </c>
      <c r="S1080" s="3">
        <v>0</v>
      </c>
      <c r="T1080" s="3">
        <v>40.24</v>
      </c>
      <c r="U1080" s="3">
        <v>40.24</v>
      </c>
      <c r="V1080" s="70" t="s">
        <v>637</v>
      </c>
      <c r="W1080" s="3" t="s">
        <v>343</v>
      </c>
      <c r="X1080" s="3" t="s">
        <v>508</v>
      </c>
      <c r="Y1080" s="3" t="s">
        <v>508</v>
      </c>
    </row>
    <row r="1081" spans="1:25" hidden="1" x14ac:dyDescent="0.2">
      <c r="A1081" s="83" t="str">
        <f t="shared" si="16"/>
        <v>滑县滑台鱼饼</v>
      </c>
      <c r="B1081" s="3" t="s">
        <v>710</v>
      </c>
      <c r="C1081" s="3">
        <v>44377</v>
      </c>
      <c r="D1081" s="3" t="s">
        <v>538</v>
      </c>
      <c r="E1081" s="3" t="s">
        <v>508</v>
      </c>
      <c r="F1081" s="3" t="s">
        <v>508</v>
      </c>
      <c r="G1081" s="70" t="s">
        <v>539</v>
      </c>
      <c r="H1081" s="3" t="s">
        <v>343</v>
      </c>
      <c r="I1081" s="3" t="s">
        <v>339</v>
      </c>
      <c r="J1081" s="3">
        <v>71</v>
      </c>
      <c r="K1081" s="3">
        <v>80</v>
      </c>
      <c r="L1081" s="3">
        <v>105</v>
      </c>
      <c r="M1081" s="3">
        <v>46</v>
      </c>
      <c r="N1081" s="3">
        <v>46</v>
      </c>
      <c r="O1081" s="70">
        <v>0</v>
      </c>
      <c r="P1081" s="3">
        <v>0</v>
      </c>
      <c r="Q1081" s="3">
        <v>0</v>
      </c>
      <c r="R1081" s="3">
        <v>1.6950000000000001</v>
      </c>
      <c r="S1081" s="3">
        <v>0</v>
      </c>
      <c r="T1081" s="3">
        <v>77.97</v>
      </c>
      <c r="U1081" s="3">
        <v>77.97</v>
      </c>
      <c r="V1081" s="70" t="s">
        <v>639</v>
      </c>
      <c r="W1081" s="3" t="s">
        <v>343</v>
      </c>
      <c r="X1081" s="3" t="s">
        <v>508</v>
      </c>
      <c r="Y1081" s="3" t="s">
        <v>508</v>
      </c>
    </row>
    <row r="1082" spans="1:25" hidden="1" x14ac:dyDescent="0.2">
      <c r="A1082" s="83" t="str">
        <f t="shared" si="16"/>
        <v>郑州政六街鱼饼</v>
      </c>
      <c r="B1082" s="3" t="s">
        <v>714</v>
      </c>
      <c r="C1082" s="3">
        <v>44377</v>
      </c>
      <c r="D1082" s="3" t="s">
        <v>538</v>
      </c>
      <c r="E1082" s="3" t="s">
        <v>508</v>
      </c>
      <c r="F1082" s="3" t="s">
        <v>508</v>
      </c>
      <c r="G1082" s="70" t="s">
        <v>539</v>
      </c>
      <c r="H1082" s="3" t="s">
        <v>343</v>
      </c>
      <c r="I1082" s="3" t="s">
        <v>339</v>
      </c>
      <c r="J1082" s="3">
        <v>107</v>
      </c>
      <c r="K1082" s="3">
        <v>120</v>
      </c>
      <c r="L1082" s="3">
        <v>146</v>
      </c>
      <c r="M1082" s="3">
        <v>81</v>
      </c>
      <c r="N1082" s="3">
        <v>81</v>
      </c>
      <c r="O1082" s="70">
        <v>0</v>
      </c>
      <c r="P1082" s="3">
        <v>0</v>
      </c>
      <c r="Q1082" s="3">
        <v>0</v>
      </c>
      <c r="R1082" s="3">
        <v>1.6566669999999999</v>
      </c>
      <c r="S1082" s="3">
        <v>0</v>
      </c>
      <c r="T1082" s="3">
        <v>134.19</v>
      </c>
      <c r="U1082" s="3">
        <v>134.19</v>
      </c>
      <c r="V1082" s="70" t="s">
        <v>591</v>
      </c>
      <c r="W1082" s="3" t="s">
        <v>343</v>
      </c>
      <c r="X1082" s="3" t="s">
        <v>508</v>
      </c>
      <c r="Y1082" s="3" t="s">
        <v>508</v>
      </c>
    </row>
    <row r="1083" spans="1:25" hidden="1" x14ac:dyDescent="0.2">
      <c r="A1083" s="83" t="str">
        <f t="shared" si="16"/>
        <v>郑州政六街扒翅</v>
      </c>
      <c r="B1083" s="3" t="s">
        <v>714</v>
      </c>
      <c r="C1083" s="3">
        <v>44377</v>
      </c>
      <c r="D1083" s="3" t="s">
        <v>540</v>
      </c>
      <c r="E1083" s="3" t="s">
        <v>508</v>
      </c>
      <c r="F1083" s="3" t="s">
        <v>508</v>
      </c>
      <c r="G1083" s="70" t="s">
        <v>541</v>
      </c>
      <c r="H1083" s="3" t="s">
        <v>542</v>
      </c>
      <c r="I1083" s="3" t="s">
        <v>339</v>
      </c>
      <c r="J1083" s="3">
        <v>91</v>
      </c>
      <c r="K1083" s="3">
        <v>0</v>
      </c>
      <c r="L1083" s="3">
        <v>84</v>
      </c>
      <c r="M1083" s="3">
        <v>1</v>
      </c>
      <c r="N1083" s="3">
        <v>7</v>
      </c>
      <c r="O1083" s="70">
        <v>-6</v>
      </c>
      <c r="P1083" s="3">
        <v>0</v>
      </c>
      <c r="Q1083" s="3">
        <v>0</v>
      </c>
      <c r="R1083" s="3">
        <v>1.01</v>
      </c>
      <c r="S1083" s="3">
        <v>-6.06</v>
      </c>
      <c r="T1083" s="3">
        <v>1.01</v>
      </c>
      <c r="U1083" s="3">
        <v>7.07</v>
      </c>
      <c r="V1083" s="70" t="s">
        <v>591</v>
      </c>
      <c r="W1083" s="3" t="s">
        <v>343</v>
      </c>
      <c r="X1083" s="3" t="s">
        <v>508</v>
      </c>
      <c r="Y1083" s="3" t="s">
        <v>508</v>
      </c>
    </row>
    <row r="1084" spans="1:25" hidden="1" x14ac:dyDescent="0.2">
      <c r="A1084" s="83" t="str">
        <f t="shared" si="16"/>
        <v>郑州盛华里扒翅</v>
      </c>
      <c r="B1084" s="3" t="s">
        <v>709</v>
      </c>
      <c r="C1084" s="3">
        <v>44377</v>
      </c>
      <c r="D1084" s="3" t="s">
        <v>540</v>
      </c>
      <c r="E1084" s="3" t="s">
        <v>508</v>
      </c>
      <c r="F1084" s="3" t="s">
        <v>508</v>
      </c>
      <c r="G1084" s="70" t="s">
        <v>541</v>
      </c>
      <c r="H1084" s="3" t="s">
        <v>542</v>
      </c>
      <c r="I1084" s="3" t="s">
        <v>339</v>
      </c>
      <c r="J1084" s="3">
        <v>178</v>
      </c>
      <c r="K1084" s="3">
        <v>0</v>
      </c>
      <c r="L1084" s="3">
        <v>34</v>
      </c>
      <c r="M1084" s="3">
        <v>144</v>
      </c>
      <c r="N1084" s="3">
        <v>144</v>
      </c>
      <c r="O1084" s="70">
        <v>0</v>
      </c>
      <c r="P1084" s="3">
        <v>0</v>
      </c>
      <c r="Q1084" s="3">
        <v>0</v>
      </c>
      <c r="R1084" s="3">
        <v>1.0149999999999999</v>
      </c>
      <c r="S1084" s="3">
        <v>0</v>
      </c>
      <c r="T1084" s="3">
        <v>146.16</v>
      </c>
      <c r="U1084" s="3">
        <v>146.16</v>
      </c>
      <c r="V1084" s="70" t="s">
        <v>637</v>
      </c>
      <c r="W1084" s="3" t="s">
        <v>343</v>
      </c>
      <c r="X1084" s="3" t="s">
        <v>508</v>
      </c>
      <c r="Y1084" s="3" t="s">
        <v>508</v>
      </c>
    </row>
    <row r="1085" spans="1:25" hidden="1" x14ac:dyDescent="0.2">
      <c r="A1085" s="83" t="str">
        <f t="shared" si="16"/>
        <v>郑州裕华扒翅</v>
      </c>
      <c r="B1085" s="3" t="s">
        <v>711</v>
      </c>
      <c r="C1085" s="3">
        <v>44377</v>
      </c>
      <c r="D1085" s="3" t="s">
        <v>540</v>
      </c>
      <c r="E1085" s="3" t="s">
        <v>508</v>
      </c>
      <c r="F1085" s="3" t="s">
        <v>508</v>
      </c>
      <c r="G1085" s="70" t="s">
        <v>541</v>
      </c>
      <c r="H1085" s="3" t="s">
        <v>542</v>
      </c>
      <c r="I1085" s="3" t="s">
        <v>339</v>
      </c>
      <c r="J1085" s="3">
        <v>184</v>
      </c>
      <c r="K1085" s="3">
        <v>0</v>
      </c>
      <c r="L1085" s="3">
        <v>22</v>
      </c>
      <c r="M1085" s="3">
        <v>150</v>
      </c>
      <c r="N1085" s="3">
        <v>162</v>
      </c>
      <c r="O1085" s="70">
        <v>-12</v>
      </c>
      <c r="P1085" s="3">
        <v>0</v>
      </c>
      <c r="Q1085" s="3">
        <v>0</v>
      </c>
      <c r="R1085" s="3">
        <v>1.0149999999999999</v>
      </c>
      <c r="S1085" s="3">
        <v>-12.18</v>
      </c>
      <c r="T1085" s="3">
        <v>152.25</v>
      </c>
      <c r="U1085" s="3">
        <v>164.43</v>
      </c>
      <c r="V1085" s="70" t="s">
        <v>641</v>
      </c>
      <c r="W1085" s="3" t="s">
        <v>343</v>
      </c>
      <c r="X1085" s="3" t="s">
        <v>508</v>
      </c>
      <c r="Y1085" s="3" t="s">
        <v>508</v>
      </c>
    </row>
    <row r="1086" spans="1:25" hidden="1" x14ac:dyDescent="0.2">
      <c r="A1086" s="83" t="str">
        <f t="shared" si="16"/>
        <v>清丰凤鸣扒翅</v>
      </c>
      <c r="B1086" s="3" t="s">
        <v>713</v>
      </c>
      <c r="C1086" s="3">
        <v>44377</v>
      </c>
      <c r="D1086" s="3" t="s">
        <v>540</v>
      </c>
      <c r="E1086" s="3" t="s">
        <v>508</v>
      </c>
      <c r="F1086" s="3" t="s">
        <v>508</v>
      </c>
      <c r="G1086" s="70" t="s">
        <v>541</v>
      </c>
      <c r="H1086" s="3" t="s">
        <v>542</v>
      </c>
      <c r="I1086" s="3" t="s">
        <v>339</v>
      </c>
      <c r="J1086" s="3">
        <v>106</v>
      </c>
      <c r="K1086" s="3">
        <v>0</v>
      </c>
      <c r="L1086" s="3">
        <v>92</v>
      </c>
      <c r="M1086" s="3">
        <v>14</v>
      </c>
      <c r="N1086" s="3">
        <v>14</v>
      </c>
      <c r="O1086" s="70">
        <v>0</v>
      </c>
      <c r="P1086" s="3">
        <v>0</v>
      </c>
      <c r="Q1086" s="3">
        <v>0</v>
      </c>
      <c r="R1086" s="3">
        <v>1.0149999999999999</v>
      </c>
      <c r="S1086" s="3">
        <v>0</v>
      </c>
      <c r="T1086" s="3">
        <v>14.21</v>
      </c>
      <c r="U1086" s="3">
        <v>14.21</v>
      </c>
      <c r="V1086" s="70" t="s">
        <v>334</v>
      </c>
      <c r="W1086" s="3" t="s">
        <v>343</v>
      </c>
      <c r="X1086" s="3" t="s">
        <v>508</v>
      </c>
      <c r="Y1086" s="3" t="s">
        <v>508</v>
      </c>
    </row>
    <row r="1087" spans="1:25" hidden="1" x14ac:dyDescent="0.2">
      <c r="A1087" s="83" t="str">
        <f t="shared" si="16"/>
        <v>方城锦城国际扒翅</v>
      </c>
      <c r="B1087" s="3" t="s">
        <v>712</v>
      </c>
      <c r="C1087" s="3">
        <v>44377</v>
      </c>
      <c r="D1087" s="3" t="s">
        <v>540</v>
      </c>
      <c r="E1087" s="3" t="s">
        <v>508</v>
      </c>
      <c r="F1087" s="3" t="s">
        <v>508</v>
      </c>
      <c r="G1087" s="70" t="s">
        <v>541</v>
      </c>
      <c r="H1087" s="3" t="s">
        <v>542</v>
      </c>
      <c r="I1087" s="3" t="s">
        <v>339</v>
      </c>
      <c r="J1087" s="3">
        <v>2</v>
      </c>
      <c r="K1087" s="3">
        <v>0</v>
      </c>
      <c r="L1087" s="3">
        <v>2</v>
      </c>
      <c r="M1087" s="3">
        <v>0</v>
      </c>
      <c r="N1087" s="3">
        <v>0</v>
      </c>
      <c r="O1087" s="70">
        <v>0</v>
      </c>
      <c r="P1087" s="3">
        <v>0</v>
      </c>
      <c r="Q1087" s="3">
        <v>0</v>
      </c>
      <c r="R1087" s="3">
        <v>1.0149999999999999</v>
      </c>
      <c r="S1087" s="3">
        <v>0</v>
      </c>
      <c r="T1087" s="3">
        <v>0</v>
      </c>
      <c r="U1087" s="3">
        <v>0</v>
      </c>
      <c r="V1087" s="70" t="s">
        <v>594</v>
      </c>
      <c r="W1087" s="3" t="s">
        <v>343</v>
      </c>
      <c r="X1087" s="3" t="s">
        <v>508</v>
      </c>
      <c r="Y1087" s="3" t="s">
        <v>508</v>
      </c>
    </row>
    <row r="1088" spans="1:25" hidden="1" x14ac:dyDescent="0.2">
      <c r="A1088" s="83" t="str">
        <f t="shared" si="16"/>
        <v>郑州瀚海海尚扒翅</v>
      </c>
      <c r="B1088" s="3" t="s">
        <v>706</v>
      </c>
      <c r="C1088" s="3">
        <v>44377</v>
      </c>
      <c r="D1088" s="3" t="s">
        <v>540</v>
      </c>
      <c r="E1088" s="3" t="s">
        <v>508</v>
      </c>
      <c r="F1088" s="3" t="s">
        <v>508</v>
      </c>
      <c r="G1088" s="70" t="s">
        <v>541</v>
      </c>
      <c r="H1088" s="3" t="s">
        <v>542</v>
      </c>
      <c r="I1088" s="3" t="s">
        <v>339</v>
      </c>
      <c r="J1088" s="3">
        <v>420</v>
      </c>
      <c r="K1088" s="3">
        <v>0</v>
      </c>
      <c r="L1088" s="3">
        <v>182</v>
      </c>
      <c r="M1088" s="3">
        <v>236</v>
      </c>
      <c r="N1088" s="3">
        <v>238</v>
      </c>
      <c r="O1088" s="70">
        <v>-2</v>
      </c>
      <c r="P1088" s="3">
        <v>0</v>
      </c>
      <c r="Q1088" s="3">
        <v>0</v>
      </c>
      <c r="R1088" s="3">
        <v>1.0149999999999999</v>
      </c>
      <c r="S1088" s="3">
        <v>-2.0299999999999998</v>
      </c>
      <c r="T1088" s="3">
        <v>239.54</v>
      </c>
      <c r="U1088" s="3">
        <v>241.57</v>
      </c>
      <c r="V1088" s="70" t="s">
        <v>333</v>
      </c>
      <c r="W1088" s="3" t="s">
        <v>343</v>
      </c>
      <c r="X1088" s="3" t="s">
        <v>508</v>
      </c>
      <c r="Y1088" s="3" t="s">
        <v>508</v>
      </c>
    </row>
    <row r="1089" spans="1:25" hidden="1" x14ac:dyDescent="0.2">
      <c r="A1089" s="83" t="str">
        <f t="shared" si="16"/>
        <v>华山龙源扒翅</v>
      </c>
      <c r="B1089" s="3" t="s">
        <v>705</v>
      </c>
      <c r="C1089" s="3">
        <v>44377</v>
      </c>
      <c r="D1089" s="3" t="s">
        <v>540</v>
      </c>
      <c r="E1089" s="3" t="s">
        <v>508</v>
      </c>
      <c r="F1089" s="3" t="s">
        <v>508</v>
      </c>
      <c r="G1089" s="70" t="s">
        <v>541</v>
      </c>
      <c r="H1089" s="3" t="s">
        <v>542</v>
      </c>
      <c r="I1089" s="3" t="s">
        <v>339</v>
      </c>
      <c r="J1089" s="3">
        <v>170</v>
      </c>
      <c r="K1089" s="3">
        <v>0</v>
      </c>
      <c r="L1089" s="3">
        <v>44</v>
      </c>
      <c r="M1089" s="3">
        <v>126</v>
      </c>
      <c r="N1089" s="3">
        <v>126</v>
      </c>
      <c r="O1089" s="70">
        <v>0</v>
      </c>
      <c r="P1089" s="3">
        <v>0</v>
      </c>
      <c r="Q1089" s="3">
        <v>0</v>
      </c>
      <c r="R1089" s="3">
        <v>1.0149999999999999</v>
      </c>
      <c r="S1089" s="3">
        <v>0</v>
      </c>
      <c r="T1089" s="3">
        <v>127.89</v>
      </c>
      <c r="U1089" s="3">
        <v>127.89</v>
      </c>
      <c r="V1089" s="70" t="s">
        <v>643</v>
      </c>
      <c r="W1089" s="3" t="s">
        <v>343</v>
      </c>
      <c r="X1089" s="3" t="s">
        <v>508</v>
      </c>
      <c r="Y1089" s="3" t="s">
        <v>508</v>
      </c>
    </row>
    <row r="1090" spans="1:25" hidden="1" x14ac:dyDescent="0.2">
      <c r="A1090" s="83" t="str">
        <f t="shared" si="16"/>
        <v>郑州西悦城扒翅</v>
      </c>
      <c r="B1090" s="3" t="s">
        <v>708</v>
      </c>
      <c r="C1090" s="3">
        <v>44377</v>
      </c>
      <c r="D1090" s="3" t="s">
        <v>540</v>
      </c>
      <c r="E1090" s="3" t="s">
        <v>508</v>
      </c>
      <c r="F1090" s="3" t="s">
        <v>508</v>
      </c>
      <c r="G1090" s="70" t="s">
        <v>541</v>
      </c>
      <c r="H1090" s="3" t="s">
        <v>542</v>
      </c>
      <c r="I1090" s="3" t="s">
        <v>339</v>
      </c>
      <c r="J1090" s="3">
        <v>48</v>
      </c>
      <c r="K1090" s="3">
        <v>0</v>
      </c>
      <c r="L1090" s="3">
        <v>42</v>
      </c>
      <c r="M1090" s="3">
        <v>6</v>
      </c>
      <c r="N1090" s="3">
        <v>6</v>
      </c>
      <c r="O1090" s="70">
        <v>0</v>
      </c>
      <c r="P1090" s="3">
        <v>0</v>
      </c>
      <c r="Q1090" s="3">
        <v>0</v>
      </c>
      <c r="R1090" s="3">
        <v>1.0149999999999999</v>
      </c>
      <c r="S1090" s="3">
        <v>0</v>
      </c>
      <c r="T1090" s="3">
        <v>6.09</v>
      </c>
      <c r="U1090" s="3">
        <v>6.09</v>
      </c>
      <c r="V1090" s="70" t="s">
        <v>332</v>
      </c>
      <c r="W1090" s="3" t="s">
        <v>343</v>
      </c>
      <c r="X1090" s="3" t="s">
        <v>508</v>
      </c>
      <c r="Y1090" s="3" t="s">
        <v>508</v>
      </c>
    </row>
    <row r="1091" spans="1:25" hidden="1" x14ac:dyDescent="0.2">
      <c r="A1091" s="83" t="str">
        <f t="shared" ref="A1091:A1154" si="17">V1091&amp;G1091</f>
        <v>郑州铁英街扒翅</v>
      </c>
      <c r="B1091" s="3" t="s">
        <v>707</v>
      </c>
      <c r="C1091" s="3">
        <v>44377</v>
      </c>
      <c r="D1091" s="3" t="s">
        <v>540</v>
      </c>
      <c r="E1091" s="3" t="s">
        <v>508</v>
      </c>
      <c r="F1091" s="3" t="s">
        <v>508</v>
      </c>
      <c r="G1091" s="70" t="s">
        <v>541</v>
      </c>
      <c r="H1091" s="3" t="s">
        <v>542</v>
      </c>
      <c r="I1091" s="3" t="s">
        <v>339</v>
      </c>
      <c r="J1091" s="3">
        <v>120</v>
      </c>
      <c r="K1091" s="3">
        <v>0</v>
      </c>
      <c r="L1091" s="3">
        <v>68</v>
      </c>
      <c r="M1091" s="3">
        <v>50</v>
      </c>
      <c r="N1091" s="3">
        <v>52</v>
      </c>
      <c r="O1091" s="70">
        <v>-2</v>
      </c>
      <c r="P1091" s="3">
        <v>0</v>
      </c>
      <c r="Q1091" s="3">
        <v>0</v>
      </c>
      <c r="R1091" s="3">
        <v>1.0149999999999999</v>
      </c>
      <c r="S1091" s="3">
        <v>-2.0299999999999998</v>
      </c>
      <c r="T1091" s="3">
        <v>50.75</v>
      </c>
      <c r="U1091" s="3">
        <v>52.78</v>
      </c>
      <c r="V1091" s="70" t="s">
        <v>592</v>
      </c>
      <c r="W1091" s="3" t="s">
        <v>343</v>
      </c>
      <c r="X1091" s="3" t="s">
        <v>508</v>
      </c>
      <c r="Y1091" s="3" t="s">
        <v>508</v>
      </c>
    </row>
    <row r="1092" spans="1:25" hidden="1" x14ac:dyDescent="0.2">
      <c r="A1092" s="83" t="str">
        <f t="shared" si="17"/>
        <v>新蔡水韵天街扒翅</v>
      </c>
      <c r="B1092" s="3" t="s">
        <v>703</v>
      </c>
      <c r="C1092" s="3">
        <v>44377</v>
      </c>
      <c r="D1092" s="3" t="s">
        <v>540</v>
      </c>
      <c r="E1092" s="3" t="s">
        <v>508</v>
      </c>
      <c r="F1092" s="3" t="s">
        <v>508</v>
      </c>
      <c r="G1092" s="70" t="s">
        <v>541</v>
      </c>
      <c r="H1092" s="3" t="s">
        <v>542</v>
      </c>
      <c r="I1092" s="3" t="s">
        <v>339</v>
      </c>
      <c r="J1092" s="3">
        <v>118</v>
      </c>
      <c r="K1092" s="3">
        <v>0</v>
      </c>
      <c r="L1092" s="3">
        <v>96</v>
      </c>
      <c r="M1092" s="3">
        <v>22</v>
      </c>
      <c r="N1092" s="3">
        <v>22</v>
      </c>
      <c r="O1092" s="70">
        <v>0</v>
      </c>
      <c r="P1092" s="3">
        <v>0</v>
      </c>
      <c r="Q1092" s="3">
        <v>0</v>
      </c>
      <c r="R1092" s="3">
        <v>1.015455</v>
      </c>
      <c r="S1092" s="3">
        <v>0</v>
      </c>
      <c r="T1092" s="3">
        <v>22.34</v>
      </c>
      <c r="U1092" s="3">
        <v>22.34</v>
      </c>
      <c r="V1092" s="70" t="s">
        <v>335</v>
      </c>
      <c r="W1092" s="3" t="s">
        <v>343</v>
      </c>
      <c r="X1092" s="3" t="s">
        <v>508</v>
      </c>
      <c r="Y1092" s="3" t="s">
        <v>508</v>
      </c>
    </row>
    <row r="1093" spans="1:25" hidden="1" x14ac:dyDescent="0.2">
      <c r="A1093" s="83" t="str">
        <f t="shared" si="17"/>
        <v>新蔡水韵天街汉堡胚</v>
      </c>
      <c r="B1093" s="3" t="s">
        <v>703</v>
      </c>
      <c r="C1093" s="3">
        <v>44377</v>
      </c>
      <c r="D1093" s="3" t="s">
        <v>543</v>
      </c>
      <c r="E1093" s="3" t="s">
        <v>508</v>
      </c>
      <c r="F1093" s="3" t="s">
        <v>508</v>
      </c>
      <c r="G1093" s="70" t="s">
        <v>544</v>
      </c>
      <c r="H1093" s="3" t="s">
        <v>343</v>
      </c>
      <c r="I1093" s="3" t="s">
        <v>339</v>
      </c>
      <c r="J1093" s="3">
        <v>430</v>
      </c>
      <c r="K1093" s="3">
        <v>3146</v>
      </c>
      <c r="L1093" s="3">
        <v>3122</v>
      </c>
      <c r="M1093" s="3">
        <v>450</v>
      </c>
      <c r="N1093" s="3">
        <v>454</v>
      </c>
      <c r="O1093" s="70">
        <v>-4</v>
      </c>
      <c r="P1093" s="3">
        <v>0</v>
      </c>
      <c r="Q1093" s="3">
        <v>0</v>
      </c>
      <c r="R1093" s="3">
        <v>0.61582199999999998</v>
      </c>
      <c r="S1093" s="3">
        <v>-2.46</v>
      </c>
      <c r="T1093" s="3">
        <v>277.12</v>
      </c>
      <c r="U1093" s="3">
        <v>279.58</v>
      </c>
      <c r="V1093" s="70" t="s">
        <v>335</v>
      </c>
      <c r="W1093" s="3" t="s">
        <v>343</v>
      </c>
      <c r="X1093" s="3" t="s">
        <v>508</v>
      </c>
      <c r="Y1093" s="3" t="s">
        <v>508</v>
      </c>
    </row>
    <row r="1094" spans="1:25" hidden="1" x14ac:dyDescent="0.2">
      <c r="A1094" s="83" t="str">
        <f t="shared" si="17"/>
        <v>郑州康复中街汉堡胚</v>
      </c>
      <c r="B1094" s="3" t="s">
        <v>704</v>
      </c>
      <c r="C1094" s="3">
        <v>44377</v>
      </c>
      <c r="D1094" s="3" t="s">
        <v>543</v>
      </c>
      <c r="E1094" s="3" t="s">
        <v>508</v>
      </c>
      <c r="F1094" s="3" t="s">
        <v>508</v>
      </c>
      <c r="G1094" s="70" t="s">
        <v>544</v>
      </c>
      <c r="H1094" s="3" t="s">
        <v>343</v>
      </c>
      <c r="I1094" s="3" t="s">
        <v>339</v>
      </c>
      <c r="J1094" s="3">
        <v>280</v>
      </c>
      <c r="K1094" s="3">
        <v>6178</v>
      </c>
      <c r="L1094" s="3">
        <v>5739</v>
      </c>
      <c r="M1094" s="3">
        <v>700</v>
      </c>
      <c r="N1094" s="3">
        <v>719</v>
      </c>
      <c r="O1094" s="70">
        <v>-19</v>
      </c>
      <c r="P1094" s="3">
        <v>0</v>
      </c>
      <c r="Q1094" s="3">
        <v>0</v>
      </c>
      <c r="R1094" s="3">
        <v>0.61572899999999997</v>
      </c>
      <c r="S1094" s="3">
        <v>-11.7</v>
      </c>
      <c r="T1094" s="3">
        <v>431.01</v>
      </c>
      <c r="U1094" s="3">
        <v>442.71</v>
      </c>
      <c r="V1094" s="70" t="s">
        <v>593</v>
      </c>
      <c r="W1094" s="3" t="s">
        <v>343</v>
      </c>
      <c r="X1094" s="3" t="s">
        <v>508</v>
      </c>
      <c r="Y1094" s="3" t="s">
        <v>508</v>
      </c>
    </row>
    <row r="1095" spans="1:25" hidden="1" x14ac:dyDescent="0.2">
      <c r="A1095" s="83" t="str">
        <f t="shared" si="17"/>
        <v>郑州铁英街汉堡胚</v>
      </c>
      <c r="B1095" s="3" t="s">
        <v>707</v>
      </c>
      <c r="C1095" s="3">
        <v>44377</v>
      </c>
      <c r="D1095" s="3" t="s">
        <v>543</v>
      </c>
      <c r="E1095" s="3" t="s">
        <v>508</v>
      </c>
      <c r="F1095" s="3" t="s">
        <v>508</v>
      </c>
      <c r="G1095" s="70" t="s">
        <v>544</v>
      </c>
      <c r="H1095" s="3" t="s">
        <v>343</v>
      </c>
      <c r="I1095" s="3" t="s">
        <v>339</v>
      </c>
      <c r="J1095" s="3">
        <v>238</v>
      </c>
      <c r="K1095" s="3">
        <v>3600</v>
      </c>
      <c r="L1095" s="3">
        <v>3698</v>
      </c>
      <c r="M1095" s="3">
        <v>125</v>
      </c>
      <c r="N1095" s="3">
        <v>140</v>
      </c>
      <c r="O1095" s="70">
        <v>-15</v>
      </c>
      <c r="P1095" s="3">
        <v>0</v>
      </c>
      <c r="Q1095" s="3">
        <v>0</v>
      </c>
      <c r="R1095" s="3">
        <v>0.61551999999999996</v>
      </c>
      <c r="S1095" s="3">
        <v>-9.23</v>
      </c>
      <c r="T1095" s="3">
        <v>76.94</v>
      </c>
      <c r="U1095" s="3">
        <v>86.17</v>
      </c>
      <c r="V1095" s="70" t="s">
        <v>592</v>
      </c>
      <c r="W1095" s="3" t="s">
        <v>343</v>
      </c>
      <c r="X1095" s="3" t="s">
        <v>508</v>
      </c>
      <c r="Y1095" s="3" t="s">
        <v>508</v>
      </c>
    </row>
    <row r="1096" spans="1:25" hidden="1" x14ac:dyDescent="0.2">
      <c r="A1096" s="83" t="str">
        <f t="shared" si="17"/>
        <v>郑州西悦城汉堡胚</v>
      </c>
      <c r="B1096" s="3" t="s">
        <v>708</v>
      </c>
      <c r="C1096" s="3">
        <v>44377</v>
      </c>
      <c r="D1096" s="3" t="s">
        <v>543</v>
      </c>
      <c r="E1096" s="3" t="s">
        <v>508</v>
      </c>
      <c r="F1096" s="3" t="s">
        <v>508</v>
      </c>
      <c r="G1096" s="70" t="s">
        <v>544</v>
      </c>
      <c r="H1096" s="3" t="s">
        <v>343</v>
      </c>
      <c r="I1096" s="3" t="s">
        <v>339</v>
      </c>
      <c r="J1096" s="3">
        <v>373</v>
      </c>
      <c r="K1096" s="3">
        <v>6768</v>
      </c>
      <c r="L1096" s="3">
        <v>6893</v>
      </c>
      <c r="M1096" s="3">
        <v>247</v>
      </c>
      <c r="N1096" s="3">
        <v>248</v>
      </c>
      <c r="O1096" s="70">
        <v>-1</v>
      </c>
      <c r="P1096" s="3">
        <v>0</v>
      </c>
      <c r="Q1096" s="3">
        <v>0</v>
      </c>
      <c r="R1096" s="3">
        <v>0.61546599999999996</v>
      </c>
      <c r="S1096" s="3">
        <v>-0.62</v>
      </c>
      <c r="T1096" s="3">
        <v>152.02000000000001</v>
      </c>
      <c r="U1096" s="3">
        <v>152.63999999999999</v>
      </c>
      <c r="V1096" s="70" t="s">
        <v>332</v>
      </c>
      <c r="W1096" s="3" t="s">
        <v>343</v>
      </c>
      <c r="X1096" s="3" t="s">
        <v>508</v>
      </c>
      <c r="Y1096" s="3" t="s">
        <v>508</v>
      </c>
    </row>
    <row r="1097" spans="1:25" hidden="1" x14ac:dyDescent="0.2">
      <c r="A1097" s="83" t="str">
        <f t="shared" si="17"/>
        <v>华山龙源汉堡胚</v>
      </c>
      <c r="B1097" s="3" t="s">
        <v>705</v>
      </c>
      <c r="C1097" s="3">
        <v>44377</v>
      </c>
      <c r="D1097" s="3" t="s">
        <v>543</v>
      </c>
      <c r="E1097" s="3" t="s">
        <v>508</v>
      </c>
      <c r="F1097" s="3" t="s">
        <v>508</v>
      </c>
      <c r="G1097" s="70" t="s">
        <v>544</v>
      </c>
      <c r="H1097" s="3" t="s">
        <v>343</v>
      </c>
      <c r="I1097" s="3" t="s">
        <v>339</v>
      </c>
      <c r="J1097" s="3">
        <v>61</v>
      </c>
      <c r="K1097" s="3">
        <v>3168</v>
      </c>
      <c r="L1097" s="3">
        <v>2902</v>
      </c>
      <c r="M1097" s="3">
        <v>327</v>
      </c>
      <c r="N1097" s="3">
        <v>327</v>
      </c>
      <c r="O1097" s="70">
        <v>0</v>
      </c>
      <c r="P1097" s="3">
        <v>0</v>
      </c>
      <c r="Q1097" s="3">
        <v>0</v>
      </c>
      <c r="R1097" s="3">
        <v>0.61553500000000005</v>
      </c>
      <c r="S1097" s="3">
        <v>0</v>
      </c>
      <c r="T1097" s="3">
        <v>201.28</v>
      </c>
      <c r="U1097" s="3">
        <v>201.28</v>
      </c>
      <c r="V1097" s="70" t="s">
        <v>643</v>
      </c>
      <c r="W1097" s="3" t="s">
        <v>343</v>
      </c>
      <c r="X1097" s="3" t="s">
        <v>508</v>
      </c>
      <c r="Y1097" s="3" t="s">
        <v>508</v>
      </c>
    </row>
    <row r="1098" spans="1:25" hidden="1" x14ac:dyDescent="0.2">
      <c r="A1098" s="83" t="str">
        <f t="shared" si="17"/>
        <v>郑州瀚海海尚汉堡胚</v>
      </c>
      <c r="B1098" s="3" t="s">
        <v>706</v>
      </c>
      <c r="C1098" s="3">
        <v>44377</v>
      </c>
      <c r="D1098" s="3" t="s">
        <v>543</v>
      </c>
      <c r="E1098" s="3" t="s">
        <v>508</v>
      </c>
      <c r="F1098" s="3" t="s">
        <v>508</v>
      </c>
      <c r="G1098" s="70" t="s">
        <v>544</v>
      </c>
      <c r="H1098" s="3" t="s">
        <v>343</v>
      </c>
      <c r="I1098" s="3" t="s">
        <v>339</v>
      </c>
      <c r="J1098" s="3">
        <v>139</v>
      </c>
      <c r="K1098" s="3">
        <v>5040</v>
      </c>
      <c r="L1098" s="3">
        <v>4896</v>
      </c>
      <c r="M1098" s="3">
        <v>271</v>
      </c>
      <c r="N1098" s="3">
        <v>283</v>
      </c>
      <c r="O1098" s="70">
        <v>-12</v>
      </c>
      <c r="P1098" s="3">
        <v>0</v>
      </c>
      <c r="Q1098" s="3">
        <v>0</v>
      </c>
      <c r="R1098" s="3">
        <v>0.61568299999999998</v>
      </c>
      <c r="S1098" s="3">
        <v>-7.39</v>
      </c>
      <c r="T1098" s="3">
        <v>166.85</v>
      </c>
      <c r="U1098" s="3">
        <v>174.24</v>
      </c>
      <c r="V1098" s="70" t="s">
        <v>333</v>
      </c>
      <c r="W1098" s="3" t="s">
        <v>343</v>
      </c>
      <c r="X1098" s="3" t="s">
        <v>508</v>
      </c>
      <c r="Y1098" s="3" t="s">
        <v>508</v>
      </c>
    </row>
    <row r="1099" spans="1:25" hidden="1" x14ac:dyDescent="0.2">
      <c r="A1099" s="83" t="str">
        <f t="shared" si="17"/>
        <v>方城锦城国际汉堡胚</v>
      </c>
      <c r="B1099" s="3" t="s">
        <v>712</v>
      </c>
      <c r="C1099" s="3">
        <v>44377</v>
      </c>
      <c r="D1099" s="3" t="s">
        <v>543</v>
      </c>
      <c r="E1099" s="3" t="s">
        <v>508</v>
      </c>
      <c r="F1099" s="3" t="s">
        <v>508</v>
      </c>
      <c r="G1099" s="70" t="s">
        <v>544</v>
      </c>
      <c r="H1099" s="3" t="s">
        <v>343</v>
      </c>
      <c r="I1099" s="3" t="s">
        <v>339</v>
      </c>
      <c r="J1099" s="3">
        <v>384</v>
      </c>
      <c r="K1099" s="3">
        <v>5328</v>
      </c>
      <c r="L1099" s="3">
        <v>5258</v>
      </c>
      <c r="M1099" s="3">
        <v>454</v>
      </c>
      <c r="N1099" s="3">
        <v>454</v>
      </c>
      <c r="O1099" s="70">
        <v>0</v>
      </c>
      <c r="P1099" s="3">
        <v>0</v>
      </c>
      <c r="Q1099" s="3">
        <v>0</v>
      </c>
      <c r="R1099" s="3">
        <v>0.61544100000000002</v>
      </c>
      <c r="S1099" s="3">
        <v>0</v>
      </c>
      <c r="T1099" s="3">
        <v>279.41000000000003</v>
      </c>
      <c r="U1099" s="3">
        <v>279.41000000000003</v>
      </c>
      <c r="V1099" s="70" t="s">
        <v>594</v>
      </c>
      <c r="W1099" s="3" t="s">
        <v>343</v>
      </c>
      <c r="X1099" s="3" t="s">
        <v>508</v>
      </c>
      <c r="Y1099" s="3" t="s">
        <v>508</v>
      </c>
    </row>
    <row r="1100" spans="1:25" hidden="1" x14ac:dyDescent="0.2">
      <c r="A1100" s="83" t="str">
        <f t="shared" si="17"/>
        <v>清丰凤鸣汉堡胚</v>
      </c>
      <c r="B1100" s="3" t="s">
        <v>713</v>
      </c>
      <c r="C1100" s="3">
        <v>44377</v>
      </c>
      <c r="D1100" s="3" t="s">
        <v>543</v>
      </c>
      <c r="E1100" s="3" t="s">
        <v>508</v>
      </c>
      <c r="F1100" s="3" t="s">
        <v>508</v>
      </c>
      <c r="G1100" s="70" t="s">
        <v>544</v>
      </c>
      <c r="H1100" s="3" t="s">
        <v>343</v>
      </c>
      <c r="I1100" s="3" t="s">
        <v>339</v>
      </c>
      <c r="J1100" s="3">
        <v>412</v>
      </c>
      <c r="K1100" s="3">
        <v>2160</v>
      </c>
      <c r="L1100" s="3">
        <v>2508</v>
      </c>
      <c r="M1100" s="3">
        <v>64</v>
      </c>
      <c r="N1100" s="3">
        <v>64</v>
      </c>
      <c r="O1100" s="70">
        <v>0</v>
      </c>
      <c r="P1100" s="3">
        <v>0</v>
      </c>
      <c r="Q1100" s="3">
        <v>0</v>
      </c>
      <c r="R1100" s="3">
        <v>0.61484399999999995</v>
      </c>
      <c r="S1100" s="3">
        <v>0</v>
      </c>
      <c r="T1100" s="3">
        <v>39.35</v>
      </c>
      <c r="U1100" s="3">
        <v>39.35</v>
      </c>
      <c r="V1100" s="70" t="s">
        <v>334</v>
      </c>
      <c r="W1100" s="3" t="s">
        <v>343</v>
      </c>
      <c r="X1100" s="3" t="s">
        <v>508</v>
      </c>
      <c r="Y1100" s="3" t="s">
        <v>508</v>
      </c>
    </row>
    <row r="1101" spans="1:25" hidden="1" x14ac:dyDescent="0.2">
      <c r="A1101" s="83" t="str">
        <f t="shared" si="17"/>
        <v>郑州裕华汉堡胚</v>
      </c>
      <c r="B1101" s="3" t="s">
        <v>711</v>
      </c>
      <c r="C1101" s="3">
        <v>44377</v>
      </c>
      <c r="D1101" s="3" t="s">
        <v>543</v>
      </c>
      <c r="E1101" s="3" t="s">
        <v>508</v>
      </c>
      <c r="F1101" s="3" t="s">
        <v>508</v>
      </c>
      <c r="G1101" s="70" t="s">
        <v>544</v>
      </c>
      <c r="H1101" s="3" t="s">
        <v>343</v>
      </c>
      <c r="I1101" s="3" t="s">
        <v>339</v>
      </c>
      <c r="J1101" s="3">
        <v>100</v>
      </c>
      <c r="K1101" s="3">
        <v>3168</v>
      </c>
      <c r="L1101" s="3">
        <v>2917</v>
      </c>
      <c r="M1101" s="3">
        <v>0</v>
      </c>
      <c r="N1101" s="3">
        <v>351</v>
      </c>
      <c r="O1101" s="70">
        <v>-351</v>
      </c>
      <c r="P1101" s="3">
        <v>0</v>
      </c>
      <c r="Q1101" s="3">
        <v>0</v>
      </c>
      <c r="R1101" s="3">
        <v>0.61555400000000005</v>
      </c>
      <c r="S1101" s="3">
        <v>-216.06</v>
      </c>
      <c r="T1101" s="3">
        <v>0</v>
      </c>
      <c r="U1101" s="3">
        <v>216.06</v>
      </c>
      <c r="V1101" s="70" t="s">
        <v>641</v>
      </c>
      <c r="W1101" s="3" t="s">
        <v>343</v>
      </c>
      <c r="X1101" s="3" t="s">
        <v>508</v>
      </c>
      <c r="Y1101" s="3" t="s">
        <v>508</v>
      </c>
    </row>
    <row r="1102" spans="1:25" hidden="1" x14ac:dyDescent="0.2">
      <c r="A1102" s="83" t="str">
        <f t="shared" si="17"/>
        <v>郑州盛华里汉堡胚</v>
      </c>
      <c r="B1102" s="3" t="s">
        <v>709</v>
      </c>
      <c r="C1102" s="3">
        <v>44377</v>
      </c>
      <c r="D1102" s="3" t="s">
        <v>543</v>
      </c>
      <c r="E1102" s="3" t="s">
        <v>508</v>
      </c>
      <c r="F1102" s="3" t="s">
        <v>508</v>
      </c>
      <c r="G1102" s="70" t="s">
        <v>544</v>
      </c>
      <c r="H1102" s="3" t="s">
        <v>343</v>
      </c>
      <c r="I1102" s="3" t="s">
        <v>339</v>
      </c>
      <c r="J1102" s="3">
        <v>415</v>
      </c>
      <c r="K1102" s="3">
        <v>2112</v>
      </c>
      <c r="L1102" s="3">
        <v>2341</v>
      </c>
      <c r="M1102" s="3">
        <v>0</v>
      </c>
      <c r="N1102" s="3">
        <v>186</v>
      </c>
      <c r="O1102" s="70">
        <v>-186</v>
      </c>
      <c r="P1102" s="3">
        <v>0</v>
      </c>
      <c r="Q1102" s="3">
        <v>0</v>
      </c>
      <c r="R1102" s="3">
        <v>0.61597900000000005</v>
      </c>
      <c r="S1102" s="3">
        <v>-114.57</v>
      </c>
      <c r="T1102" s="3">
        <v>0</v>
      </c>
      <c r="U1102" s="3">
        <v>114.57</v>
      </c>
      <c r="V1102" s="70" t="s">
        <v>637</v>
      </c>
      <c r="W1102" s="3" t="s">
        <v>343</v>
      </c>
      <c r="X1102" s="3" t="s">
        <v>508</v>
      </c>
      <c r="Y1102" s="3" t="s">
        <v>508</v>
      </c>
    </row>
    <row r="1103" spans="1:25" hidden="1" x14ac:dyDescent="0.2">
      <c r="A1103" s="83" t="str">
        <f t="shared" si="17"/>
        <v>滑县滑台汉堡胚</v>
      </c>
      <c r="B1103" s="3" t="s">
        <v>710</v>
      </c>
      <c r="C1103" s="3">
        <v>44377</v>
      </c>
      <c r="D1103" s="3" t="s">
        <v>543</v>
      </c>
      <c r="E1103" s="3" t="s">
        <v>508</v>
      </c>
      <c r="F1103" s="3" t="s">
        <v>508</v>
      </c>
      <c r="G1103" s="70" t="s">
        <v>544</v>
      </c>
      <c r="H1103" s="3" t="s">
        <v>343</v>
      </c>
      <c r="I1103" s="3" t="s">
        <v>339</v>
      </c>
      <c r="J1103" s="3">
        <v>980</v>
      </c>
      <c r="K1103" s="3">
        <v>6336</v>
      </c>
      <c r="L1103" s="3">
        <v>6701</v>
      </c>
      <c r="M1103" s="3">
        <v>619</v>
      </c>
      <c r="N1103" s="3">
        <v>615</v>
      </c>
      <c r="O1103" s="70">
        <v>4</v>
      </c>
      <c r="P1103" s="3">
        <v>0</v>
      </c>
      <c r="Q1103" s="3">
        <v>0</v>
      </c>
      <c r="R1103" s="3">
        <v>0.61547700000000005</v>
      </c>
      <c r="S1103" s="3">
        <v>2.46</v>
      </c>
      <c r="T1103" s="3">
        <v>380.98</v>
      </c>
      <c r="U1103" s="3">
        <v>378.52</v>
      </c>
      <c r="V1103" s="70" t="s">
        <v>639</v>
      </c>
      <c r="W1103" s="3" t="s">
        <v>343</v>
      </c>
      <c r="X1103" s="3" t="s">
        <v>508</v>
      </c>
      <c r="Y1103" s="3" t="s">
        <v>508</v>
      </c>
    </row>
    <row r="1104" spans="1:25" hidden="1" x14ac:dyDescent="0.2">
      <c r="A1104" s="83" t="str">
        <f t="shared" si="17"/>
        <v>郑州政六街汉堡胚</v>
      </c>
      <c r="B1104" s="3" t="s">
        <v>714</v>
      </c>
      <c r="C1104" s="3">
        <v>44377</v>
      </c>
      <c r="D1104" s="3" t="s">
        <v>543</v>
      </c>
      <c r="E1104" s="3" t="s">
        <v>508</v>
      </c>
      <c r="F1104" s="3" t="s">
        <v>508</v>
      </c>
      <c r="G1104" s="70" t="s">
        <v>544</v>
      </c>
      <c r="H1104" s="3" t="s">
        <v>343</v>
      </c>
      <c r="I1104" s="3" t="s">
        <v>339</v>
      </c>
      <c r="J1104" s="3">
        <v>520</v>
      </c>
      <c r="K1104" s="3">
        <v>6336</v>
      </c>
      <c r="L1104" s="3">
        <v>6239</v>
      </c>
      <c r="M1104" s="3">
        <v>612</v>
      </c>
      <c r="N1104" s="3">
        <v>617</v>
      </c>
      <c r="O1104" s="70">
        <v>-5</v>
      </c>
      <c r="P1104" s="3">
        <v>0</v>
      </c>
      <c r="Q1104" s="3">
        <v>0</v>
      </c>
      <c r="R1104" s="3">
        <v>0.61558800000000002</v>
      </c>
      <c r="S1104" s="3">
        <v>-3.08</v>
      </c>
      <c r="T1104" s="3">
        <v>376.74</v>
      </c>
      <c r="U1104" s="3">
        <v>379.82</v>
      </c>
      <c r="V1104" s="70" t="s">
        <v>591</v>
      </c>
      <c r="W1104" s="3" t="s">
        <v>343</v>
      </c>
      <c r="X1104" s="3" t="s">
        <v>508</v>
      </c>
      <c r="Y1104" s="3" t="s">
        <v>508</v>
      </c>
    </row>
    <row r="1105" spans="1:25" hidden="1" x14ac:dyDescent="0.2">
      <c r="A1105" s="83" t="str">
        <f t="shared" si="17"/>
        <v>郑州政六街紫薯豌豆派</v>
      </c>
      <c r="B1105" s="3" t="s">
        <v>714</v>
      </c>
      <c r="C1105" s="3">
        <v>44377</v>
      </c>
      <c r="D1105" s="3" t="s">
        <v>545</v>
      </c>
      <c r="E1105" s="3" t="s">
        <v>508</v>
      </c>
      <c r="F1105" s="3" t="s">
        <v>508</v>
      </c>
      <c r="G1105" s="70" t="s">
        <v>546</v>
      </c>
      <c r="H1105" s="3" t="s">
        <v>547</v>
      </c>
      <c r="I1105" s="3" t="s">
        <v>339</v>
      </c>
      <c r="J1105" s="3">
        <v>222</v>
      </c>
      <c r="K1105" s="3">
        <v>1200</v>
      </c>
      <c r="L1105" s="3">
        <v>1131</v>
      </c>
      <c r="M1105" s="3">
        <v>268</v>
      </c>
      <c r="N1105" s="3">
        <v>291</v>
      </c>
      <c r="O1105" s="70">
        <v>-23</v>
      </c>
      <c r="P1105" s="3">
        <v>0</v>
      </c>
      <c r="Q1105" s="3">
        <v>0</v>
      </c>
      <c r="R1105" s="3">
        <v>0.26846999999999999</v>
      </c>
      <c r="S1105" s="3">
        <v>-6.17</v>
      </c>
      <c r="T1105" s="3">
        <v>71.95</v>
      </c>
      <c r="U1105" s="3">
        <v>78.12</v>
      </c>
      <c r="V1105" s="70" t="s">
        <v>591</v>
      </c>
      <c r="W1105" s="3" t="s">
        <v>343</v>
      </c>
      <c r="X1105" s="3" t="s">
        <v>508</v>
      </c>
      <c r="Y1105" s="3" t="s">
        <v>508</v>
      </c>
    </row>
    <row r="1106" spans="1:25" hidden="1" x14ac:dyDescent="0.2">
      <c r="A1106" s="83" t="str">
        <f t="shared" si="17"/>
        <v>滑县滑台紫薯豌豆派</v>
      </c>
      <c r="B1106" s="3" t="s">
        <v>710</v>
      </c>
      <c r="C1106" s="3">
        <v>44377</v>
      </c>
      <c r="D1106" s="3" t="s">
        <v>545</v>
      </c>
      <c r="E1106" s="3" t="s">
        <v>508</v>
      </c>
      <c r="F1106" s="3" t="s">
        <v>508</v>
      </c>
      <c r="G1106" s="70" t="s">
        <v>546</v>
      </c>
      <c r="H1106" s="3" t="s">
        <v>547</v>
      </c>
      <c r="I1106" s="3" t="s">
        <v>339</v>
      </c>
      <c r="J1106" s="3">
        <v>42</v>
      </c>
      <c r="K1106" s="3">
        <v>960</v>
      </c>
      <c r="L1106" s="3">
        <v>810</v>
      </c>
      <c r="M1106" s="3">
        <v>195</v>
      </c>
      <c r="N1106" s="3">
        <v>192</v>
      </c>
      <c r="O1106" s="70">
        <v>3</v>
      </c>
      <c r="P1106" s="3">
        <v>0</v>
      </c>
      <c r="Q1106" s="3">
        <v>0</v>
      </c>
      <c r="R1106" s="3">
        <v>0.268513</v>
      </c>
      <c r="S1106" s="3">
        <v>0.81</v>
      </c>
      <c r="T1106" s="3">
        <v>52.36</v>
      </c>
      <c r="U1106" s="3">
        <v>51.55</v>
      </c>
      <c r="V1106" s="70" t="s">
        <v>639</v>
      </c>
      <c r="W1106" s="3" t="s">
        <v>343</v>
      </c>
      <c r="X1106" s="3" t="s">
        <v>508</v>
      </c>
      <c r="Y1106" s="3" t="s">
        <v>508</v>
      </c>
    </row>
    <row r="1107" spans="1:25" hidden="1" x14ac:dyDescent="0.2">
      <c r="A1107" s="83" t="str">
        <f t="shared" si="17"/>
        <v>郑州盛华里紫薯豌豆派</v>
      </c>
      <c r="B1107" s="3" t="s">
        <v>709</v>
      </c>
      <c r="C1107" s="3">
        <v>44377</v>
      </c>
      <c r="D1107" s="3" t="s">
        <v>545</v>
      </c>
      <c r="E1107" s="3" t="s">
        <v>508</v>
      </c>
      <c r="F1107" s="3" t="s">
        <v>508</v>
      </c>
      <c r="G1107" s="70" t="s">
        <v>546</v>
      </c>
      <c r="H1107" s="3" t="s">
        <v>547</v>
      </c>
      <c r="I1107" s="3" t="s">
        <v>339</v>
      </c>
      <c r="J1107" s="3">
        <v>219</v>
      </c>
      <c r="K1107" s="3">
        <v>240</v>
      </c>
      <c r="L1107" s="3">
        <v>330</v>
      </c>
      <c r="M1107" s="3">
        <v>129</v>
      </c>
      <c r="N1107" s="3">
        <v>129</v>
      </c>
      <c r="O1107" s="70">
        <v>0</v>
      </c>
      <c r="P1107" s="3">
        <v>0</v>
      </c>
      <c r="Q1107" s="3">
        <v>0</v>
      </c>
      <c r="R1107" s="3">
        <v>0.26845000000000002</v>
      </c>
      <c r="S1107" s="3">
        <v>0</v>
      </c>
      <c r="T1107" s="3">
        <v>34.630000000000003</v>
      </c>
      <c r="U1107" s="3">
        <v>34.630000000000003</v>
      </c>
      <c r="V1107" s="70" t="s">
        <v>637</v>
      </c>
      <c r="W1107" s="3" t="s">
        <v>343</v>
      </c>
      <c r="X1107" s="3" t="s">
        <v>508</v>
      </c>
      <c r="Y1107" s="3" t="s">
        <v>508</v>
      </c>
    </row>
    <row r="1108" spans="1:25" hidden="1" x14ac:dyDescent="0.2">
      <c r="A1108" s="83" t="str">
        <f t="shared" si="17"/>
        <v>郑州裕华紫薯豌豆派</v>
      </c>
      <c r="B1108" s="3" t="s">
        <v>711</v>
      </c>
      <c r="C1108" s="3">
        <v>44377</v>
      </c>
      <c r="D1108" s="3" t="s">
        <v>545</v>
      </c>
      <c r="E1108" s="3" t="s">
        <v>508</v>
      </c>
      <c r="F1108" s="3" t="s">
        <v>508</v>
      </c>
      <c r="G1108" s="70" t="s">
        <v>546</v>
      </c>
      <c r="H1108" s="3" t="s">
        <v>547</v>
      </c>
      <c r="I1108" s="3" t="s">
        <v>339</v>
      </c>
      <c r="J1108" s="3">
        <v>300</v>
      </c>
      <c r="K1108" s="3">
        <v>0</v>
      </c>
      <c r="L1108" s="3">
        <v>285</v>
      </c>
      <c r="M1108" s="3">
        <v>0</v>
      </c>
      <c r="N1108" s="3">
        <v>15</v>
      </c>
      <c r="O1108" s="70">
        <v>-15</v>
      </c>
      <c r="P1108" s="3">
        <v>0</v>
      </c>
      <c r="Q1108" s="3">
        <v>0</v>
      </c>
      <c r="R1108" s="3">
        <v>0.26853300000000002</v>
      </c>
      <c r="S1108" s="3">
        <v>-4.03</v>
      </c>
      <c r="T1108" s="3">
        <v>0</v>
      </c>
      <c r="U1108" s="3">
        <v>4.03</v>
      </c>
      <c r="V1108" s="70" t="s">
        <v>641</v>
      </c>
      <c r="W1108" s="3" t="s">
        <v>343</v>
      </c>
      <c r="X1108" s="3" t="s">
        <v>508</v>
      </c>
      <c r="Y1108" s="3" t="s">
        <v>508</v>
      </c>
    </row>
    <row r="1109" spans="1:25" hidden="1" x14ac:dyDescent="0.2">
      <c r="A1109" s="83" t="str">
        <f t="shared" si="17"/>
        <v>方城锦城国际紫薯豌豆派</v>
      </c>
      <c r="B1109" s="3" t="s">
        <v>712</v>
      </c>
      <c r="C1109" s="3">
        <v>44377</v>
      </c>
      <c r="D1109" s="3" t="s">
        <v>545</v>
      </c>
      <c r="E1109" s="3" t="s">
        <v>508</v>
      </c>
      <c r="F1109" s="3" t="s">
        <v>508</v>
      </c>
      <c r="G1109" s="70" t="s">
        <v>546</v>
      </c>
      <c r="H1109" s="3" t="s">
        <v>547</v>
      </c>
      <c r="I1109" s="3" t="s">
        <v>339</v>
      </c>
      <c r="J1109" s="3">
        <v>140</v>
      </c>
      <c r="K1109" s="3">
        <v>720</v>
      </c>
      <c r="L1109" s="3">
        <v>819</v>
      </c>
      <c r="M1109" s="3">
        <v>41</v>
      </c>
      <c r="N1109" s="3">
        <v>41</v>
      </c>
      <c r="O1109" s="70">
        <v>0</v>
      </c>
      <c r="P1109" s="3">
        <v>0</v>
      </c>
      <c r="Q1109" s="3">
        <v>0</v>
      </c>
      <c r="R1109" s="3">
        <v>0.268293</v>
      </c>
      <c r="S1109" s="3">
        <v>0</v>
      </c>
      <c r="T1109" s="3">
        <v>11</v>
      </c>
      <c r="U1109" s="3">
        <v>11</v>
      </c>
      <c r="V1109" s="70" t="s">
        <v>594</v>
      </c>
      <c r="W1109" s="3" t="s">
        <v>343</v>
      </c>
      <c r="X1109" s="3" t="s">
        <v>508</v>
      </c>
      <c r="Y1109" s="3" t="s">
        <v>508</v>
      </c>
    </row>
    <row r="1110" spans="1:25" hidden="1" x14ac:dyDescent="0.2">
      <c r="A1110" s="83" t="str">
        <f t="shared" si="17"/>
        <v>清丰凤鸣紫薯豌豆派</v>
      </c>
      <c r="B1110" s="3" t="s">
        <v>713</v>
      </c>
      <c r="C1110" s="3">
        <v>44377</v>
      </c>
      <c r="D1110" s="3" t="s">
        <v>545</v>
      </c>
      <c r="E1110" s="3" t="s">
        <v>508</v>
      </c>
      <c r="F1110" s="3" t="s">
        <v>508</v>
      </c>
      <c r="G1110" s="70" t="s">
        <v>546</v>
      </c>
      <c r="H1110" s="3" t="s">
        <v>547</v>
      </c>
      <c r="I1110" s="3" t="s">
        <v>339</v>
      </c>
      <c r="J1110" s="3">
        <v>261</v>
      </c>
      <c r="K1110" s="3">
        <v>480</v>
      </c>
      <c r="L1110" s="3">
        <v>360</v>
      </c>
      <c r="M1110" s="3">
        <v>381</v>
      </c>
      <c r="N1110" s="3">
        <v>381</v>
      </c>
      <c r="O1110" s="70">
        <v>0</v>
      </c>
      <c r="P1110" s="3">
        <v>0</v>
      </c>
      <c r="Q1110" s="3">
        <v>0</v>
      </c>
      <c r="R1110" s="3">
        <v>0.268451</v>
      </c>
      <c r="S1110" s="3">
        <v>0</v>
      </c>
      <c r="T1110" s="3">
        <v>102.28</v>
      </c>
      <c r="U1110" s="3">
        <v>102.28</v>
      </c>
      <c r="V1110" s="70" t="s">
        <v>334</v>
      </c>
      <c r="W1110" s="3" t="s">
        <v>343</v>
      </c>
      <c r="X1110" s="3" t="s">
        <v>508</v>
      </c>
      <c r="Y1110" s="3" t="s">
        <v>508</v>
      </c>
    </row>
    <row r="1111" spans="1:25" hidden="1" x14ac:dyDescent="0.2">
      <c r="A1111" s="83" t="str">
        <f t="shared" si="17"/>
        <v>华山龙源紫薯豌豆派</v>
      </c>
      <c r="B1111" s="3" t="s">
        <v>705</v>
      </c>
      <c r="C1111" s="3">
        <v>44377</v>
      </c>
      <c r="D1111" s="3" t="s">
        <v>545</v>
      </c>
      <c r="E1111" s="3" t="s">
        <v>508</v>
      </c>
      <c r="F1111" s="3" t="s">
        <v>508</v>
      </c>
      <c r="G1111" s="70" t="s">
        <v>546</v>
      </c>
      <c r="H1111" s="3" t="s">
        <v>547</v>
      </c>
      <c r="I1111" s="3" t="s">
        <v>339</v>
      </c>
      <c r="J1111" s="3">
        <v>465</v>
      </c>
      <c r="K1111" s="3">
        <v>480</v>
      </c>
      <c r="L1111" s="3">
        <v>729</v>
      </c>
      <c r="M1111" s="3">
        <v>216</v>
      </c>
      <c r="N1111" s="3">
        <v>216</v>
      </c>
      <c r="O1111" s="70">
        <v>0</v>
      </c>
      <c r="P1111" s="3">
        <v>0</v>
      </c>
      <c r="Q1111" s="3">
        <v>0</v>
      </c>
      <c r="R1111" s="3">
        <v>0.26833299999999999</v>
      </c>
      <c r="S1111" s="3">
        <v>0</v>
      </c>
      <c r="T1111" s="3">
        <v>57.96</v>
      </c>
      <c r="U1111" s="3">
        <v>57.96</v>
      </c>
      <c r="V1111" s="70" t="s">
        <v>643</v>
      </c>
      <c r="W1111" s="3" t="s">
        <v>343</v>
      </c>
      <c r="X1111" s="3" t="s">
        <v>508</v>
      </c>
      <c r="Y1111" s="3" t="s">
        <v>508</v>
      </c>
    </row>
    <row r="1112" spans="1:25" hidden="1" x14ac:dyDescent="0.2">
      <c r="A1112" s="83" t="str">
        <f t="shared" si="17"/>
        <v>郑州瀚海海尚紫薯豌豆派</v>
      </c>
      <c r="B1112" s="3" t="s">
        <v>706</v>
      </c>
      <c r="C1112" s="3">
        <v>44377</v>
      </c>
      <c r="D1112" s="3" t="s">
        <v>545</v>
      </c>
      <c r="E1112" s="3" t="s">
        <v>508</v>
      </c>
      <c r="F1112" s="3" t="s">
        <v>508</v>
      </c>
      <c r="G1112" s="70" t="s">
        <v>546</v>
      </c>
      <c r="H1112" s="3" t="s">
        <v>547</v>
      </c>
      <c r="I1112" s="3" t="s">
        <v>339</v>
      </c>
      <c r="J1112" s="3">
        <v>412</v>
      </c>
      <c r="K1112" s="3">
        <v>240</v>
      </c>
      <c r="L1112" s="3">
        <v>522</v>
      </c>
      <c r="M1112" s="3">
        <v>174</v>
      </c>
      <c r="N1112" s="3">
        <v>130</v>
      </c>
      <c r="O1112" s="70">
        <v>44</v>
      </c>
      <c r="P1112" s="3">
        <v>0</v>
      </c>
      <c r="Q1112" s="3">
        <v>0</v>
      </c>
      <c r="R1112" s="3">
        <v>0.26850600000000002</v>
      </c>
      <c r="S1112" s="3">
        <v>11.81</v>
      </c>
      <c r="T1112" s="3">
        <v>46.72</v>
      </c>
      <c r="U1112" s="3">
        <v>34.909999999999997</v>
      </c>
      <c r="V1112" s="70" t="s">
        <v>333</v>
      </c>
      <c r="W1112" s="3" t="s">
        <v>343</v>
      </c>
      <c r="X1112" s="3" t="s">
        <v>508</v>
      </c>
      <c r="Y1112" s="3" t="s">
        <v>508</v>
      </c>
    </row>
    <row r="1113" spans="1:25" hidden="1" x14ac:dyDescent="0.2">
      <c r="A1113" s="83" t="str">
        <f t="shared" si="17"/>
        <v>郑州铁英街紫薯豌豆派</v>
      </c>
      <c r="B1113" s="3" t="s">
        <v>707</v>
      </c>
      <c r="C1113" s="3">
        <v>44377</v>
      </c>
      <c r="D1113" s="3" t="s">
        <v>545</v>
      </c>
      <c r="E1113" s="3" t="s">
        <v>508</v>
      </c>
      <c r="F1113" s="3" t="s">
        <v>508</v>
      </c>
      <c r="G1113" s="70" t="s">
        <v>546</v>
      </c>
      <c r="H1113" s="3" t="s">
        <v>547</v>
      </c>
      <c r="I1113" s="3" t="s">
        <v>339</v>
      </c>
      <c r="J1113" s="3">
        <v>210</v>
      </c>
      <c r="K1113" s="3">
        <v>240</v>
      </c>
      <c r="L1113" s="3">
        <v>366</v>
      </c>
      <c r="M1113" s="3">
        <v>84</v>
      </c>
      <c r="N1113" s="3">
        <v>84</v>
      </c>
      <c r="O1113" s="70">
        <v>0</v>
      </c>
      <c r="P1113" s="3">
        <v>0</v>
      </c>
      <c r="Q1113" s="3">
        <v>0</v>
      </c>
      <c r="R1113" s="3">
        <v>0.26833299999999999</v>
      </c>
      <c r="S1113" s="3">
        <v>0</v>
      </c>
      <c r="T1113" s="3">
        <v>22.54</v>
      </c>
      <c r="U1113" s="3">
        <v>22.54</v>
      </c>
      <c r="V1113" s="70" t="s">
        <v>592</v>
      </c>
      <c r="W1113" s="3" t="s">
        <v>343</v>
      </c>
      <c r="X1113" s="3" t="s">
        <v>508</v>
      </c>
      <c r="Y1113" s="3" t="s">
        <v>508</v>
      </c>
    </row>
    <row r="1114" spans="1:25" hidden="1" x14ac:dyDescent="0.2">
      <c r="A1114" s="83" t="str">
        <f t="shared" si="17"/>
        <v>郑州西悦城紫薯豌豆派</v>
      </c>
      <c r="B1114" s="3" t="s">
        <v>708</v>
      </c>
      <c r="C1114" s="3">
        <v>44377</v>
      </c>
      <c r="D1114" s="3" t="s">
        <v>545</v>
      </c>
      <c r="E1114" s="3" t="s">
        <v>508</v>
      </c>
      <c r="F1114" s="3" t="s">
        <v>508</v>
      </c>
      <c r="G1114" s="70" t="s">
        <v>546</v>
      </c>
      <c r="H1114" s="3" t="s">
        <v>547</v>
      </c>
      <c r="I1114" s="3" t="s">
        <v>339</v>
      </c>
      <c r="J1114" s="3">
        <v>72</v>
      </c>
      <c r="K1114" s="3">
        <v>1440</v>
      </c>
      <c r="L1114" s="3">
        <v>1338</v>
      </c>
      <c r="M1114" s="3">
        <v>132</v>
      </c>
      <c r="N1114" s="3">
        <v>174</v>
      </c>
      <c r="O1114" s="70">
        <v>-42</v>
      </c>
      <c r="P1114" s="3">
        <v>0</v>
      </c>
      <c r="Q1114" s="3">
        <v>0</v>
      </c>
      <c r="R1114" s="3">
        <v>0.26856099999999999</v>
      </c>
      <c r="S1114" s="3">
        <v>-11.28</v>
      </c>
      <c r="T1114" s="3">
        <v>35.450000000000003</v>
      </c>
      <c r="U1114" s="3">
        <v>46.73</v>
      </c>
      <c r="V1114" s="70" t="s">
        <v>332</v>
      </c>
      <c r="W1114" s="3" t="s">
        <v>343</v>
      </c>
      <c r="X1114" s="3" t="s">
        <v>508</v>
      </c>
      <c r="Y1114" s="3" t="s">
        <v>508</v>
      </c>
    </row>
    <row r="1115" spans="1:25" hidden="1" x14ac:dyDescent="0.2">
      <c r="A1115" s="83" t="str">
        <f t="shared" si="17"/>
        <v>郑州康复中街紫薯豌豆派</v>
      </c>
      <c r="B1115" s="3" t="s">
        <v>704</v>
      </c>
      <c r="C1115" s="3">
        <v>44377</v>
      </c>
      <c r="D1115" s="3" t="s">
        <v>545</v>
      </c>
      <c r="E1115" s="3" t="s">
        <v>508</v>
      </c>
      <c r="F1115" s="3" t="s">
        <v>508</v>
      </c>
      <c r="G1115" s="70" t="s">
        <v>546</v>
      </c>
      <c r="H1115" s="3" t="s">
        <v>547</v>
      </c>
      <c r="I1115" s="3" t="s">
        <v>339</v>
      </c>
      <c r="J1115" s="3">
        <v>144</v>
      </c>
      <c r="K1115" s="3">
        <v>960</v>
      </c>
      <c r="L1115" s="3">
        <v>1029</v>
      </c>
      <c r="M1115" s="3">
        <v>75</v>
      </c>
      <c r="N1115" s="3">
        <v>75</v>
      </c>
      <c r="O1115" s="70">
        <v>0</v>
      </c>
      <c r="P1115" s="3">
        <v>0</v>
      </c>
      <c r="Q1115" s="3">
        <v>0</v>
      </c>
      <c r="R1115" s="3">
        <v>0.26840000000000003</v>
      </c>
      <c r="S1115" s="3">
        <v>0</v>
      </c>
      <c r="T1115" s="3">
        <v>20.13</v>
      </c>
      <c r="U1115" s="3">
        <v>20.13</v>
      </c>
      <c r="V1115" s="70" t="s">
        <v>593</v>
      </c>
      <c r="W1115" s="3" t="s">
        <v>343</v>
      </c>
      <c r="X1115" s="3" t="s">
        <v>508</v>
      </c>
      <c r="Y1115" s="3" t="s">
        <v>508</v>
      </c>
    </row>
    <row r="1116" spans="1:25" hidden="1" x14ac:dyDescent="0.2">
      <c r="A1116" s="83" t="str">
        <f t="shared" si="17"/>
        <v>新蔡水韵天街紫薯豌豆派</v>
      </c>
      <c r="B1116" s="3" t="s">
        <v>703</v>
      </c>
      <c r="C1116" s="3">
        <v>44377</v>
      </c>
      <c r="D1116" s="3" t="s">
        <v>545</v>
      </c>
      <c r="E1116" s="3" t="s">
        <v>508</v>
      </c>
      <c r="F1116" s="3" t="s">
        <v>508</v>
      </c>
      <c r="G1116" s="70" t="s">
        <v>546</v>
      </c>
      <c r="H1116" s="3" t="s">
        <v>547</v>
      </c>
      <c r="I1116" s="3" t="s">
        <v>339</v>
      </c>
      <c r="J1116" s="3">
        <v>285</v>
      </c>
      <c r="K1116" s="3">
        <v>1200</v>
      </c>
      <c r="L1116" s="3">
        <v>1446</v>
      </c>
      <c r="M1116" s="3">
        <v>0</v>
      </c>
      <c r="N1116" s="3">
        <v>39</v>
      </c>
      <c r="O1116" s="70">
        <v>-39</v>
      </c>
      <c r="P1116" s="3">
        <v>0</v>
      </c>
      <c r="Q1116" s="3">
        <v>0</v>
      </c>
      <c r="R1116" s="3">
        <v>0.26841799999999999</v>
      </c>
      <c r="S1116" s="3">
        <v>-10.47</v>
      </c>
      <c r="T1116" s="3">
        <v>0</v>
      </c>
      <c r="U1116" s="3">
        <v>10.47</v>
      </c>
      <c r="V1116" s="70" t="s">
        <v>335</v>
      </c>
      <c r="W1116" s="3" t="s">
        <v>343</v>
      </c>
      <c r="X1116" s="3" t="s">
        <v>508</v>
      </c>
      <c r="Y1116" s="3" t="s">
        <v>508</v>
      </c>
    </row>
    <row r="1117" spans="1:25" hidden="1" x14ac:dyDescent="0.2">
      <c r="A1117" s="83" t="str">
        <f t="shared" si="17"/>
        <v>新蔡水韵天街油条</v>
      </c>
      <c r="B1117" s="3" t="s">
        <v>703</v>
      </c>
      <c r="C1117" s="3">
        <v>44377</v>
      </c>
      <c r="D1117" s="3" t="s">
        <v>548</v>
      </c>
      <c r="E1117" s="3" t="s">
        <v>508</v>
      </c>
      <c r="F1117" s="3" t="s">
        <v>508</v>
      </c>
      <c r="G1117" s="70" t="s">
        <v>549</v>
      </c>
      <c r="H1117" s="3" t="s">
        <v>550</v>
      </c>
      <c r="I1117" s="3" t="s">
        <v>339</v>
      </c>
      <c r="J1117" s="3">
        <v>90</v>
      </c>
      <c r="K1117" s="3">
        <v>0</v>
      </c>
      <c r="L1117" s="3">
        <v>8</v>
      </c>
      <c r="M1117" s="3">
        <v>80</v>
      </c>
      <c r="N1117" s="3">
        <v>82</v>
      </c>
      <c r="O1117" s="70">
        <v>-2</v>
      </c>
      <c r="P1117" s="3">
        <v>0</v>
      </c>
      <c r="Q1117" s="3">
        <v>0</v>
      </c>
      <c r="R1117" s="3">
        <v>0.49787500000000001</v>
      </c>
      <c r="S1117" s="3">
        <v>-1</v>
      </c>
      <c r="T1117" s="3">
        <v>39.83</v>
      </c>
      <c r="U1117" s="3">
        <v>40.83</v>
      </c>
      <c r="V1117" s="70" t="s">
        <v>335</v>
      </c>
      <c r="W1117" s="3" t="s">
        <v>343</v>
      </c>
      <c r="X1117" s="3" t="s">
        <v>508</v>
      </c>
      <c r="Y1117" s="3" t="s">
        <v>508</v>
      </c>
    </row>
    <row r="1118" spans="1:25" hidden="1" x14ac:dyDescent="0.2">
      <c r="A1118" s="83" t="str">
        <f t="shared" si="17"/>
        <v>郑州康复中街油条</v>
      </c>
      <c r="B1118" s="3" t="s">
        <v>704</v>
      </c>
      <c r="C1118" s="3">
        <v>44377</v>
      </c>
      <c r="D1118" s="3" t="s">
        <v>548</v>
      </c>
      <c r="E1118" s="3" t="s">
        <v>508</v>
      </c>
      <c r="F1118" s="3" t="s">
        <v>508</v>
      </c>
      <c r="G1118" s="70" t="s">
        <v>549</v>
      </c>
      <c r="H1118" s="3" t="s">
        <v>550</v>
      </c>
      <c r="I1118" s="3" t="s">
        <v>339</v>
      </c>
      <c r="J1118" s="3">
        <v>98</v>
      </c>
      <c r="K1118" s="3">
        <v>0</v>
      </c>
      <c r="L1118" s="3">
        <v>42</v>
      </c>
      <c r="M1118" s="3">
        <v>52</v>
      </c>
      <c r="N1118" s="3">
        <v>56</v>
      </c>
      <c r="O1118" s="70">
        <v>-4</v>
      </c>
      <c r="P1118" s="3">
        <v>0</v>
      </c>
      <c r="Q1118" s="3">
        <v>0</v>
      </c>
      <c r="R1118" s="3">
        <v>0.49769200000000002</v>
      </c>
      <c r="S1118" s="3">
        <v>-1.99</v>
      </c>
      <c r="T1118" s="3">
        <v>25.88</v>
      </c>
      <c r="U1118" s="3">
        <v>27.87</v>
      </c>
      <c r="V1118" s="70" t="s">
        <v>593</v>
      </c>
      <c r="W1118" s="3" t="s">
        <v>343</v>
      </c>
      <c r="X1118" s="3" t="s">
        <v>508</v>
      </c>
      <c r="Y1118" s="3" t="s">
        <v>508</v>
      </c>
    </row>
    <row r="1119" spans="1:25" hidden="1" x14ac:dyDescent="0.2">
      <c r="A1119" s="83" t="str">
        <f t="shared" si="17"/>
        <v>郑州西悦城油条</v>
      </c>
      <c r="B1119" s="3" t="s">
        <v>708</v>
      </c>
      <c r="C1119" s="3">
        <v>44377</v>
      </c>
      <c r="D1119" s="3" t="s">
        <v>548</v>
      </c>
      <c r="E1119" s="3" t="s">
        <v>508</v>
      </c>
      <c r="F1119" s="3" t="s">
        <v>508</v>
      </c>
      <c r="G1119" s="70" t="s">
        <v>549</v>
      </c>
      <c r="H1119" s="3" t="s">
        <v>550</v>
      </c>
      <c r="I1119" s="3" t="s">
        <v>339</v>
      </c>
      <c r="J1119" s="3">
        <v>74</v>
      </c>
      <c r="K1119" s="3">
        <v>0</v>
      </c>
      <c r="L1119" s="3">
        <v>50</v>
      </c>
      <c r="M1119" s="3">
        <v>24</v>
      </c>
      <c r="N1119" s="3">
        <v>24</v>
      </c>
      <c r="O1119" s="70">
        <v>0</v>
      </c>
      <c r="P1119" s="3">
        <v>0</v>
      </c>
      <c r="Q1119" s="3">
        <v>0</v>
      </c>
      <c r="R1119" s="3">
        <v>0.4975</v>
      </c>
      <c r="S1119" s="3">
        <v>0</v>
      </c>
      <c r="T1119" s="3">
        <v>11.94</v>
      </c>
      <c r="U1119" s="3">
        <v>11.94</v>
      </c>
      <c r="V1119" s="70" t="s">
        <v>332</v>
      </c>
      <c r="W1119" s="3" t="s">
        <v>343</v>
      </c>
      <c r="X1119" s="3" t="s">
        <v>508</v>
      </c>
      <c r="Y1119" s="3" t="s">
        <v>508</v>
      </c>
    </row>
    <row r="1120" spans="1:25" hidden="1" x14ac:dyDescent="0.2">
      <c r="A1120" s="83" t="str">
        <f t="shared" si="17"/>
        <v>华山龙源油条</v>
      </c>
      <c r="B1120" s="3" t="s">
        <v>705</v>
      </c>
      <c r="C1120" s="3">
        <v>44377</v>
      </c>
      <c r="D1120" s="3" t="s">
        <v>548</v>
      </c>
      <c r="E1120" s="3" t="s">
        <v>508</v>
      </c>
      <c r="F1120" s="3" t="s">
        <v>508</v>
      </c>
      <c r="G1120" s="70" t="s">
        <v>549</v>
      </c>
      <c r="H1120" s="3" t="s">
        <v>550</v>
      </c>
      <c r="I1120" s="3" t="s">
        <v>339</v>
      </c>
      <c r="J1120" s="3">
        <v>102</v>
      </c>
      <c r="K1120" s="3">
        <v>0</v>
      </c>
      <c r="L1120" s="3">
        <v>30</v>
      </c>
      <c r="M1120" s="3">
        <v>72</v>
      </c>
      <c r="N1120" s="3">
        <v>72</v>
      </c>
      <c r="O1120" s="70">
        <v>0</v>
      </c>
      <c r="P1120" s="3">
        <v>0</v>
      </c>
      <c r="Q1120" s="3">
        <v>0</v>
      </c>
      <c r="R1120" s="3">
        <v>0.497778</v>
      </c>
      <c r="S1120" s="3">
        <v>0</v>
      </c>
      <c r="T1120" s="3">
        <v>35.840000000000003</v>
      </c>
      <c r="U1120" s="3">
        <v>35.840000000000003</v>
      </c>
      <c r="V1120" s="70" t="s">
        <v>643</v>
      </c>
      <c r="W1120" s="3" t="s">
        <v>343</v>
      </c>
      <c r="X1120" s="3" t="s">
        <v>508</v>
      </c>
      <c r="Y1120" s="3" t="s">
        <v>508</v>
      </c>
    </row>
    <row r="1121" spans="1:25" hidden="1" x14ac:dyDescent="0.2">
      <c r="A1121" s="83" t="str">
        <f t="shared" si="17"/>
        <v>郑州瀚海海尚油条</v>
      </c>
      <c r="B1121" s="3" t="s">
        <v>706</v>
      </c>
      <c r="C1121" s="3">
        <v>44377</v>
      </c>
      <c r="D1121" s="3" t="s">
        <v>548</v>
      </c>
      <c r="E1121" s="3" t="s">
        <v>508</v>
      </c>
      <c r="F1121" s="3" t="s">
        <v>508</v>
      </c>
      <c r="G1121" s="70" t="s">
        <v>549</v>
      </c>
      <c r="H1121" s="3" t="s">
        <v>550</v>
      </c>
      <c r="I1121" s="3" t="s">
        <v>339</v>
      </c>
      <c r="J1121" s="3">
        <v>126</v>
      </c>
      <c r="K1121" s="3">
        <v>0</v>
      </c>
      <c r="L1121" s="3">
        <v>26</v>
      </c>
      <c r="M1121" s="3">
        <v>96</v>
      </c>
      <c r="N1121" s="3">
        <v>100</v>
      </c>
      <c r="O1121" s="70">
        <v>-4</v>
      </c>
      <c r="P1121" s="3">
        <v>0</v>
      </c>
      <c r="Q1121" s="3">
        <v>0</v>
      </c>
      <c r="R1121" s="3">
        <v>0.49781300000000001</v>
      </c>
      <c r="S1121" s="3">
        <v>-1.99</v>
      </c>
      <c r="T1121" s="3">
        <v>47.79</v>
      </c>
      <c r="U1121" s="3">
        <v>49.78</v>
      </c>
      <c r="V1121" s="70" t="s">
        <v>333</v>
      </c>
      <c r="W1121" s="3" t="s">
        <v>343</v>
      </c>
      <c r="X1121" s="3" t="s">
        <v>508</v>
      </c>
      <c r="Y1121" s="3" t="s">
        <v>508</v>
      </c>
    </row>
    <row r="1122" spans="1:25" hidden="1" x14ac:dyDescent="0.2">
      <c r="A1122" s="83" t="str">
        <f t="shared" si="17"/>
        <v>方城锦城国际油条</v>
      </c>
      <c r="B1122" s="3" t="s">
        <v>712</v>
      </c>
      <c r="C1122" s="3">
        <v>44377</v>
      </c>
      <c r="D1122" s="3" t="s">
        <v>548</v>
      </c>
      <c r="E1122" s="3" t="s">
        <v>508</v>
      </c>
      <c r="F1122" s="3" t="s">
        <v>508</v>
      </c>
      <c r="G1122" s="70" t="s">
        <v>549</v>
      </c>
      <c r="H1122" s="3" t="s">
        <v>550</v>
      </c>
      <c r="I1122" s="3" t="s">
        <v>339</v>
      </c>
      <c r="J1122" s="3">
        <v>36</v>
      </c>
      <c r="K1122" s="3">
        <v>120</v>
      </c>
      <c r="L1122" s="3">
        <v>46</v>
      </c>
      <c r="M1122" s="3">
        <v>110</v>
      </c>
      <c r="N1122" s="3">
        <v>110</v>
      </c>
      <c r="O1122" s="70">
        <v>0</v>
      </c>
      <c r="P1122" s="3">
        <v>0</v>
      </c>
      <c r="Q1122" s="3">
        <v>0</v>
      </c>
      <c r="R1122" s="3">
        <v>0.49781799999999998</v>
      </c>
      <c r="S1122" s="3">
        <v>0</v>
      </c>
      <c r="T1122" s="3">
        <v>54.76</v>
      </c>
      <c r="U1122" s="3">
        <v>54.76</v>
      </c>
      <c r="V1122" s="70" t="s">
        <v>594</v>
      </c>
      <c r="W1122" s="3" t="s">
        <v>343</v>
      </c>
      <c r="X1122" s="3" t="s">
        <v>508</v>
      </c>
      <c r="Y1122" s="3" t="s">
        <v>508</v>
      </c>
    </row>
    <row r="1123" spans="1:25" hidden="1" x14ac:dyDescent="0.2">
      <c r="A1123" s="83" t="str">
        <f t="shared" si="17"/>
        <v>清丰凤鸣油条</v>
      </c>
      <c r="B1123" s="3" t="s">
        <v>713</v>
      </c>
      <c r="C1123" s="3">
        <v>44377</v>
      </c>
      <c r="D1123" s="3" t="s">
        <v>548</v>
      </c>
      <c r="E1123" s="3" t="s">
        <v>508</v>
      </c>
      <c r="F1123" s="3" t="s">
        <v>508</v>
      </c>
      <c r="G1123" s="70" t="s">
        <v>549</v>
      </c>
      <c r="H1123" s="3" t="s">
        <v>550</v>
      </c>
      <c r="I1123" s="3" t="s">
        <v>339</v>
      </c>
      <c r="J1123" s="3">
        <v>108</v>
      </c>
      <c r="K1123" s="3">
        <v>0</v>
      </c>
      <c r="L1123" s="3">
        <v>10</v>
      </c>
      <c r="M1123" s="3">
        <v>98</v>
      </c>
      <c r="N1123" s="3">
        <v>98</v>
      </c>
      <c r="O1123" s="70">
        <v>0</v>
      </c>
      <c r="P1123" s="3">
        <v>0</v>
      </c>
      <c r="Q1123" s="3">
        <v>0</v>
      </c>
      <c r="R1123" s="3">
        <v>0.497755</v>
      </c>
      <c r="S1123" s="3">
        <v>0</v>
      </c>
      <c r="T1123" s="3">
        <v>48.78</v>
      </c>
      <c r="U1123" s="3">
        <v>48.78</v>
      </c>
      <c r="V1123" s="70" t="s">
        <v>334</v>
      </c>
      <c r="W1123" s="3" t="s">
        <v>343</v>
      </c>
      <c r="X1123" s="3" t="s">
        <v>508</v>
      </c>
      <c r="Y1123" s="3" t="s">
        <v>508</v>
      </c>
    </row>
    <row r="1124" spans="1:25" hidden="1" x14ac:dyDescent="0.2">
      <c r="A1124" s="83" t="str">
        <f t="shared" si="17"/>
        <v>郑州裕华油条</v>
      </c>
      <c r="B1124" s="3" t="s">
        <v>711</v>
      </c>
      <c r="C1124" s="3">
        <v>44377</v>
      </c>
      <c r="D1124" s="3" t="s">
        <v>548</v>
      </c>
      <c r="E1124" s="3" t="s">
        <v>508</v>
      </c>
      <c r="F1124" s="3" t="s">
        <v>508</v>
      </c>
      <c r="G1124" s="70" t="s">
        <v>549</v>
      </c>
      <c r="H1124" s="3" t="s">
        <v>550</v>
      </c>
      <c r="I1124" s="3" t="s">
        <v>339</v>
      </c>
      <c r="J1124" s="3">
        <v>0</v>
      </c>
      <c r="K1124" s="3">
        <v>120</v>
      </c>
      <c r="L1124" s="3">
        <v>0</v>
      </c>
      <c r="M1124" s="3">
        <v>120</v>
      </c>
      <c r="N1124" s="3">
        <v>120</v>
      </c>
      <c r="O1124" s="70">
        <v>0</v>
      </c>
      <c r="P1124" s="3">
        <v>0</v>
      </c>
      <c r="Q1124" s="3">
        <v>0</v>
      </c>
      <c r="R1124" s="3">
        <v>0.49783300000000003</v>
      </c>
      <c r="S1124" s="3">
        <v>0</v>
      </c>
      <c r="T1124" s="3">
        <v>59.74</v>
      </c>
      <c r="U1124" s="3">
        <v>59.74</v>
      </c>
      <c r="V1124" s="70" t="s">
        <v>641</v>
      </c>
      <c r="W1124" s="3" t="s">
        <v>343</v>
      </c>
      <c r="X1124" s="3" t="s">
        <v>508</v>
      </c>
      <c r="Y1124" s="3" t="s">
        <v>508</v>
      </c>
    </row>
    <row r="1125" spans="1:25" hidden="1" x14ac:dyDescent="0.2">
      <c r="A1125" s="83" t="str">
        <f t="shared" si="17"/>
        <v>郑州盛华里油条</v>
      </c>
      <c r="B1125" s="3" t="s">
        <v>709</v>
      </c>
      <c r="C1125" s="3">
        <v>44377</v>
      </c>
      <c r="D1125" s="3" t="s">
        <v>548</v>
      </c>
      <c r="E1125" s="3" t="s">
        <v>508</v>
      </c>
      <c r="F1125" s="3" t="s">
        <v>508</v>
      </c>
      <c r="G1125" s="70" t="s">
        <v>549</v>
      </c>
      <c r="H1125" s="3" t="s">
        <v>550</v>
      </c>
      <c r="I1125" s="3" t="s">
        <v>339</v>
      </c>
      <c r="J1125" s="3">
        <v>116</v>
      </c>
      <c r="K1125" s="3">
        <v>0</v>
      </c>
      <c r="L1125" s="3">
        <v>6</v>
      </c>
      <c r="M1125" s="3">
        <v>110</v>
      </c>
      <c r="N1125" s="3">
        <v>110</v>
      </c>
      <c r="O1125" s="70">
        <v>0</v>
      </c>
      <c r="P1125" s="3">
        <v>0</v>
      </c>
      <c r="Q1125" s="3">
        <v>0</v>
      </c>
      <c r="R1125" s="3">
        <v>0.49781799999999998</v>
      </c>
      <c r="S1125" s="3">
        <v>0</v>
      </c>
      <c r="T1125" s="3">
        <v>54.76</v>
      </c>
      <c r="U1125" s="3">
        <v>54.76</v>
      </c>
      <c r="V1125" s="70" t="s">
        <v>637</v>
      </c>
      <c r="W1125" s="3" t="s">
        <v>343</v>
      </c>
      <c r="X1125" s="3" t="s">
        <v>508</v>
      </c>
      <c r="Y1125" s="3" t="s">
        <v>508</v>
      </c>
    </row>
    <row r="1126" spans="1:25" hidden="1" x14ac:dyDescent="0.2">
      <c r="A1126" s="83" t="str">
        <f t="shared" si="17"/>
        <v>郑州盛华里蝴蝶腿</v>
      </c>
      <c r="B1126" s="3" t="s">
        <v>709</v>
      </c>
      <c r="C1126" s="3">
        <v>44377</v>
      </c>
      <c r="D1126" s="3" t="s">
        <v>551</v>
      </c>
      <c r="E1126" s="3" t="s">
        <v>508</v>
      </c>
      <c r="F1126" s="3" t="s">
        <v>508</v>
      </c>
      <c r="G1126" s="70" t="s">
        <v>552</v>
      </c>
      <c r="H1126" s="3" t="s">
        <v>553</v>
      </c>
      <c r="I1126" s="3" t="s">
        <v>339</v>
      </c>
      <c r="J1126" s="3">
        <v>85</v>
      </c>
      <c r="K1126" s="3">
        <v>0</v>
      </c>
      <c r="L1126" s="3">
        <v>7</v>
      </c>
      <c r="M1126" s="3">
        <v>78</v>
      </c>
      <c r="N1126" s="3">
        <v>78</v>
      </c>
      <c r="O1126" s="70">
        <v>0</v>
      </c>
      <c r="P1126" s="3">
        <v>0</v>
      </c>
      <c r="Q1126" s="3">
        <v>0</v>
      </c>
      <c r="R1126" s="3">
        <v>2.3062819999999999</v>
      </c>
      <c r="S1126" s="3">
        <v>0</v>
      </c>
      <c r="T1126" s="3">
        <v>179.89</v>
      </c>
      <c r="U1126" s="3">
        <v>179.89</v>
      </c>
      <c r="V1126" s="70" t="s">
        <v>637</v>
      </c>
      <c r="W1126" s="3" t="s">
        <v>343</v>
      </c>
      <c r="X1126" s="3" t="s">
        <v>508</v>
      </c>
      <c r="Y1126" s="3" t="s">
        <v>508</v>
      </c>
    </row>
    <row r="1127" spans="1:25" hidden="1" x14ac:dyDescent="0.2">
      <c r="A1127" s="83" t="str">
        <f t="shared" si="17"/>
        <v>滑县滑台蝴蝶腿</v>
      </c>
      <c r="B1127" s="3" t="s">
        <v>710</v>
      </c>
      <c r="C1127" s="3">
        <v>44377</v>
      </c>
      <c r="D1127" s="3" t="s">
        <v>551</v>
      </c>
      <c r="E1127" s="3" t="s">
        <v>508</v>
      </c>
      <c r="F1127" s="3" t="s">
        <v>508</v>
      </c>
      <c r="G1127" s="70" t="s">
        <v>552</v>
      </c>
      <c r="H1127" s="3" t="s">
        <v>553</v>
      </c>
      <c r="I1127" s="3" t="s">
        <v>339</v>
      </c>
      <c r="J1127" s="3">
        <v>89</v>
      </c>
      <c r="K1127" s="3">
        <v>0</v>
      </c>
      <c r="L1127" s="3">
        <v>76</v>
      </c>
      <c r="M1127" s="3">
        <v>0</v>
      </c>
      <c r="N1127" s="3">
        <v>13</v>
      </c>
      <c r="O1127" s="70">
        <v>-13</v>
      </c>
      <c r="P1127" s="3">
        <v>0</v>
      </c>
      <c r="Q1127" s="3">
        <v>0</v>
      </c>
      <c r="R1127" s="3">
        <v>2.3061799999999999</v>
      </c>
      <c r="S1127" s="3">
        <v>-29.98</v>
      </c>
      <c r="T1127" s="3">
        <v>0</v>
      </c>
      <c r="U1127" s="3">
        <v>29.98</v>
      </c>
      <c r="V1127" s="70" t="s">
        <v>639</v>
      </c>
      <c r="W1127" s="3" t="s">
        <v>779</v>
      </c>
      <c r="X1127" s="3" t="s">
        <v>508</v>
      </c>
      <c r="Y1127" s="3" t="s">
        <v>508</v>
      </c>
    </row>
    <row r="1128" spans="1:25" hidden="1" x14ac:dyDescent="0.2">
      <c r="A1128" s="83" t="str">
        <f t="shared" si="17"/>
        <v>郑州裕华蝴蝶腿</v>
      </c>
      <c r="B1128" s="3" t="s">
        <v>711</v>
      </c>
      <c r="C1128" s="3">
        <v>44377</v>
      </c>
      <c r="D1128" s="3" t="s">
        <v>551</v>
      </c>
      <c r="E1128" s="3" t="s">
        <v>508</v>
      </c>
      <c r="F1128" s="3" t="s">
        <v>508</v>
      </c>
      <c r="G1128" s="70" t="s">
        <v>552</v>
      </c>
      <c r="H1128" s="3" t="s">
        <v>553</v>
      </c>
      <c r="I1128" s="3" t="s">
        <v>339</v>
      </c>
      <c r="J1128" s="3">
        <v>64</v>
      </c>
      <c r="K1128" s="3">
        <v>0</v>
      </c>
      <c r="L1128" s="3">
        <v>20</v>
      </c>
      <c r="M1128" s="3">
        <v>0</v>
      </c>
      <c r="N1128" s="3">
        <v>44</v>
      </c>
      <c r="O1128" s="70">
        <v>-44</v>
      </c>
      <c r="P1128" s="3">
        <v>0</v>
      </c>
      <c r="Q1128" s="3">
        <v>0</v>
      </c>
      <c r="R1128" s="3">
        <v>2.3062499999999999</v>
      </c>
      <c r="S1128" s="3">
        <v>-101.48</v>
      </c>
      <c r="T1128" s="3">
        <v>0</v>
      </c>
      <c r="U1128" s="3">
        <v>101.48</v>
      </c>
      <c r="V1128" s="70" t="s">
        <v>641</v>
      </c>
      <c r="W1128" s="3" t="s">
        <v>780</v>
      </c>
      <c r="X1128" s="3" t="s">
        <v>508</v>
      </c>
      <c r="Y1128" s="3" t="s">
        <v>508</v>
      </c>
    </row>
    <row r="1129" spans="1:25" hidden="1" x14ac:dyDescent="0.2">
      <c r="A1129" s="83" t="str">
        <f t="shared" si="17"/>
        <v>清丰凤鸣蝴蝶腿</v>
      </c>
      <c r="B1129" s="3" t="s">
        <v>713</v>
      </c>
      <c r="C1129" s="3">
        <v>44377</v>
      </c>
      <c r="D1129" s="3" t="s">
        <v>551</v>
      </c>
      <c r="E1129" s="3" t="s">
        <v>508</v>
      </c>
      <c r="F1129" s="3" t="s">
        <v>508</v>
      </c>
      <c r="G1129" s="70" t="s">
        <v>552</v>
      </c>
      <c r="H1129" s="3" t="s">
        <v>553</v>
      </c>
      <c r="I1129" s="3" t="s">
        <v>339</v>
      </c>
      <c r="J1129" s="3">
        <v>78</v>
      </c>
      <c r="K1129" s="3">
        <v>64</v>
      </c>
      <c r="L1129" s="3">
        <v>148</v>
      </c>
      <c r="M1129" s="3">
        <v>0</v>
      </c>
      <c r="N1129" s="3">
        <v>-6</v>
      </c>
      <c r="O1129" s="70">
        <v>6</v>
      </c>
      <c r="P1129" s="3">
        <v>0</v>
      </c>
      <c r="Q1129" s="3">
        <v>0</v>
      </c>
      <c r="R1129" s="3">
        <v>2.3512680000000001</v>
      </c>
      <c r="S1129" s="3">
        <v>14.11</v>
      </c>
      <c r="T1129" s="3">
        <v>0</v>
      </c>
      <c r="U1129" s="3">
        <v>-14.11</v>
      </c>
      <c r="V1129" s="70" t="s">
        <v>334</v>
      </c>
      <c r="W1129" s="3" t="s">
        <v>343</v>
      </c>
      <c r="X1129" s="3" t="s">
        <v>508</v>
      </c>
      <c r="Y1129" s="3" t="s">
        <v>508</v>
      </c>
    </row>
    <row r="1130" spans="1:25" hidden="1" x14ac:dyDescent="0.2">
      <c r="A1130" s="83" t="str">
        <f t="shared" si="17"/>
        <v>方城锦城国际蝴蝶腿</v>
      </c>
      <c r="B1130" s="3" t="s">
        <v>712</v>
      </c>
      <c r="C1130" s="3">
        <v>44377</v>
      </c>
      <c r="D1130" s="3" t="s">
        <v>551</v>
      </c>
      <c r="E1130" s="3" t="s">
        <v>508</v>
      </c>
      <c r="F1130" s="3" t="s">
        <v>508</v>
      </c>
      <c r="G1130" s="70" t="s">
        <v>552</v>
      </c>
      <c r="H1130" s="3" t="s">
        <v>553</v>
      </c>
      <c r="I1130" s="3" t="s">
        <v>339</v>
      </c>
      <c r="J1130" s="3">
        <v>85</v>
      </c>
      <c r="K1130" s="3">
        <v>0</v>
      </c>
      <c r="L1130" s="3">
        <v>73</v>
      </c>
      <c r="M1130" s="3">
        <v>12</v>
      </c>
      <c r="N1130" s="3">
        <v>12</v>
      </c>
      <c r="O1130" s="70">
        <v>0</v>
      </c>
      <c r="P1130" s="3">
        <v>0</v>
      </c>
      <c r="Q1130" s="3">
        <v>0</v>
      </c>
      <c r="R1130" s="3">
        <v>2.306667</v>
      </c>
      <c r="S1130" s="3">
        <v>0</v>
      </c>
      <c r="T1130" s="3">
        <v>27.68</v>
      </c>
      <c r="U1130" s="3">
        <v>27.68</v>
      </c>
      <c r="V1130" s="70" t="s">
        <v>594</v>
      </c>
      <c r="W1130" s="3" t="s">
        <v>343</v>
      </c>
      <c r="X1130" s="3" t="s">
        <v>508</v>
      </c>
      <c r="Y1130" s="3" t="s">
        <v>508</v>
      </c>
    </row>
    <row r="1131" spans="1:25" hidden="1" x14ac:dyDescent="0.2">
      <c r="A1131" s="83" t="str">
        <f t="shared" si="17"/>
        <v>华山龙源蝴蝶腿</v>
      </c>
      <c r="B1131" s="3" t="s">
        <v>705</v>
      </c>
      <c r="C1131" s="3">
        <v>44377</v>
      </c>
      <c r="D1131" s="3" t="s">
        <v>551</v>
      </c>
      <c r="E1131" s="3" t="s">
        <v>508</v>
      </c>
      <c r="F1131" s="3" t="s">
        <v>508</v>
      </c>
      <c r="G1131" s="70" t="s">
        <v>552</v>
      </c>
      <c r="H1131" s="3" t="s">
        <v>553</v>
      </c>
      <c r="I1131" s="3" t="s">
        <v>339</v>
      </c>
      <c r="J1131" s="3">
        <v>189</v>
      </c>
      <c r="K1131" s="3">
        <v>0</v>
      </c>
      <c r="L1131" s="3">
        <v>31</v>
      </c>
      <c r="M1131" s="3">
        <v>0</v>
      </c>
      <c r="N1131" s="3">
        <v>158</v>
      </c>
      <c r="O1131" s="70">
        <v>-158</v>
      </c>
      <c r="P1131" s="3">
        <v>0</v>
      </c>
      <c r="Q1131" s="3">
        <v>0</v>
      </c>
      <c r="R1131" s="3">
        <v>2.30619</v>
      </c>
      <c r="S1131" s="3">
        <v>-364.38</v>
      </c>
      <c r="T1131" s="3">
        <v>0</v>
      </c>
      <c r="U1131" s="3">
        <v>364.38</v>
      </c>
      <c r="V1131" s="70" t="s">
        <v>643</v>
      </c>
      <c r="W1131" s="3" t="s">
        <v>781</v>
      </c>
      <c r="X1131" s="3" t="s">
        <v>508</v>
      </c>
      <c r="Y1131" s="3" t="s">
        <v>508</v>
      </c>
    </row>
    <row r="1132" spans="1:25" hidden="1" x14ac:dyDescent="0.2">
      <c r="A1132" s="83" t="str">
        <f t="shared" si="17"/>
        <v>郑州瀚海海尚蝴蝶腿</v>
      </c>
      <c r="B1132" s="3" t="s">
        <v>706</v>
      </c>
      <c r="C1132" s="3">
        <v>44377</v>
      </c>
      <c r="D1132" s="3" t="s">
        <v>551</v>
      </c>
      <c r="E1132" s="3" t="s">
        <v>508</v>
      </c>
      <c r="F1132" s="3" t="s">
        <v>508</v>
      </c>
      <c r="G1132" s="70" t="s">
        <v>552</v>
      </c>
      <c r="H1132" s="3" t="s">
        <v>553</v>
      </c>
      <c r="I1132" s="3" t="s">
        <v>339</v>
      </c>
      <c r="J1132" s="3">
        <v>170</v>
      </c>
      <c r="K1132" s="3">
        <v>0</v>
      </c>
      <c r="L1132" s="3">
        <v>34</v>
      </c>
      <c r="M1132" s="3">
        <v>0</v>
      </c>
      <c r="N1132" s="3">
        <v>136</v>
      </c>
      <c r="O1132" s="70">
        <v>-136</v>
      </c>
      <c r="P1132" s="3">
        <v>0</v>
      </c>
      <c r="Q1132" s="3">
        <v>0</v>
      </c>
      <c r="R1132" s="3">
        <v>2.321412</v>
      </c>
      <c r="S1132" s="3">
        <v>-315.70999999999998</v>
      </c>
      <c r="T1132" s="3">
        <v>0</v>
      </c>
      <c r="U1132" s="3">
        <v>315.70999999999998</v>
      </c>
      <c r="V1132" s="70" t="s">
        <v>333</v>
      </c>
      <c r="W1132" s="3" t="s">
        <v>782</v>
      </c>
      <c r="X1132" s="3" t="s">
        <v>508</v>
      </c>
      <c r="Y1132" s="3" t="s">
        <v>508</v>
      </c>
    </row>
    <row r="1133" spans="1:25" hidden="1" x14ac:dyDescent="0.2">
      <c r="A1133" s="83" t="str">
        <f t="shared" si="17"/>
        <v>郑州西悦城蝴蝶腿</v>
      </c>
      <c r="B1133" s="3" t="s">
        <v>708</v>
      </c>
      <c r="C1133" s="3">
        <v>44377</v>
      </c>
      <c r="D1133" s="3" t="s">
        <v>551</v>
      </c>
      <c r="E1133" s="3" t="s">
        <v>508</v>
      </c>
      <c r="F1133" s="3" t="s">
        <v>508</v>
      </c>
      <c r="G1133" s="70" t="s">
        <v>552</v>
      </c>
      <c r="H1133" s="3" t="s">
        <v>553</v>
      </c>
      <c r="I1133" s="3" t="s">
        <v>339</v>
      </c>
      <c r="J1133" s="3">
        <v>150</v>
      </c>
      <c r="K1133" s="3">
        <v>0</v>
      </c>
      <c r="L1133" s="3">
        <v>74</v>
      </c>
      <c r="M1133" s="3">
        <v>0</v>
      </c>
      <c r="N1133" s="3">
        <v>76</v>
      </c>
      <c r="O1133" s="70">
        <v>-76</v>
      </c>
      <c r="P1133" s="3">
        <v>0</v>
      </c>
      <c r="Q1133" s="3">
        <v>0</v>
      </c>
      <c r="R1133" s="3">
        <v>2.306133</v>
      </c>
      <c r="S1133" s="3">
        <v>-175.27</v>
      </c>
      <c r="T1133" s="3">
        <v>0</v>
      </c>
      <c r="U1133" s="3">
        <v>175.27</v>
      </c>
      <c r="V1133" s="70" t="s">
        <v>332</v>
      </c>
      <c r="W1133" s="3" t="s">
        <v>783</v>
      </c>
      <c r="X1133" s="3" t="s">
        <v>508</v>
      </c>
      <c r="Y1133" s="3" t="s">
        <v>508</v>
      </c>
    </row>
    <row r="1134" spans="1:25" hidden="1" x14ac:dyDescent="0.2">
      <c r="A1134" s="83" t="str">
        <f t="shared" si="17"/>
        <v>郑州铁英街蝴蝶腿</v>
      </c>
      <c r="B1134" s="3" t="s">
        <v>707</v>
      </c>
      <c r="C1134" s="3">
        <v>44377</v>
      </c>
      <c r="D1134" s="3" t="s">
        <v>551</v>
      </c>
      <c r="E1134" s="3" t="s">
        <v>508</v>
      </c>
      <c r="F1134" s="3" t="s">
        <v>508</v>
      </c>
      <c r="G1134" s="70" t="s">
        <v>552</v>
      </c>
      <c r="H1134" s="3" t="s">
        <v>553</v>
      </c>
      <c r="I1134" s="3" t="s">
        <v>339</v>
      </c>
      <c r="J1134" s="3">
        <v>180</v>
      </c>
      <c r="K1134" s="3">
        <v>0</v>
      </c>
      <c r="L1134" s="3">
        <v>56</v>
      </c>
      <c r="M1134" s="3">
        <v>0</v>
      </c>
      <c r="N1134" s="3">
        <v>124</v>
      </c>
      <c r="O1134" s="70">
        <v>-124</v>
      </c>
      <c r="P1134" s="3">
        <v>0</v>
      </c>
      <c r="Q1134" s="3">
        <v>0</v>
      </c>
      <c r="R1134" s="3">
        <v>2.306222</v>
      </c>
      <c r="S1134" s="3">
        <v>-285.97000000000003</v>
      </c>
      <c r="T1134" s="3">
        <v>0</v>
      </c>
      <c r="U1134" s="3">
        <v>285.97000000000003</v>
      </c>
      <c r="V1134" s="70" t="s">
        <v>592</v>
      </c>
      <c r="W1134" s="3" t="s">
        <v>784</v>
      </c>
      <c r="X1134" s="3" t="s">
        <v>508</v>
      </c>
      <c r="Y1134" s="3" t="s">
        <v>508</v>
      </c>
    </row>
    <row r="1135" spans="1:25" hidden="1" x14ac:dyDescent="0.2">
      <c r="A1135" s="83" t="str">
        <f t="shared" si="17"/>
        <v>郑州康复中街蝴蝶腿</v>
      </c>
      <c r="B1135" s="3" t="s">
        <v>704</v>
      </c>
      <c r="C1135" s="3">
        <v>44377</v>
      </c>
      <c r="D1135" s="3" t="s">
        <v>551</v>
      </c>
      <c r="E1135" s="3" t="s">
        <v>508</v>
      </c>
      <c r="F1135" s="3" t="s">
        <v>508</v>
      </c>
      <c r="G1135" s="70" t="s">
        <v>552</v>
      </c>
      <c r="H1135" s="3" t="s">
        <v>553</v>
      </c>
      <c r="I1135" s="3" t="s">
        <v>339</v>
      </c>
      <c r="J1135" s="3">
        <v>260</v>
      </c>
      <c r="K1135" s="3">
        <v>0</v>
      </c>
      <c r="L1135" s="3">
        <v>69</v>
      </c>
      <c r="M1135" s="3">
        <v>0</v>
      </c>
      <c r="N1135" s="3">
        <v>191</v>
      </c>
      <c r="O1135" s="70">
        <v>-191</v>
      </c>
      <c r="P1135" s="3">
        <v>0</v>
      </c>
      <c r="Q1135" s="3">
        <v>0</v>
      </c>
      <c r="R1135" s="3">
        <v>2.3061919999999998</v>
      </c>
      <c r="S1135" s="3">
        <v>-440.48</v>
      </c>
      <c r="T1135" s="3">
        <v>0</v>
      </c>
      <c r="U1135" s="3">
        <v>440.48</v>
      </c>
      <c r="V1135" s="70" t="s">
        <v>593</v>
      </c>
      <c r="W1135" s="3" t="s">
        <v>785</v>
      </c>
      <c r="X1135" s="3" t="s">
        <v>508</v>
      </c>
      <c r="Y1135" s="3" t="s">
        <v>508</v>
      </c>
    </row>
    <row r="1136" spans="1:25" hidden="1" x14ac:dyDescent="0.2">
      <c r="A1136" s="83" t="str">
        <f t="shared" si="17"/>
        <v>新蔡水韵天街蝴蝶腿</v>
      </c>
      <c r="B1136" s="3" t="s">
        <v>703</v>
      </c>
      <c r="C1136" s="3">
        <v>44377</v>
      </c>
      <c r="D1136" s="3" t="s">
        <v>551</v>
      </c>
      <c r="E1136" s="3" t="s">
        <v>508</v>
      </c>
      <c r="F1136" s="3" t="s">
        <v>508</v>
      </c>
      <c r="G1136" s="70" t="s">
        <v>552</v>
      </c>
      <c r="H1136" s="3" t="s">
        <v>553</v>
      </c>
      <c r="I1136" s="3" t="s">
        <v>339</v>
      </c>
      <c r="J1136" s="3">
        <v>73</v>
      </c>
      <c r="K1136" s="3">
        <v>0</v>
      </c>
      <c r="L1136" s="3">
        <v>140</v>
      </c>
      <c r="M1136" s="3">
        <v>0</v>
      </c>
      <c r="N1136" s="3">
        <v>-67</v>
      </c>
      <c r="O1136" s="70">
        <v>67</v>
      </c>
      <c r="P1136" s="3">
        <v>0</v>
      </c>
      <c r="Q1136" s="3">
        <v>0</v>
      </c>
      <c r="R1136" s="3">
        <v>2.306575</v>
      </c>
      <c r="S1136" s="3">
        <v>154.54</v>
      </c>
      <c r="T1136" s="3">
        <v>0</v>
      </c>
      <c r="U1136" s="3">
        <v>-154.54</v>
      </c>
      <c r="V1136" s="70" t="s">
        <v>335</v>
      </c>
      <c r="W1136" s="3" t="s">
        <v>786</v>
      </c>
      <c r="X1136" s="3" t="s">
        <v>508</v>
      </c>
      <c r="Y1136" s="3" t="s">
        <v>508</v>
      </c>
    </row>
    <row r="1137" spans="1:25" hidden="1" x14ac:dyDescent="0.2">
      <c r="A1137" s="83" t="str">
        <f t="shared" si="17"/>
        <v>郑州政六街蝴蝶腿</v>
      </c>
      <c r="B1137" s="3" t="s">
        <v>714</v>
      </c>
      <c r="C1137" s="3">
        <v>44377</v>
      </c>
      <c r="D1137" s="3" t="s">
        <v>551</v>
      </c>
      <c r="E1137" s="3" t="s">
        <v>508</v>
      </c>
      <c r="F1137" s="3" t="s">
        <v>508</v>
      </c>
      <c r="G1137" s="70" t="s">
        <v>552</v>
      </c>
      <c r="H1137" s="3" t="s">
        <v>553</v>
      </c>
      <c r="I1137" s="3" t="s">
        <v>339</v>
      </c>
      <c r="J1137" s="3">
        <v>176</v>
      </c>
      <c r="K1137" s="3">
        <v>0</v>
      </c>
      <c r="L1137" s="3">
        <v>39</v>
      </c>
      <c r="M1137" s="3">
        <v>128</v>
      </c>
      <c r="N1137" s="3">
        <v>137</v>
      </c>
      <c r="O1137" s="70">
        <v>-9</v>
      </c>
      <c r="P1137" s="3">
        <v>0</v>
      </c>
      <c r="Q1137" s="3">
        <v>0</v>
      </c>
      <c r="R1137" s="3">
        <v>2.3060939999999999</v>
      </c>
      <c r="S1137" s="3">
        <v>-20.75</v>
      </c>
      <c r="T1137" s="3">
        <v>295.18</v>
      </c>
      <c r="U1137" s="3">
        <v>315.93</v>
      </c>
      <c r="V1137" s="70" t="s">
        <v>591</v>
      </c>
      <c r="W1137" s="3" t="s">
        <v>787</v>
      </c>
      <c r="X1137" s="3" t="s">
        <v>508</v>
      </c>
      <c r="Y1137" s="3" t="s">
        <v>508</v>
      </c>
    </row>
    <row r="1138" spans="1:25" hidden="1" x14ac:dyDescent="0.2">
      <c r="A1138" s="83" t="str">
        <f t="shared" si="17"/>
        <v>郑州政六街新品牛肉饼</v>
      </c>
      <c r="B1138" s="3" t="s">
        <v>714</v>
      </c>
      <c r="C1138" s="3">
        <v>44377</v>
      </c>
      <c r="D1138" s="3" t="s">
        <v>554</v>
      </c>
      <c r="E1138" s="3" t="s">
        <v>508</v>
      </c>
      <c r="F1138" s="3" t="s">
        <v>508</v>
      </c>
      <c r="G1138" s="70" t="s">
        <v>555</v>
      </c>
      <c r="H1138" s="3" t="s">
        <v>363</v>
      </c>
      <c r="I1138" s="3" t="s">
        <v>339</v>
      </c>
      <c r="J1138" s="3">
        <v>31</v>
      </c>
      <c r="K1138" s="3">
        <v>600</v>
      </c>
      <c r="L1138" s="3">
        <v>526</v>
      </c>
      <c r="M1138" s="3">
        <v>101</v>
      </c>
      <c r="N1138" s="3">
        <v>105</v>
      </c>
      <c r="O1138" s="70">
        <v>-4</v>
      </c>
      <c r="P1138" s="3">
        <v>0</v>
      </c>
      <c r="Q1138" s="3">
        <v>0</v>
      </c>
      <c r="R1138" s="3">
        <v>1.7573270000000001</v>
      </c>
      <c r="S1138" s="3">
        <v>-7.03</v>
      </c>
      <c r="T1138" s="3">
        <v>177.49</v>
      </c>
      <c r="U1138" s="3">
        <v>184.52</v>
      </c>
      <c r="V1138" s="70" t="s">
        <v>591</v>
      </c>
      <c r="W1138" s="3" t="s">
        <v>343</v>
      </c>
      <c r="X1138" s="3" t="s">
        <v>508</v>
      </c>
      <c r="Y1138" s="3" t="s">
        <v>508</v>
      </c>
    </row>
    <row r="1139" spans="1:25" hidden="1" x14ac:dyDescent="0.2">
      <c r="A1139" s="83" t="str">
        <f t="shared" si="17"/>
        <v>新蔡水韵天街新品牛肉饼</v>
      </c>
      <c r="B1139" s="3" t="s">
        <v>703</v>
      </c>
      <c r="C1139" s="3">
        <v>44377</v>
      </c>
      <c r="D1139" s="3" t="s">
        <v>554</v>
      </c>
      <c r="E1139" s="3" t="s">
        <v>508</v>
      </c>
      <c r="F1139" s="3" t="s">
        <v>508</v>
      </c>
      <c r="G1139" s="70" t="s">
        <v>555</v>
      </c>
      <c r="H1139" s="3" t="s">
        <v>363</v>
      </c>
      <c r="I1139" s="3" t="s">
        <v>339</v>
      </c>
      <c r="J1139" s="3">
        <v>50</v>
      </c>
      <c r="K1139" s="3">
        <v>600</v>
      </c>
      <c r="L1139" s="3">
        <v>467</v>
      </c>
      <c r="M1139" s="3">
        <v>183</v>
      </c>
      <c r="N1139" s="3">
        <v>183</v>
      </c>
      <c r="O1139" s="70">
        <v>0</v>
      </c>
      <c r="P1139" s="3">
        <v>0</v>
      </c>
      <c r="Q1139" s="3">
        <v>0</v>
      </c>
      <c r="R1139" s="3">
        <v>1.757541</v>
      </c>
      <c r="S1139" s="3">
        <v>0</v>
      </c>
      <c r="T1139" s="3">
        <v>321.63</v>
      </c>
      <c r="U1139" s="3">
        <v>321.63</v>
      </c>
      <c r="V1139" s="70" t="s">
        <v>335</v>
      </c>
      <c r="W1139" s="3" t="s">
        <v>343</v>
      </c>
      <c r="X1139" s="3" t="s">
        <v>508</v>
      </c>
      <c r="Y1139" s="3" t="s">
        <v>508</v>
      </c>
    </row>
    <row r="1140" spans="1:25" hidden="1" x14ac:dyDescent="0.2">
      <c r="A1140" s="83" t="str">
        <f t="shared" si="17"/>
        <v>郑州康复中街新品牛肉饼</v>
      </c>
      <c r="B1140" s="3" t="s">
        <v>704</v>
      </c>
      <c r="C1140" s="3">
        <v>44377</v>
      </c>
      <c r="D1140" s="3" t="s">
        <v>554</v>
      </c>
      <c r="E1140" s="3" t="s">
        <v>508</v>
      </c>
      <c r="F1140" s="3" t="s">
        <v>508</v>
      </c>
      <c r="G1140" s="70" t="s">
        <v>555</v>
      </c>
      <c r="H1140" s="3" t="s">
        <v>363</v>
      </c>
      <c r="I1140" s="3" t="s">
        <v>339</v>
      </c>
      <c r="J1140" s="3">
        <v>107</v>
      </c>
      <c r="K1140" s="3">
        <v>600</v>
      </c>
      <c r="L1140" s="3">
        <v>600</v>
      </c>
      <c r="M1140" s="3">
        <v>120</v>
      </c>
      <c r="N1140" s="3">
        <v>107</v>
      </c>
      <c r="O1140" s="70">
        <v>13</v>
      </c>
      <c r="P1140" s="3">
        <v>0</v>
      </c>
      <c r="Q1140" s="3">
        <v>0</v>
      </c>
      <c r="R1140" s="3">
        <v>1.757833</v>
      </c>
      <c r="S1140" s="3">
        <v>22.85</v>
      </c>
      <c r="T1140" s="3">
        <v>210.94</v>
      </c>
      <c r="U1140" s="3">
        <v>188.09</v>
      </c>
      <c r="V1140" s="70" t="s">
        <v>593</v>
      </c>
      <c r="W1140" s="3" t="s">
        <v>343</v>
      </c>
      <c r="X1140" s="3" t="s">
        <v>508</v>
      </c>
      <c r="Y1140" s="3" t="s">
        <v>508</v>
      </c>
    </row>
    <row r="1141" spans="1:25" hidden="1" x14ac:dyDescent="0.2">
      <c r="A1141" s="83" t="str">
        <f t="shared" si="17"/>
        <v>郑州西悦城新品牛肉饼</v>
      </c>
      <c r="B1141" s="3" t="s">
        <v>708</v>
      </c>
      <c r="C1141" s="3">
        <v>44377</v>
      </c>
      <c r="D1141" s="3" t="s">
        <v>554</v>
      </c>
      <c r="E1141" s="3" t="s">
        <v>508</v>
      </c>
      <c r="F1141" s="3" t="s">
        <v>508</v>
      </c>
      <c r="G1141" s="70" t="s">
        <v>555</v>
      </c>
      <c r="H1141" s="3" t="s">
        <v>363</v>
      </c>
      <c r="I1141" s="3" t="s">
        <v>339</v>
      </c>
      <c r="J1141" s="3">
        <v>95</v>
      </c>
      <c r="K1141" s="3">
        <v>600</v>
      </c>
      <c r="L1141" s="3">
        <v>637</v>
      </c>
      <c r="M1141" s="3">
        <v>50</v>
      </c>
      <c r="N1141" s="3">
        <v>58</v>
      </c>
      <c r="O1141" s="70">
        <v>-8</v>
      </c>
      <c r="P1141" s="3">
        <v>0</v>
      </c>
      <c r="Q1141" s="3">
        <v>0</v>
      </c>
      <c r="R1141" s="3">
        <v>1.758</v>
      </c>
      <c r="S1141" s="3">
        <v>-14.06</v>
      </c>
      <c r="T1141" s="3">
        <v>87.9</v>
      </c>
      <c r="U1141" s="3">
        <v>101.96</v>
      </c>
      <c r="V1141" s="70" t="s">
        <v>332</v>
      </c>
      <c r="W1141" s="3" t="s">
        <v>343</v>
      </c>
      <c r="X1141" s="3" t="s">
        <v>508</v>
      </c>
      <c r="Y1141" s="3" t="s">
        <v>508</v>
      </c>
    </row>
    <row r="1142" spans="1:25" hidden="1" x14ac:dyDescent="0.2">
      <c r="A1142" s="83" t="str">
        <f t="shared" si="17"/>
        <v>郑州铁英街新品牛肉饼</v>
      </c>
      <c r="B1142" s="3" t="s">
        <v>707</v>
      </c>
      <c r="C1142" s="3">
        <v>44377</v>
      </c>
      <c r="D1142" s="3" t="s">
        <v>554</v>
      </c>
      <c r="E1142" s="3" t="s">
        <v>508</v>
      </c>
      <c r="F1142" s="3" t="s">
        <v>508</v>
      </c>
      <c r="G1142" s="70" t="s">
        <v>555</v>
      </c>
      <c r="H1142" s="3" t="s">
        <v>363</v>
      </c>
      <c r="I1142" s="3" t="s">
        <v>339</v>
      </c>
      <c r="J1142" s="3">
        <v>112</v>
      </c>
      <c r="K1142" s="3">
        <v>450</v>
      </c>
      <c r="L1142" s="3">
        <v>436</v>
      </c>
      <c r="M1142" s="3">
        <v>124</v>
      </c>
      <c r="N1142" s="3">
        <v>126</v>
      </c>
      <c r="O1142" s="70">
        <v>-2</v>
      </c>
      <c r="P1142" s="3">
        <v>0</v>
      </c>
      <c r="Q1142" s="3">
        <v>0</v>
      </c>
      <c r="R1142" s="3">
        <v>1.7602420000000001</v>
      </c>
      <c r="S1142" s="3">
        <v>-3.52</v>
      </c>
      <c r="T1142" s="3">
        <v>218.27</v>
      </c>
      <c r="U1142" s="3">
        <v>221.79</v>
      </c>
      <c r="V1142" s="70" t="s">
        <v>592</v>
      </c>
      <c r="W1142" s="3" t="s">
        <v>343</v>
      </c>
      <c r="X1142" s="3" t="s">
        <v>508</v>
      </c>
      <c r="Y1142" s="3" t="s">
        <v>508</v>
      </c>
    </row>
    <row r="1143" spans="1:25" hidden="1" x14ac:dyDescent="0.2">
      <c r="A1143" s="83" t="str">
        <f t="shared" si="17"/>
        <v>华山龙源新品牛肉饼</v>
      </c>
      <c r="B1143" s="3" t="s">
        <v>705</v>
      </c>
      <c r="C1143" s="3">
        <v>44377</v>
      </c>
      <c r="D1143" s="3" t="s">
        <v>554</v>
      </c>
      <c r="E1143" s="3" t="s">
        <v>508</v>
      </c>
      <c r="F1143" s="3" t="s">
        <v>508</v>
      </c>
      <c r="G1143" s="70" t="s">
        <v>555</v>
      </c>
      <c r="H1143" s="3" t="s">
        <v>363</v>
      </c>
      <c r="I1143" s="3" t="s">
        <v>339</v>
      </c>
      <c r="J1143" s="3">
        <v>121</v>
      </c>
      <c r="K1143" s="3">
        <v>450</v>
      </c>
      <c r="L1143" s="3">
        <v>381</v>
      </c>
      <c r="M1143" s="3">
        <v>190</v>
      </c>
      <c r="N1143" s="3">
        <v>190</v>
      </c>
      <c r="O1143" s="70">
        <v>0</v>
      </c>
      <c r="P1143" s="3">
        <v>0</v>
      </c>
      <c r="Q1143" s="3">
        <v>0</v>
      </c>
      <c r="R1143" s="3">
        <v>1.7567889999999999</v>
      </c>
      <c r="S1143" s="3">
        <v>0</v>
      </c>
      <c r="T1143" s="3">
        <v>333.79</v>
      </c>
      <c r="U1143" s="3">
        <v>333.79</v>
      </c>
      <c r="V1143" s="70" t="s">
        <v>643</v>
      </c>
      <c r="W1143" s="3" t="s">
        <v>343</v>
      </c>
      <c r="X1143" s="3" t="s">
        <v>508</v>
      </c>
      <c r="Y1143" s="3" t="s">
        <v>508</v>
      </c>
    </row>
    <row r="1144" spans="1:25" hidden="1" x14ac:dyDescent="0.2">
      <c r="A1144" s="83" t="str">
        <f t="shared" si="17"/>
        <v>郑州瀚海海尚新品牛肉饼</v>
      </c>
      <c r="B1144" s="3" t="s">
        <v>706</v>
      </c>
      <c r="C1144" s="3">
        <v>44377</v>
      </c>
      <c r="D1144" s="3" t="s">
        <v>554</v>
      </c>
      <c r="E1144" s="3" t="s">
        <v>508</v>
      </c>
      <c r="F1144" s="3" t="s">
        <v>508</v>
      </c>
      <c r="G1144" s="70" t="s">
        <v>555</v>
      </c>
      <c r="H1144" s="3" t="s">
        <v>363</v>
      </c>
      <c r="I1144" s="3" t="s">
        <v>339</v>
      </c>
      <c r="J1144" s="3">
        <v>61</v>
      </c>
      <c r="K1144" s="3">
        <v>600</v>
      </c>
      <c r="L1144" s="3">
        <v>616</v>
      </c>
      <c r="M1144" s="3">
        <v>45</v>
      </c>
      <c r="N1144" s="3">
        <v>45</v>
      </c>
      <c r="O1144" s="70">
        <v>0</v>
      </c>
      <c r="P1144" s="3">
        <v>0</v>
      </c>
      <c r="Q1144" s="3">
        <v>0</v>
      </c>
      <c r="R1144" s="3">
        <v>1.756667</v>
      </c>
      <c r="S1144" s="3">
        <v>0</v>
      </c>
      <c r="T1144" s="3">
        <v>79.05</v>
      </c>
      <c r="U1144" s="3">
        <v>79.05</v>
      </c>
      <c r="V1144" s="70" t="s">
        <v>333</v>
      </c>
      <c r="W1144" s="3" t="s">
        <v>343</v>
      </c>
      <c r="X1144" s="3" t="s">
        <v>508</v>
      </c>
      <c r="Y1144" s="3" t="s">
        <v>508</v>
      </c>
    </row>
    <row r="1145" spans="1:25" hidden="1" x14ac:dyDescent="0.2">
      <c r="A1145" s="83" t="str">
        <f t="shared" si="17"/>
        <v>方城锦城国际新品牛肉饼</v>
      </c>
      <c r="B1145" s="3" t="s">
        <v>712</v>
      </c>
      <c r="C1145" s="3">
        <v>44377</v>
      </c>
      <c r="D1145" s="3" t="s">
        <v>554</v>
      </c>
      <c r="E1145" s="3" t="s">
        <v>508</v>
      </c>
      <c r="F1145" s="3" t="s">
        <v>508</v>
      </c>
      <c r="G1145" s="70" t="s">
        <v>555</v>
      </c>
      <c r="H1145" s="3" t="s">
        <v>363</v>
      </c>
      <c r="I1145" s="3" t="s">
        <v>339</v>
      </c>
      <c r="J1145" s="3">
        <v>86</v>
      </c>
      <c r="K1145" s="3">
        <v>450</v>
      </c>
      <c r="L1145" s="3">
        <v>385</v>
      </c>
      <c r="M1145" s="3">
        <v>151</v>
      </c>
      <c r="N1145" s="3">
        <v>151</v>
      </c>
      <c r="O1145" s="70">
        <v>0</v>
      </c>
      <c r="P1145" s="3">
        <v>0</v>
      </c>
      <c r="Q1145" s="3">
        <v>0</v>
      </c>
      <c r="R1145" s="3">
        <v>1.7588079999999999</v>
      </c>
      <c r="S1145" s="3">
        <v>0</v>
      </c>
      <c r="T1145" s="3">
        <v>265.58</v>
      </c>
      <c r="U1145" s="3">
        <v>265.58</v>
      </c>
      <c r="V1145" s="70" t="s">
        <v>594</v>
      </c>
      <c r="W1145" s="3" t="s">
        <v>343</v>
      </c>
      <c r="X1145" s="3" t="s">
        <v>508</v>
      </c>
      <c r="Y1145" s="3" t="s">
        <v>508</v>
      </c>
    </row>
    <row r="1146" spans="1:25" hidden="1" x14ac:dyDescent="0.2">
      <c r="A1146" s="83" t="str">
        <f t="shared" si="17"/>
        <v>清丰凤鸣新品牛肉饼</v>
      </c>
      <c r="B1146" s="3" t="s">
        <v>713</v>
      </c>
      <c r="C1146" s="3">
        <v>44377</v>
      </c>
      <c r="D1146" s="3" t="s">
        <v>554</v>
      </c>
      <c r="E1146" s="3" t="s">
        <v>508</v>
      </c>
      <c r="F1146" s="3" t="s">
        <v>508</v>
      </c>
      <c r="G1146" s="70" t="s">
        <v>555</v>
      </c>
      <c r="H1146" s="3" t="s">
        <v>363</v>
      </c>
      <c r="I1146" s="3" t="s">
        <v>339</v>
      </c>
      <c r="J1146" s="3">
        <v>9</v>
      </c>
      <c r="K1146" s="3">
        <v>300</v>
      </c>
      <c r="L1146" s="3">
        <v>284</v>
      </c>
      <c r="M1146" s="3">
        <v>0</v>
      </c>
      <c r="N1146" s="3">
        <v>25</v>
      </c>
      <c r="O1146" s="70">
        <v>-25</v>
      </c>
      <c r="P1146" s="3">
        <v>0</v>
      </c>
      <c r="Q1146" s="3">
        <v>0</v>
      </c>
      <c r="R1146" s="3">
        <v>1.7588349999999999</v>
      </c>
      <c r="S1146" s="3">
        <v>-43.97</v>
      </c>
      <c r="T1146" s="3">
        <v>0</v>
      </c>
      <c r="U1146" s="3">
        <v>43.97</v>
      </c>
      <c r="V1146" s="70" t="s">
        <v>334</v>
      </c>
      <c r="W1146" s="3" t="s">
        <v>788</v>
      </c>
      <c r="X1146" s="3" t="s">
        <v>508</v>
      </c>
      <c r="Y1146" s="3" t="s">
        <v>508</v>
      </c>
    </row>
    <row r="1147" spans="1:25" hidden="1" x14ac:dyDescent="0.2">
      <c r="A1147" s="83" t="str">
        <f t="shared" si="17"/>
        <v>郑州裕华新品牛肉饼</v>
      </c>
      <c r="B1147" s="3" t="s">
        <v>711</v>
      </c>
      <c r="C1147" s="3">
        <v>44377</v>
      </c>
      <c r="D1147" s="3" t="s">
        <v>554</v>
      </c>
      <c r="E1147" s="3" t="s">
        <v>508</v>
      </c>
      <c r="F1147" s="3" t="s">
        <v>508</v>
      </c>
      <c r="G1147" s="70" t="s">
        <v>555</v>
      </c>
      <c r="H1147" s="3" t="s">
        <v>363</v>
      </c>
      <c r="I1147" s="3" t="s">
        <v>339</v>
      </c>
      <c r="J1147" s="3">
        <v>0</v>
      </c>
      <c r="K1147" s="3">
        <v>450</v>
      </c>
      <c r="L1147" s="3">
        <v>373</v>
      </c>
      <c r="M1147" s="3">
        <v>77</v>
      </c>
      <c r="N1147" s="3">
        <v>77</v>
      </c>
      <c r="O1147" s="70">
        <v>0</v>
      </c>
      <c r="P1147" s="3">
        <v>0</v>
      </c>
      <c r="Q1147" s="3">
        <v>0</v>
      </c>
      <c r="R1147" s="3">
        <v>1.756753</v>
      </c>
      <c r="S1147" s="3">
        <v>0</v>
      </c>
      <c r="T1147" s="3">
        <v>135.27000000000001</v>
      </c>
      <c r="U1147" s="3">
        <v>135.27000000000001</v>
      </c>
      <c r="V1147" s="70" t="s">
        <v>641</v>
      </c>
      <c r="W1147" s="3" t="s">
        <v>343</v>
      </c>
      <c r="X1147" s="3" t="s">
        <v>508</v>
      </c>
      <c r="Y1147" s="3" t="s">
        <v>508</v>
      </c>
    </row>
    <row r="1148" spans="1:25" hidden="1" x14ac:dyDescent="0.2">
      <c r="A1148" s="83" t="str">
        <f t="shared" si="17"/>
        <v>滑县滑台新品牛肉饼</v>
      </c>
      <c r="B1148" s="3" t="s">
        <v>710</v>
      </c>
      <c r="C1148" s="3">
        <v>44377</v>
      </c>
      <c r="D1148" s="3" t="s">
        <v>554</v>
      </c>
      <c r="E1148" s="3" t="s">
        <v>508</v>
      </c>
      <c r="F1148" s="3" t="s">
        <v>508</v>
      </c>
      <c r="G1148" s="70" t="s">
        <v>555</v>
      </c>
      <c r="H1148" s="3" t="s">
        <v>363</v>
      </c>
      <c r="I1148" s="3" t="s">
        <v>339</v>
      </c>
      <c r="J1148" s="3">
        <v>55</v>
      </c>
      <c r="K1148" s="3">
        <v>300</v>
      </c>
      <c r="L1148" s="3">
        <v>268</v>
      </c>
      <c r="M1148" s="3">
        <v>87</v>
      </c>
      <c r="N1148" s="3">
        <v>87</v>
      </c>
      <c r="O1148" s="70">
        <v>0</v>
      </c>
      <c r="P1148" s="3">
        <v>0</v>
      </c>
      <c r="Q1148" s="3">
        <v>0</v>
      </c>
      <c r="R1148" s="3">
        <v>1.7568969999999999</v>
      </c>
      <c r="S1148" s="3">
        <v>0</v>
      </c>
      <c r="T1148" s="3">
        <v>152.85</v>
      </c>
      <c r="U1148" s="3">
        <v>152.85</v>
      </c>
      <c r="V1148" s="70" t="s">
        <v>639</v>
      </c>
      <c r="W1148" s="3" t="s">
        <v>343</v>
      </c>
      <c r="X1148" s="3" t="s">
        <v>508</v>
      </c>
      <c r="Y1148" s="3" t="s">
        <v>508</v>
      </c>
    </row>
    <row r="1149" spans="1:25" hidden="1" x14ac:dyDescent="0.2">
      <c r="A1149" s="83" t="str">
        <f t="shared" si="17"/>
        <v>郑州盛华里新品牛肉饼</v>
      </c>
      <c r="B1149" s="3" t="s">
        <v>709</v>
      </c>
      <c r="C1149" s="3">
        <v>44377</v>
      </c>
      <c r="D1149" s="3" t="s">
        <v>554</v>
      </c>
      <c r="E1149" s="3" t="s">
        <v>508</v>
      </c>
      <c r="F1149" s="3" t="s">
        <v>508</v>
      </c>
      <c r="G1149" s="70" t="s">
        <v>555</v>
      </c>
      <c r="H1149" s="3" t="s">
        <v>363</v>
      </c>
      <c r="I1149" s="3" t="s">
        <v>339</v>
      </c>
      <c r="J1149" s="3">
        <v>150</v>
      </c>
      <c r="K1149" s="3">
        <v>150</v>
      </c>
      <c r="L1149" s="3">
        <v>229</v>
      </c>
      <c r="M1149" s="3">
        <v>71</v>
      </c>
      <c r="N1149" s="3">
        <v>71</v>
      </c>
      <c r="O1149" s="70">
        <v>0</v>
      </c>
      <c r="P1149" s="3">
        <v>0</v>
      </c>
      <c r="Q1149" s="3">
        <v>0</v>
      </c>
      <c r="R1149" s="3">
        <v>1.768732</v>
      </c>
      <c r="S1149" s="3">
        <v>0</v>
      </c>
      <c r="T1149" s="3">
        <v>125.58</v>
      </c>
      <c r="U1149" s="3">
        <v>125.58</v>
      </c>
      <c r="V1149" s="70" t="s">
        <v>637</v>
      </c>
      <c r="W1149" s="3" t="s">
        <v>343</v>
      </c>
      <c r="X1149" s="3" t="s">
        <v>508</v>
      </c>
      <c r="Y1149" s="3" t="s">
        <v>508</v>
      </c>
    </row>
    <row r="1150" spans="1:25" hidden="1" x14ac:dyDescent="0.2">
      <c r="A1150" s="83" t="str">
        <f t="shared" si="17"/>
        <v>郑州盛华里唐扬鸡块原材料</v>
      </c>
      <c r="B1150" s="3" t="s">
        <v>709</v>
      </c>
      <c r="C1150" s="3">
        <v>44377</v>
      </c>
      <c r="D1150" s="3" t="s">
        <v>556</v>
      </c>
      <c r="E1150" s="3" t="s">
        <v>508</v>
      </c>
      <c r="F1150" s="3" t="s">
        <v>508</v>
      </c>
      <c r="G1150" s="70" t="s">
        <v>557</v>
      </c>
      <c r="H1150" s="3" t="s">
        <v>558</v>
      </c>
      <c r="I1150" s="3" t="s">
        <v>339</v>
      </c>
      <c r="J1150" s="3">
        <v>264</v>
      </c>
      <c r="K1150" s="3">
        <v>400</v>
      </c>
      <c r="L1150" s="3">
        <v>296</v>
      </c>
      <c r="M1150" s="3">
        <v>368</v>
      </c>
      <c r="N1150" s="3">
        <v>368</v>
      </c>
      <c r="O1150" s="70">
        <v>0</v>
      </c>
      <c r="P1150" s="3">
        <v>0</v>
      </c>
      <c r="Q1150" s="3">
        <v>0</v>
      </c>
      <c r="R1150" s="3">
        <v>0.459511</v>
      </c>
      <c r="S1150" s="3">
        <v>0</v>
      </c>
      <c r="T1150" s="3">
        <v>169.1</v>
      </c>
      <c r="U1150" s="3">
        <v>169.1</v>
      </c>
      <c r="V1150" s="70" t="s">
        <v>637</v>
      </c>
      <c r="W1150" s="3" t="s">
        <v>343</v>
      </c>
      <c r="X1150" s="3" t="s">
        <v>508</v>
      </c>
      <c r="Y1150" s="3" t="s">
        <v>508</v>
      </c>
    </row>
    <row r="1151" spans="1:25" hidden="1" x14ac:dyDescent="0.2">
      <c r="A1151" s="83" t="str">
        <f t="shared" si="17"/>
        <v>滑县滑台唐扬鸡块原材料</v>
      </c>
      <c r="B1151" s="3" t="s">
        <v>710</v>
      </c>
      <c r="C1151" s="3">
        <v>44377</v>
      </c>
      <c r="D1151" s="3" t="s">
        <v>556</v>
      </c>
      <c r="E1151" s="3" t="s">
        <v>508</v>
      </c>
      <c r="F1151" s="3" t="s">
        <v>508</v>
      </c>
      <c r="G1151" s="70" t="s">
        <v>557</v>
      </c>
      <c r="H1151" s="3" t="s">
        <v>558</v>
      </c>
      <c r="I1151" s="3" t="s">
        <v>339</v>
      </c>
      <c r="J1151" s="3">
        <v>248</v>
      </c>
      <c r="K1151" s="3">
        <v>400</v>
      </c>
      <c r="L1151" s="3">
        <v>388</v>
      </c>
      <c r="M1151" s="3">
        <v>300</v>
      </c>
      <c r="N1151" s="3">
        <v>260</v>
      </c>
      <c r="O1151" s="70">
        <v>40</v>
      </c>
      <c r="P1151" s="3">
        <v>0</v>
      </c>
      <c r="Q1151" s="3">
        <v>0</v>
      </c>
      <c r="R1151" s="3">
        <v>0.45479999999999998</v>
      </c>
      <c r="S1151" s="3">
        <v>18.190000000000001</v>
      </c>
      <c r="T1151" s="3">
        <v>136.44</v>
      </c>
      <c r="U1151" s="3">
        <v>118.25</v>
      </c>
      <c r="V1151" s="70" t="s">
        <v>639</v>
      </c>
      <c r="W1151" s="3" t="s">
        <v>343</v>
      </c>
      <c r="X1151" s="3" t="s">
        <v>508</v>
      </c>
      <c r="Y1151" s="3" t="s">
        <v>508</v>
      </c>
    </row>
    <row r="1152" spans="1:25" hidden="1" x14ac:dyDescent="0.2">
      <c r="A1152" s="83" t="str">
        <f t="shared" si="17"/>
        <v>郑州裕华唐扬鸡块原材料</v>
      </c>
      <c r="B1152" s="3" t="s">
        <v>711</v>
      </c>
      <c r="C1152" s="3">
        <v>44377</v>
      </c>
      <c r="D1152" s="3" t="s">
        <v>556</v>
      </c>
      <c r="E1152" s="3" t="s">
        <v>508</v>
      </c>
      <c r="F1152" s="3" t="s">
        <v>508</v>
      </c>
      <c r="G1152" s="70" t="s">
        <v>557</v>
      </c>
      <c r="H1152" s="3" t="s">
        <v>558</v>
      </c>
      <c r="I1152" s="3" t="s">
        <v>339</v>
      </c>
      <c r="J1152" s="3">
        <v>760</v>
      </c>
      <c r="K1152" s="3">
        <v>0</v>
      </c>
      <c r="L1152" s="3">
        <v>196</v>
      </c>
      <c r="M1152" s="3">
        <v>560</v>
      </c>
      <c r="N1152" s="3">
        <v>564</v>
      </c>
      <c r="O1152" s="70">
        <v>-4</v>
      </c>
      <c r="P1152" s="3">
        <v>0</v>
      </c>
      <c r="Q1152" s="3">
        <v>0</v>
      </c>
      <c r="R1152" s="3">
        <v>0.45542899999999997</v>
      </c>
      <c r="S1152" s="3">
        <v>-1.82</v>
      </c>
      <c r="T1152" s="3">
        <v>255.04</v>
      </c>
      <c r="U1152" s="3">
        <v>256.86</v>
      </c>
      <c r="V1152" s="70" t="s">
        <v>641</v>
      </c>
      <c r="W1152" s="3" t="s">
        <v>343</v>
      </c>
      <c r="X1152" s="3" t="s">
        <v>508</v>
      </c>
      <c r="Y1152" s="3" t="s">
        <v>508</v>
      </c>
    </row>
    <row r="1153" spans="1:25" hidden="1" x14ac:dyDescent="0.2">
      <c r="A1153" s="83" t="str">
        <f t="shared" si="17"/>
        <v>方城锦城国际唐扬鸡块原材料</v>
      </c>
      <c r="B1153" s="3" t="s">
        <v>712</v>
      </c>
      <c r="C1153" s="3">
        <v>44377</v>
      </c>
      <c r="D1153" s="3" t="s">
        <v>556</v>
      </c>
      <c r="E1153" s="3" t="s">
        <v>508</v>
      </c>
      <c r="F1153" s="3" t="s">
        <v>508</v>
      </c>
      <c r="G1153" s="70" t="s">
        <v>557</v>
      </c>
      <c r="H1153" s="3" t="s">
        <v>558</v>
      </c>
      <c r="I1153" s="3" t="s">
        <v>339</v>
      </c>
      <c r="J1153" s="3">
        <v>32</v>
      </c>
      <c r="K1153" s="3">
        <v>400</v>
      </c>
      <c r="L1153" s="3">
        <v>104</v>
      </c>
      <c r="M1153" s="3">
        <v>328</v>
      </c>
      <c r="N1153" s="3">
        <v>328</v>
      </c>
      <c r="O1153" s="70">
        <v>0</v>
      </c>
      <c r="P1153" s="3">
        <v>0</v>
      </c>
      <c r="Q1153" s="3">
        <v>0</v>
      </c>
      <c r="R1153" s="3">
        <v>0.45307900000000001</v>
      </c>
      <c r="S1153" s="3">
        <v>0</v>
      </c>
      <c r="T1153" s="3">
        <v>148.61000000000001</v>
      </c>
      <c r="U1153" s="3">
        <v>148.61000000000001</v>
      </c>
      <c r="V1153" s="70" t="s">
        <v>594</v>
      </c>
      <c r="W1153" s="3" t="s">
        <v>343</v>
      </c>
      <c r="X1153" s="3" t="s">
        <v>508</v>
      </c>
      <c r="Y1153" s="3" t="s">
        <v>508</v>
      </c>
    </row>
    <row r="1154" spans="1:25" hidden="1" x14ac:dyDescent="0.2">
      <c r="A1154" s="83" t="str">
        <f t="shared" si="17"/>
        <v>清丰凤鸣唐扬鸡块原材料</v>
      </c>
      <c r="B1154" s="3" t="s">
        <v>713</v>
      </c>
      <c r="C1154" s="3">
        <v>44377</v>
      </c>
      <c r="D1154" s="3" t="s">
        <v>556</v>
      </c>
      <c r="E1154" s="3" t="s">
        <v>508</v>
      </c>
      <c r="F1154" s="3" t="s">
        <v>508</v>
      </c>
      <c r="G1154" s="70" t="s">
        <v>557</v>
      </c>
      <c r="H1154" s="3" t="s">
        <v>558</v>
      </c>
      <c r="I1154" s="3" t="s">
        <v>339</v>
      </c>
      <c r="J1154" s="3">
        <v>312</v>
      </c>
      <c r="K1154" s="3">
        <v>400</v>
      </c>
      <c r="L1154" s="3">
        <v>348</v>
      </c>
      <c r="M1154" s="3">
        <v>520</v>
      </c>
      <c r="N1154" s="3">
        <v>364</v>
      </c>
      <c r="O1154" s="70">
        <v>156</v>
      </c>
      <c r="P1154" s="3">
        <v>0</v>
      </c>
      <c r="Q1154" s="3">
        <v>0</v>
      </c>
      <c r="R1154" s="3">
        <v>0.46834599999999998</v>
      </c>
      <c r="S1154" s="3">
        <v>73.06</v>
      </c>
      <c r="T1154" s="3">
        <v>243.54</v>
      </c>
      <c r="U1154" s="3">
        <v>170.48</v>
      </c>
      <c r="V1154" s="70" t="s">
        <v>334</v>
      </c>
      <c r="W1154" s="3" t="s">
        <v>343</v>
      </c>
      <c r="X1154" s="3" t="s">
        <v>508</v>
      </c>
      <c r="Y1154" s="3" t="s">
        <v>508</v>
      </c>
    </row>
    <row r="1155" spans="1:25" hidden="1" x14ac:dyDescent="0.2">
      <c r="A1155" s="83" t="str">
        <f t="shared" ref="A1155:A1218" si="18">V1155&amp;G1155</f>
        <v>华山龙源唐扬鸡块原材料</v>
      </c>
      <c r="B1155" s="3" t="s">
        <v>705</v>
      </c>
      <c r="C1155" s="3">
        <v>44377</v>
      </c>
      <c r="D1155" s="3" t="s">
        <v>556</v>
      </c>
      <c r="E1155" s="3" t="s">
        <v>508</v>
      </c>
      <c r="F1155" s="3" t="s">
        <v>508</v>
      </c>
      <c r="G1155" s="70" t="s">
        <v>557</v>
      </c>
      <c r="H1155" s="3" t="s">
        <v>558</v>
      </c>
      <c r="I1155" s="3" t="s">
        <v>339</v>
      </c>
      <c r="J1155" s="3">
        <v>396</v>
      </c>
      <c r="K1155" s="3">
        <v>0</v>
      </c>
      <c r="L1155" s="3">
        <v>152</v>
      </c>
      <c r="M1155" s="3">
        <v>250</v>
      </c>
      <c r="N1155" s="3">
        <v>244</v>
      </c>
      <c r="O1155" s="70">
        <v>6</v>
      </c>
      <c r="P1155" s="3">
        <v>0</v>
      </c>
      <c r="Q1155" s="3">
        <v>0</v>
      </c>
      <c r="R1155" s="3">
        <v>0.45544000000000001</v>
      </c>
      <c r="S1155" s="3">
        <v>2.73</v>
      </c>
      <c r="T1155" s="3">
        <v>113.86</v>
      </c>
      <c r="U1155" s="3">
        <v>111.13</v>
      </c>
      <c r="V1155" s="70" t="s">
        <v>643</v>
      </c>
      <c r="W1155" s="3" t="s">
        <v>343</v>
      </c>
      <c r="X1155" s="3" t="s">
        <v>508</v>
      </c>
      <c r="Y1155" s="3" t="s">
        <v>508</v>
      </c>
    </row>
    <row r="1156" spans="1:25" hidden="1" x14ac:dyDescent="0.2">
      <c r="A1156" s="83" t="str">
        <f t="shared" si="18"/>
        <v>郑州瀚海海尚唐扬鸡块原材料</v>
      </c>
      <c r="B1156" s="3" t="s">
        <v>706</v>
      </c>
      <c r="C1156" s="3">
        <v>44377</v>
      </c>
      <c r="D1156" s="3" t="s">
        <v>556</v>
      </c>
      <c r="E1156" s="3" t="s">
        <v>508</v>
      </c>
      <c r="F1156" s="3" t="s">
        <v>508</v>
      </c>
      <c r="G1156" s="70" t="s">
        <v>557</v>
      </c>
      <c r="H1156" s="3" t="s">
        <v>558</v>
      </c>
      <c r="I1156" s="3" t="s">
        <v>339</v>
      </c>
      <c r="J1156" s="3">
        <v>385</v>
      </c>
      <c r="K1156" s="3">
        <v>110</v>
      </c>
      <c r="L1156" s="3">
        <v>428</v>
      </c>
      <c r="M1156" s="3">
        <v>74</v>
      </c>
      <c r="N1156" s="3">
        <v>67</v>
      </c>
      <c r="O1156" s="70">
        <v>7</v>
      </c>
      <c r="P1156" s="3">
        <v>0</v>
      </c>
      <c r="Q1156" s="3">
        <v>0</v>
      </c>
      <c r="R1156" s="3">
        <v>0.47608099999999998</v>
      </c>
      <c r="S1156" s="3">
        <v>3.33</v>
      </c>
      <c r="T1156" s="3">
        <v>35.229999999999997</v>
      </c>
      <c r="U1156" s="3">
        <v>31.9</v>
      </c>
      <c r="V1156" s="70" t="s">
        <v>333</v>
      </c>
      <c r="W1156" s="3" t="s">
        <v>343</v>
      </c>
      <c r="X1156" s="3" t="s">
        <v>508</v>
      </c>
      <c r="Y1156" s="3" t="s">
        <v>508</v>
      </c>
    </row>
    <row r="1157" spans="1:25" hidden="1" x14ac:dyDescent="0.2">
      <c r="A1157" s="83" t="str">
        <f t="shared" si="18"/>
        <v>郑州铁英街唐扬鸡块原材料</v>
      </c>
      <c r="B1157" s="3" t="s">
        <v>707</v>
      </c>
      <c r="C1157" s="3">
        <v>44377</v>
      </c>
      <c r="D1157" s="3" t="s">
        <v>556</v>
      </c>
      <c r="E1157" s="3" t="s">
        <v>508</v>
      </c>
      <c r="F1157" s="3" t="s">
        <v>508</v>
      </c>
      <c r="G1157" s="70" t="s">
        <v>557</v>
      </c>
      <c r="H1157" s="3" t="s">
        <v>558</v>
      </c>
      <c r="I1157" s="3" t="s">
        <v>339</v>
      </c>
      <c r="J1157" s="3">
        <v>160</v>
      </c>
      <c r="K1157" s="3">
        <v>0</v>
      </c>
      <c r="L1157" s="3">
        <v>132</v>
      </c>
      <c r="M1157" s="3">
        <v>39</v>
      </c>
      <c r="N1157" s="3">
        <v>28</v>
      </c>
      <c r="O1157" s="70">
        <v>11</v>
      </c>
      <c r="P1157" s="3">
        <v>0</v>
      </c>
      <c r="Q1157" s="3">
        <v>0</v>
      </c>
      <c r="R1157" s="3">
        <v>0.472051</v>
      </c>
      <c r="S1157" s="3">
        <v>5.19</v>
      </c>
      <c r="T1157" s="3">
        <v>18.41</v>
      </c>
      <c r="U1157" s="3">
        <v>13.22</v>
      </c>
      <c r="V1157" s="70" t="s">
        <v>592</v>
      </c>
      <c r="W1157" s="3" t="s">
        <v>343</v>
      </c>
      <c r="X1157" s="3" t="s">
        <v>508</v>
      </c>
      <c r="Y1157" s="3" t="s">
        <v>508</v>
      </c>
    </row>
    <row r="1158" spans="1:25" hidden="1" x14ac:dyDescent="0.2">
      <c r="A1158" s="83" t="str">
        <f t="shared" si="18"/>
        <v>郑州西悦城唐扬鸡块原材料</v>
      </c>
      <c r="B1158" s="3" t="s">
        <v>708</v>
      </c>
      <c r="C1158" s="3">
        <v>44377</v>
      </c>
      <c r="D1158" s="3" t="s">
        <v>556</v>
      </c>
      <c r="E1158" s="3" t="s">
        <v>508</v>
      </c>
      <c r="F1158" s="3" t="s">
        <v>508</v>
      </c>
      <c r="G1158" s="70" t="s">
        <v>557</v>
      </c>
      <c r="H1158" s="3" t="s">
        <v>558</v>
      </c>
      <c r="I1158" s="3" t="s">
        <v>339</v>
      </c>
      <c r="J1158" s="3">
        <v>200</v>
      </c>
      <c r="K1158" s="3">
        <v>800</v>
      </c>
      <c r="L1158" s="3">
        <v>916</v>
      </c>
      <c r="M1158" s="3">
        <v>184</v>
      </c>
      <c r="N1158" s="3">
        <v>84</v>
      </c>
      <c r="O1158" s="70">
        <v>100</v>
      </c>
      <c r="P1158" s="3">
        <v>0</v>
      </c>
      <c r="Q1158" s="3">
        <v>0</v>
      </c>
      <c r="R1158" s="3">
        <v>0.45597799999999999</v>
      </c>
      <c r="S1158" s="3">
        <v>45.6</v>
      </c>
      <c r="T1158" s="3">
        <v>83.9</v>
      </c>
      <c r="U1158" s="3">
        <v>38.299999999999997</v>
      </c>
      <c r="V1158" s="70" t="s">
        <v>332</v>
      </c>
      <c r="W1158" s="3" t="s">
        <v>343</v>
      </c>
      <c r="X1158" s="3" t="s">
        <v>508</v>
      </c>
      <c r="Y1158" s="3" t="s">
        <v>508</v>
      </c>
    </row>
    <row r="1159" spans="1:25" hidden="1" x14ac:dyDescent="0.2">
      <c r="A1159" s="83" t="str">
        <f t="shared" si="18"/>
        <v>郑州康复中街唐扬鸡块原材料</v>
      </c>
      <c r="B1159" s="3" t="s">
        <v>704</v>
      </c>
      <c r="C1159" s="3">
        <v>44377</v>
      </c>
      <c r="D1159" s="3" t="s">
        <v>556</v>
      </c>
      <c r="E1159" s="3" t="s">
        <v>508</v>
      </c>
      <c r="F1159" s="3" t="s">
        <v>508</v>
      </c>
      <c r="G1159" s="70" t="s">
        <v>557</v>
      </c>
      <c r="H1159" s="3" t="s">
        <v>558</v>
      </c>
      <c r="I1159" s="3" t="s">
        <v>339</v>
      </c>
      <c r="J1159" s="3">
        <v>200</v>
      </c>
      <c r="K1159" s="3">
        <v>1200</v>
      </c>
      <c r="L1159" s="3">
        <v>1080</v>
      </c>
      <c r="M1159" s="3">
        <v>320</v>
      </c>
      <c r="N1159" s="3">
        <v>320</v>
      </c>
      <c r="O1159" s="70">
        <v>0</v>
      </c>
      <c r="P1159" s="3">
        <v>0</v>
      </c>
      <c r="Q1159" s="3">
        <v>0</v>
      </c>
      <c r="R1159" s="3">
        <v>0.45537499999999997</v>
      </c>
      <c r="S1159" s="3">
        <v>0</v>
      </c>
      <c r="T1159" s="3">
        <v>145.72</v>
      </c>
      <c r="U1159" s="3">
        <v>145.72</v>
      </c>
      <c r="V1159" s="70" t="s">
        <v>593</v>
      </c>
      <c r="W1159" s="3" t="s">
        <v>343</v>
      </c>
      <c r="X1159" s="3" t="s">
        <v>508</v>
      </c>
      <c r="Y1159" s="3" t="s">
        <v>508</v>
      </c>
    </row>
    <row r="1160" spans="1:25" hidden="1" x14ac:dyDescent="0.2">
      <c r="A1160" s="83" t="str">
        <f t="shared" si="18"/>
        <v>新蔡水韵天街唐扬鸡块原材料</v>
      </c>
      <c r="B1160" s="3" t="s">
        <v>703</v>
      </c>
      <c r="C1160" s="3">
        <v>44377</v>
      </c>
      <c r="D1160" s="3" t="s">
        <v>556</v>
      </c>
      <c r="E1160" s="3" t="s">
        <v>508</v>
      </c>
      <c r="F1160" s="3" t="s">
        <v>508</v>
      </c>
      <c r="G1160" s="70" t="s">
        <v>557</v>
      </c>
      <c r="H1160" s="3" t="s">
        <v>558</v>
      </c>
      <c r="I1160" s="3" t="s">
        <v>339</v>
      </c>
      <c r="J1160" s="3">
        <v>76</v>
      </c>
      <c r="K1160" s="3">
        <v>400</v>
      </c>
      <c r="L1160" s="3">
        <v>368</v>
      </c>
      <c r="M1160" s="3">
        <v>210</v>
      </c>
      <c r="N1160" s="3">
        <v>108</v>
      </c>
      <c r="O1160" s="70">
        <v>102</v>
      </c>
      <c r="P1160" s="3">
        <v>0</v>
      </c>
      <c r="Q1160" s="3">
        <v>0</v>
      </c>
      <c r="R1160" s="3">
        <v>0.45847599999999999</v>
      </c>
      <c r="S1160" s="3">
        <v>46.76</v>
      </c>
      <c r="T1160" s="3">
        <v>96.28</v>
      </c>
      <c r="U1160" s="3">
        <v>49.52</v>
      </c>
      <c r="V1160" s="70" t="s">
        <v>335</v>
      </c>
      <c r="W1160" s="3" t="s">
        <v>343</v>
      </c>
      <c r="X1160" s="3" t="s">
        <v>508</v>
      </c>
      <c r="Y1160" s="3" t="s">
        <v>508</v>
      </c>
    </row>
    <row r="1161" spans="1:25" hidden="1" x14ac:dyDescent="0.2">
      <c r="A1161" s="83" t="str">
        <f t="shared" si="18"/>
        <v>郑州政六街唐扬鸡块原材料</v>
      </c>
      <c r="B1161" s="3" t="s">
        <v>714</v>
      </c>
      <c r="C1161" s="3">
        <v>44377</v>
      </c>
      <c r="D1161" s="3" t="s">
        <v>556</v>
      </c>
      <c r="E1161" s="3" t="s">
        <v>508</v>
      </c>
      <c r="F1161" s="3" t="s">
        <v>508</v>
      </c>
      <c r="G1161" s="70" t="s">
        <v>557</v>
      </c>
      <c r="H1161" s="3" t="s">
        <v>558</v>
      </c>
      <c r="I1161" s="3" t="s">
        <v>339</v>
      </c>
      <c r="J1161" s="3">
        <v>340</v>
      </c>
      <c r="K1161" s="3">
        <v>620</v>
      </c>
      <c r="L1161" s="3">
        <v>964</v>
      </c>
      <c r="M1161" s="3">
        <v>0</v>
      </c>
      <c r="N1161" s="3">
        <v>-4</v>
      </c>
      <c r="O1161" s="70">
        <v>4</v>
      </c>
      <c r="P1161" s="3">
        <v>0</v>
      </c>
      <c r="Q1161" s="3">
        <v>0</v>
      </c>
      <c r="R1161" s="3">
        <v>0.46814600000000001</v>
      </c>
      <c r="S1161" s="3">
        <v>1.87</v>
      </c>
      <c r="T1161" s="3">
        <v>0</v>
      </c>
      <c r="U1161" s="3">
        <v>-1.87</v>
      </c>
      <c r="V1161" s="70" t="s">
        <v>591</v>
      </c>
      <c r="W1161" s="3" t="s">
        <v>343</v>
      </c>
      <c r="X1161" s="3" t="s">
        <v>508</v>
      </c>
      <c r="Y1161" s="3" t="s">
        <v>508</v>
      </c>
    </row>
    <row r="1162" spans="1:25" hidden="1" x14ac:dyDescent="0.2">
      <c r="A1162" s="83" t="str">
        <f t="shared" si="18"/>
        <v>郑州政六街腿肉条</v>
      </c>
      <c r="B1162" s="3" t="s">
        <v>714</v>
      </c>
      <c r="C1162" s="3">
        <v>44377</v>
      </c>
      <c r="D1162" s="3" t="s">
        <v>559</v>
      </c>
      <c r="E1162" s="3" t="s">
        <v>508</v>
      </c>
      <c r="F1162" s="3" t="s">
        <v>508</v>
      </c>
      <c r="G1162" s="70" t="s">
        <v>560</v>
      </c>
      <c r="H1162" s="3" t="s">
        <v>343</v>
      </c>
      <c r="I1162" s="3" t="s">
        <v>561</v>
      </c>
      <c r="J1162" s="3">
        <v>624</v>
      </c>
      <c r="K1162" s="3">
        <v>5520</v>
      </c>
      <c r="L1162" s="3">
        <v>6092</v>
      </c>
      <c r="M1162" s="3">
        <v>0</v>
      </c>
      <c r="N1162" s="3">
        <v>52</v>
      </c>
      <c r="O1162" s="70">
        <v>-52</v>
      </c>
      <c r="P1162" s="3">
        <v>0</v>
      </c>
      <c r="Q1162" s="3">
        <v>0</v>
      </c>
      <c r="R1162" s="3">
        <v>0.50295199999999995</v>
      </c>
      <c r="S1162" s="3">
        <v>-26.15</v>
      </c>
      <c r="T1162" s="3">
        <v>0</v>
      </c>
      <c r="U1162" s="3">
        <v>26.15</v>
      </c>
      <c r="V1162" s="70" t="s">
        <v>591</v>
      </c>
      <c r="W1162" s="3" t="s">
        <v>343</v>
      </c>
      <c r="X1162" s="3" t="s">
        <v>508</v>
      </c>
      <c r="Y1162" s="3" t="s">
        <v>508</v>
      </c>
    </row>
    <row r="1163" spans="1:25" hidden="1" x14ac:dyDescent="0.2">
      <c r="A1163" s="83" t="str">
        <f t="shared" si="18"/>
        <v>新蔡水韵天街腿肉条</v>
      </c>
      <c r="B1163" s="3" t="s">
        <v>703</v>
      </c>
      <c r="C1163" s="3">
        <v>44377</v>
      </c>
      <c r="D1163" s="3" t="s">
        <v>559</v>
      </c>
      <c r="E1163" s="3" t="s">
        <v>508</v>
      </c>
      <c r="F1163" s="3" t="s">
        <v>508</v>
      </c>
      <c r="G1163" s="70" t="s">
        <v>560</v>
      </c>
      <c r="H1163" s="3" t="s">
        <v>343</v>
      </c>
      <c r="I1163" s="3" t="s">
        <v>561</v>
      </c>
      <c r="J1163" s="3">
        <v>816</v>
      </c>
      <c r="K1163" s="3">
        <v>1200</v>
      </c>
      <c r="L1163" s="3">
        <v>1280</v>
      </c>
      <c r="M1163" s="3">
        <v>732</v>
      </c>
      <c r="N1163" s="3">
        <v>736</v>
      </c>
      <c r="O1163" s="70">
        <v>-4</v>
      </c>
      <c r="P1163" s="3">
        <v>0</v>
      </c>
      <c r="Q1163" s="3">
        <v>0</v>
      </c>
      <c r="R1163" s="3">
        <v>0.47878399999999999</v>
      </c>
      <c r="S1163" s="3">
        <v>-1.92</v>
      </c>
      <c r="T1163" s="3">
        <v>350.47</v>
      </c>
      <c r="U1163" s="3">
        <v>352.39</v>
      </c>
      <c r="V1163" s="70" t="s">
        <v>335</v>
      </c>
      <c r="W1163" s="3" t="s">
        <v>343</v>
      </c>
      <c r="X1163" s="3" t="s">
        <v>508</v>
      </c>
      <c r="Y1163" s="3" t="s">
        <v>508</v>
      </c>
    </row>
    <row r="1164" spans="1:25" hidden="1" x14ac:dyDescent="0.2">
      <c r="A1164" s="83" t="str">
        <f t="shared" si="18"/>
        <v>郑州康复中街腿肉条</v>
      </c>
      <c r="B1164" s="3" t="s">
        <v>704</v>
      </c>
      <c r="C1164" s="3">
        <v>44377</v>
      </c>
      <c r="D1164" s="3" t="s">
        <v>559</v>
      </c>
      <c r="E1164" s="3" t="s">
        <v>508</v>
      </c>
      <c r="F1164" s="3" t="s">
        <v>508</v>
      </c>
      <c r="G1164" s="70" t="s">
        <v>560</v>
      </c>
      <c r="H1164" s="3" t="s">
        <v>343</v>
      </c>
      <c r="I1164" s="3" t="s">
        <v>561</v>
      </c>
      <c r="J1164" s="3">
        <v>2160</v>
      </c>
      <c r="K1164" s="3">
        <v>1200</v>
      </c>
      <c r="L1164" s="3">
        <v>3374</v>
      </c>
      <c r="M1164" s="3">
        <v>200</v>
      </c>
      <c r="N1164" s="3">
        <v>-14</v>
      </c>
      <c r="O1164" s="70">
        <v>214</v>
      </c>
      <c r="P1164" s="3">
        <v>0</v>
      </c>
      <c r="Q1164" s="3">
        <v>0</v>
      </c>
      <c r="R1164" s="3">
        <v>0.49425000000000002</v>
      </c>
      <c r="S1164" s="3">
        <v>105.77</v>
      </c>
      <c r="T1164" s="3">
        <v>98.85</v>
      </c>
      <c r="U1164" s="3">
        <v>-6.92</v>
      </c>
      <c r="V1164" s="70" t="s">
        <v>593</v>
      </c>
      <c r="W1164" s="3" t="s">
        <v>789</v>
      </c>
      <c r="X1164" s="3" t="s">
        <v>508</v>
      </c>
      <c r="Y1164" s="3" t="s">
        <v>508</v>
      </c>
    </row>
    <row r="1165" spans="1:25" hidden="1" x14ac:dyDescent="0.2">
      <c r="A1165" s="83" t="str">
        <f t="shared" si="18"/>
        <v>郑州铁英街腿肉条</v>
      </c>
      <c r="B1165" s="3" t="s">
        <v>707</v>
      </c>
      <c r="C1165" s="3">
        <v>44377</v>
      </c>
      <c r="D1165" s="3" t="s">
        <v>559</v>
      </c>
      <c r="E1165" s="3" t="s">
        <v>508</v>
      </c>
      <c r="F1165" s="3" t="s">
        <v>508</v>
      </c>
      <c r="G1165" s="70" t="s">
        <v>560</v>
      </c>
      <c r="H1165" s="3" t="s">
        <v>343</v>
      </c>
      <c r="I1165" s="3" t="s">
        <v>561</v>
      </c>
      <c r="J1165" s="3">
        <v>1138</v>
      </c>
      <c r="K1165" s="3">
        <v>600</v>
      </c>
      <c r="L1165" s="3">
        <v>1698</v>
      </c>
      <c r="M1165" s="3">
        <v>68</v>
      </c>
      <c r="N1165" s="3">
        <v>40</v>
      </c>
      <c r="O1165" s="70">
        <v>28</v>
      </c>
      <c r="P1165" s="3">
        <v>0</v>
      </c>
      <c r="Q1165" s="3">
        <v>0</v>
      </c>
      <c r="R1165" s="3">
        <v>0.480294</v>
      </c>
      <c r="S1165" s="3">
        <v>13.45</v>
      </c>
      <c r="T1165" s="3">
        <v>32.659999999999997</v>
      </c>
      <c r="U1165" s="3">
        <v>19.21</v>
      </c>
      <c r="V1165" s="70" t="s">
        <v>592</v>
      </c>
      <c r="W1165" s="3" t="s">
        <v>343</v>
      </c>
      <c r="X1165" s="3" t="s">
        <v>508</v>
      </c>
      <c r="Y1165" s="3" t="s">
        <v>508</v>
      </c>
    </row>
    <row r="1166" spans="1:25" hidden="1" x14ac:dyDescent="0.2">
      <c r="A1166" s="83" t="str">
        <f t="shared" si="18"/>
        <v>郑州西悦城腿肉条</v>
      </c>
      <c r="B1166" s="3" t="s">
        <v>708</v>
      </c>
      <c r="C1166" s="3">
        <v>44377</v>
      </c>
      <c r="D1166" s="3" t="s">
        <v>559</v>
      </c>
      <c r="E1166" s="3" t="s">
        <v>508</v>
      </c>
      <c r="F1166" s="3" t="s">
        <v>508</v>
      </c>
      <c r="G1166" s="70" t="s">
        <v>560</v>
      </c>
      <c r="H1166" s="3" t="s">
        <v>343</v>
      </c>
      <c r="I1166" s="3" t="s">
        <v>561</v>
      </c>
      <c r="J1166" s="3">
        <v>400</v>
      </c>
      <c r="K1166" s="3">
        <v>3360</v>
      </c>
      <c r="L1166" s="3">
        <v>3446</v>
      </c>
      <c r="M1166" s="3">
        <v>310</v>
      </c>
      <c r="N1166" s="3">
        <v>314</v>
      </c>
      <c r="O1166" s="70">
        <v>-4</v>
      </c>
      <c r="P1166" s="3">
        <v>0</v>
      </c>
      <c r="Q1166" s="3">
        <v>0</v>
      </c>
      <c r="R1166" s="3">
        <v>0.50574200000000002</v>
      </c>
      <c r="S1166" s="3">
        <v>-2.02</v>
      </c>
      <c r="T1166" s="3">
        <v>156.78</v>
      </c>
      <c r="U1166" s="3">
        <v>158.80000000000001</v>
      </c>
      <c r="V1166" s="70" t="s">
        <v>332</v>
      </c>
      <c r="W1166" s="3" t="s">
        <v>343</v>
      </c>
      <c r="X1166" s="3" t="s">
        <v>508</v>
      </c>
      <c r="Y1166" s="3" t="s">
        <v>508</v>
      </c>
    </row>
    <row r="1167" spans="1:25" hidden="1" x14ac:dyDescent="0.2">
      <c r="A1167" s="83" t="str">
        <f t="shared" si="18"/>
        <v>华山龙源腿肉条</v>
      </c>
      <c r="B1167" s="3" t="s">
        <v>705</v>
      </c>
      <c r="C1167" s="3">
        <v>44377</v>
      </c>
      <c r="D1167" s="3" t="s">
        <v>559</v>
      </c>
      <c r="E1167" s="3" t="s">
        <v>508</v>
      </c>
      <c r="F1167" s="3" t="s">
        <v>508</v>
      </c>
      <c r="G1167" s="70" t="s">
        <v>560</v>
      </c>
      <c r="H1167" s="3" t="s">
        <v>343</v>
      </c>
      <c r="I1167" s="3" t="s">
        <v>561</v>
      </c>
      <c r="J1167" s="3">
        <v>188</v>
      </c>
      <c r="K1167" s="3">
        <v>320</v>
      </c>
      <c r="L1167" s="3">
        <v>652</v>
      </c>
      <c r="M1167" s="3">
        <v>0</v>
      </c>
      <c r="N1167" s="3">
        <v>-144</v>
      </c>
      <c r="O1167" s="70">
        <v>144</v>
      </c>
      <c r="P1167" s="3">
        <v>0</v>
      </c>
      <c r="Q1167" s="3">
        <v>0</v>
      </c>
      <c r="R1167" s="3">
        <v>0.542323</v>
      </c>
      <c r="S1167" s="3">
        <v>78.09</v>
      </c>
      <c r="T1167" s="3">
        <v>0</v>
      </c>
      <c r="U1167" s="3">
        <v>-78.09</v>
      </c>
      <c r="V1167" s="70" t="s">
        <v>643</v>
      </c>
      <c r="W1167" s="3" t="s">
        <v>790</v>
      </c>
      <c r="X1167" s="3" t="s">
        <v>508</v>
      </c>
      <c r="Y1167" s="3" t="s">
        <v>508</v>
      </c>
    </row>
    <row r="1168" spans="1:25" hidden="1" x14ac:dyDescent="0.2">
      <c r="A1168" s="83" t="str">
        <f t="shared" si="18"/>
        <v>郑州瀚海海尚腿肉条</v>
      </c>
      <c r="B1168" s="3" t="s">
        <v>706</v>
      </c>
      <c r="C1168" s="3">
        <v>44377</v>
      </c>
      <c r="D1168" s="3" t="s">
        <v>559</v>
      </c>
      <c r="E1168" s="3" t="s">
        <v>508</v>
      </c>
      <c r="F1168" s="3" t="s">
        <v>508</v>
      </c>
      <c r="G1168" s="70" t="s">
        <v>560</v>
      </c>
      <c r="H1168" s="3" t="s">
        <v>343</v>
      </c>
      <c r="I1168" s="3" t="s">
        <v>561</v>
      </c>
      <c r="J1168" s="3">
        <v>454</v>
      </c>
      <c r="K1168" s="3">
        <v>2400</v>
      </c>
      <c r="L1168" s="3">
        <v>1760</v>
      </c>
      <c r="M1168" s="3">
        <v>1036</v>
      </c>
      <c r="N1168" s="3">
        <v>1094</v>
      </c>
      <c r="O1168" s="70">
        <v>-58</v>
      </c>
      <c r="P1168" s="3">
        <v>0</v>
      </c>
      <c r="Q1168" s="3">
        <v>0</v>
      </c>
      <c r="R1168" s="3">
        <v>0.47570499999999999</v>
      </c>
      <c r="S1168" s="3">
        <v>-27.59</v>
      </c>
      <c r="T1168" s="3">
        <v>492.83</v>
      </c>
      <c r="U1168" s="3">
        <v>520.41999999999996</v>
      </c>
      <c r="V1168" s="70" t="s">
        <v>333</v>
      </c>
      <c r="W1168" s="3" t="s">
        <v>343</v>
      </c>
      <c r="X1168" s="3" t="s">
        <v>508</v>
      </c>
      <c r="Y1168" s="3" t="s">
        <v>508</v>
      </c>
    </row>
    <row r="1169" spans="1:25" hidden="1" x14ac:dyDescent="0.2">
      <c r="A1169" s="83" t="str">
        <f t="shared" si="18"/>
        <v>方城锦城国际腿肉条</v>
      </c>
      <c r="B1169" s="3" t="s">
        <v>712</v>
      </c>
      <c r="C1169" s="3">
        <v>44377</v>
      </c>
      <c r="D1169" s="3" t="s">
        <v>559</v>
      </c>
      <c r="E1169" s="3" t="s">
        <v>508</v>
      </c>
      <c r="F1169" s="3" t="s">
        <v>508</v>
      </c>
      <c r="G1169" s="70" t="s">
        <v>560</v>
      </c>
      <c r="H1169" s="3" t="s">
        <v>343</v>
      </c>
      <c r="I1169" s="3" t="s">
        <v>561</v>
      </c>
      <c r="J1169" s="3">
        <v>1202</v>
      </c>
      <c r="K1169" s="3">
        <v>1200</v>
      </c>
      <c r="L1169" s="3">
        <v>1284</v>
      </c>
      <c r="M1169" s="3">
        <v>1120</v>
      </c>
      <c r="N1169" s="3">
        <v>1118</v>
      </c>
      <c r="O1169" s="70">
        <v>2</v>
      </c>
      <c r="P1169" s="3">
        <v>0</v>
      </c>
      <c r="Q1169" s="3">
        <v>0</v>
      </c>
      <c r="R1169" s="3">
        <v>0.473964</v>
      </c>
      <c r="S1169" s="3">
        <v>0.95</v>
      </c>
      <c r="T1169" s="3">
        <v>530.84</v>
      </c>
      <c r="U1169" s="3">
        <v>529.89</v>
      </c>
      <c r="V1169" s="70" t="s">
        <v>594</v>
      </c>
      <c r="W1169" s="3" t="s">
        <v>343</v>
      </c>
      <c r="X1169" s="3" t="s">
        <v>508</v>
      </c>
      <c r="Y1169" s="3" t="s">
        <v>508</v>
      </c>
    </row>
    <row r="1170" spans="1:25" hidden="1" x14ac:dyDescent="0.2">
      <c r="A1170" s="83" t="str">
        <f t="shared" si="18"/>
        <v>清丰凤鸣腿肉条</v>
      </c>
      <c r="B1170" s="3" t="s">
        <v>713</v>
      </c>
      <c r="C1170" s="3">
        <v>44377</v>
      </c>
      <c r="D1170" s="3" t="s">
        <v>559</v>
      </c>
      <c r="E1170" s="3" t="s">
        <v>508</v>
      </c>
      <c r="F1170" s="3" t="s">
        <v>508</v>
      </c>
      <c r="G1170" s="70" t="s">
        <v>560</v>
      </c>
      <c r="H1170" s="3" t="s">
        <v>343</v>
      </c>
      <c r="I1170" s="3" t="s">
        <v>561</v>
      </c>
      <c r="J1170" s="3">
        <v>1490</v>
      </c>
      <c r="K1170" s="3">
        <v>0</v>
      </c>
      <c r="L1170" s="3">
        <v>1396</v>
      </c>
      <c r="M1170" s="3">
        <v>90</v>
      </c>
      <c r="N1170" s="3">
        <v>94</v>
      </c>
      <c r="O1170" s="70">
        <v>-4</v>
      </c>
      <c r="P1170" s="3">
        <v>0</v>
      </c>
      <c r="Q1170" s="3">
        <v>0</v>
      </c>
      <c r="R1170" s="3">
        <v>0.48355599999999999</v>
      </c>
      <c r="S1170" s="3">
        <v>-1.93</v>
      </c>
      <c r="T1170" s="3">
        <v>43.52</v>
      </c>
      <c r="U1170" s="3">
        <v>45.45</v>
      </c>
      <c r="V1170" s="70" t="s">
        <v>334</v>
      </c>
      <c r="W1170" s="3" t="s">
        <v>791</v>
      </c>
      <c r="X1170" s="3" t="s">
        <v>508</v>
      </c>
      <c r="Y1170" s="3" t="s">
        <v>508</v>
      </c>
    </row>
    <row r="1171" spans="1:25" hidden="1" x14ac:dyDescent="0.2">
      <c r="A1171" s="83" t="str">
        <f t="shared" si="18"/>
        <v>郑州裕华腿肉条</v>
      </c>
      <c r="B1171" s="3" t="s">
        <v>711</v>
      </c>
      <c r="C1171" s="3">
        <v>44377</v>
      </c>
      <c r="D1171" s="3" t="s">
        <v>559</v>
      </c>
      <c r="E1171" s="3" t="s">
        <v>508</v>
      </c>
      <c r="F1171" s="3" t="s">
        <v>508</v>
      </c>
      <c r="G1171" s="70" t="s">
        <v>560</v>
      </c>
      <c r="H1171" s="3" t="s">
        <v>343</v>
      </c>
      <c r="I1171" s="3" t="s">
        <v>561</v>
      </c>
      <c r="J1171" s="3">
        <v>320</v>
      </c>
      <c r="K1171" s="3">
        <v>1520</v>
      </c>
      <c r="L1171" s="3">
        <v>1164</v>
      </c>
      <c r="M1171" s="3">
        <v>480</v>
      </c>
      <c r="N1171" s="3">
        <v>676</v>
      </c>
      <c r="O1171" s="70">
        <v>-196</v>
      </c>
      <c r="P1171" s="3">
        <v>0</v>
      </c>
      <c r="Q1171" s="3">
        <v>0</v>
      </c>
      <c r="R1171" s="3">
        <v>0.49406299999999997</v>
      </c>
      <c r="S1171" s="3">
        <v>-96.84</v>
      </c>
      <c r="T1171" s="3">
        <v>237.15</v>
      </c>
      <c r="U1171" s="3">
        <v>333.99</v>
      </c>
      <c r="V1171" s="70" t="s">
        <v>641</v>
      </c>
      <c r="W1171" s="3" t="s">
        <v>343</v>
      </c>
      <c r="X1171" s="3" t="s">
        <v>508</v>
      </c>
      <c r="Y1171" s="3" t="s">
        <v>508</v>
      </c>
    </row>
    <row r="1172" spans="1:25" hidden="1" x14ac:dyDescent="0.2">
      <c r="A1172" s="83" t="str">
        <f t="shared" si="18"/>
        <v>滑县滑台腿肉条</v>
      </c>
      <c r="B1172" s="3" t="s">
        <v>710</v>
      </c>
      <c r="C1172" s="3">
        <v>44377</v>
      </c>
      <c r="D1172" s="3" t="s">
        <v>559</v>
      </c>
      <c r="E1172" s="3" t="s">
        <v>508</v>
      </c>
      <c r="F1172" s="3" t="s">
        <v>508</v>
      </c>
      <c r="G1172" s="70" t="s">
        <v>560</v>
      </c>
      <c r="H1172" s="3" t="s">
        <v>343</v>
      </c>
      <c r="I1172" s="3" t="s">
        <v>561</v>
      </c>
      <c r="J1172" s="3">
        <v>870</v>
      </c>
      <c r="K1172" s="3">
        <v>3600</v>
      </c>
      <c r="L1172" s="3">
        <v>2742</v>
      </c>
      <c r="M1172" s="3">
        <v>1400</v>
      </c>
      <c r="N1172" s="3">
        <v>1728</v>
      </c>
      <c r="O1172" s="70">
        <v>-328</v>
      </c>
      <c r="P1172" s="3">
        <v>0</v>
      </c>
      <c r="Q1172" s="3">
        <v>0</v>
      </c>
      <c r="R1172" s="3">
        <v>0.47660000000000002</v>
      </c>
      <c r="S1172" s="3">
        <v>-156.32</v>
      </c>
      <c r="T1172" s="3">
        <v>667.24</v>
      </c>
      <c r="U1172" s="3">
        <v>823.56</v>
      </c>
      <c r="V1172" s="70" t="s">
        <v>639</v>
      </c>
      <c r="W1172" s="3" t="s">
        <v>343</v>
      </c>
      <c r="X1172" s="3" t="s">
        <v>508</v>
      </c>
      <c r="Y1172" s="3" t="s">
        <v>508</v>
      </c>
    </row>
    <row r="1173" spans="1:25" hidden="1" x14ac:dyDescent="0.2">
      <c r="A1173" s="83" t="str">
        <f t="shared" si="18"/>
        <v>郑州盛华里腿肉条</v>
      </c>
      <c r="B1173" s="3" t="s">
        <v>709</v>
      </c>
      <c r="C1173" s="3">
        <v>44377</v>
      </c>
      <c r="D1173" s="3" t="s">
        <v>559</v>
      </c>
      <c r="E1173" s="3" t="s">
        <v>508</v>
      </c>
      <c r="F1173" s="3" t="s">
        <v>508</v>
      </c>
      <c r="G1173" s="70" t="s">
        <v>560</v>
      </c>
      <c r="H1173" s="3" t="s">
        <v>343</v>
      </c>
      <c r="I1173" s="3" t="s">
        <v>561</v>
      </c>
      <c r="J1173" s="3">
        <v>990</v>
      </c>
      <c r="K1173" s="3">
        <v>640</v>
      </c>
      <c r="L1173" s="3">
        <v>1376</v>
      </c>
      <c r="M1173" s="3">
        <v>254</v>
      </c>
      <c r="N1173" s="3">
        <v>254</v>
      </c>
      <c r="O1173" s="70">
        <v>0</v>
      </c>
      <c r="P1173" s="3">
        <v>0</v>
      </c>
      <c r="Q1173" s="3">
        <v>0</v>
      </c>
      <c r="R1173" s="3">
        <v>0.53315000000000001</v>
      </c>
      <c r="S1173" s="3">
        <v>0</v>
      </c>
      <c r="T1173" s="3">
        <v>135.41999999999999</v>
      </c>
      <c r="U1173" s="3">
        <v>135.41999999999999</v>
      </c>
      <c r="V1173" s="70" t="s">
        <v>637</v>
      </c>
      <c r="W1173" s="3" t="s">
        <v>343</v>
      </c>
      <c r="X1173" s="3" t="s">
        <v>508</v>
      </c>
      <c r="Y1173" s="3" t="s">
        <v>508</v>
      </c>
    </row>
    <row r="1174" spans="1:25" hidden="1" x14ac:dyDescent="0.2">
      <c r="A1174" s="83" t="str">
        <f t="shared" si="18"/>
        <v>郑州盛华里红运热辣鸡排120-135</v>
      </c>
      <c r="B1174" s="3" t="s">
        <v>709</v>
      </c>
      <c r="C1174" s="3">
        <v>44377</v>
      </c>
      <c r="D1174" s="3" t="s">
        <v>562</v>
      </c>
      <c r="E1174" s="3" t="s">
        <v>508</v>
      </c>
      <c r="F1174" s="3" t="s">
        <v>508</v>
      </c>
      <c r="G1174" s="70" t="s">
        <v>563</v>
      </c>
      <c r="H1174" s="3" t="s">
        <v>343</v>
      </c>
      <c r="I1174" s="3" t="s">
        <v>339</v>
      </c>
      <c r="J1174" s="3">
        <v>0</v>
      </c>
      <c r="K1174" s="3">
        <v>0</v>
      </c>
      <c r="L1174" s="3">
        <v>1</v>
      </c>
      <c r="M1174" s="3">
        <v>0</v>
      </c>
      <c r="N1174" s="3">
        <v>-1</v>
      </c>
      <c r="O1174" s="70">
        <v>1</v>
      </c>
      <c r="P1174" s="3">
        <v>0</v>
      </c>
      <c r="Q1174" s="3">
        <v>0</v>
      </c>
      <c r="R1174" s="3">
        <v>1.835933</v>
      </c>
      <c r="S1174" s="3">
        <v>1.84</v>
      </c>
      <c r="T1174" s="3">
        <v>0</v>
      </c>
      <c r="U1174" s="3">
        <v>-1.84</v>
      </c>
      <c r="V1174" s="70" t="s">
        <v>637</v>
      </c>
      <c r="W1174" s="3" t="s">
        <v>673</v>
      </c>
      <c r="X1174" s="3" t="s">
        <v>508</v>
      </c>
      <c r="Y1174" s="3" t="s">
        <v>508</v>
      </c>
    </row>
    <row r="1175" spans="1:25" hidden="1" x14ac:dyDescent="0.2">
      <c r="A1175" s="83" t="str">
        <f t="shared" si="18"/>
        <v>清丰凤鸣红运热辣鸡排120-135</v>
      </c>
      <c r="B1175" s="3" t="s">
        <v>713</v>
      </c>
      <c r="C1175" s="3">
        <v>44377</v>
      </c>
      <c r="D1175" s="3" t="s">
        <v>562</v>
      </c>
      <c r="E1175" s="3" t="s">
        <v>508</v>
      </c>
      <c r="F1175" s="3" t="s">
        <v>508</v>
      </c>
      <c r="G1175" s="70" t="s">
        <v>563</v>
      </c>
      <c r="H1175" s="3" t="s">
        <v>343</v>
      </c>
      <c r="I1175" s="3" t="s">
        <v>339</v>
      </c>
      <c r="J1175" s="3">
        <v>0</v>
      </c>
      <c r="K1175" s="3">
        <v>0</v>
      </c>
      <c r="L1175" s="3">
        <v>1</v>
      </c>
      <c r="M1175" s="3">
        <v>0</v>
      </c>
      <c r="N1175" s="3">
        <v>-1</v>
      </c>
      <c r="O1175" s="70">
        <v>1</v>
      </c>
      <c r="P1175" s="3">
        <v>0</v>
      </c>
      <c r="Q1175" s="3">
        <v>0</v>
      </c>
      <c r="R1175" s="3">
        <v>1.835933</v>
      </c>
      <c r="S1175" s="3">
        <v>1.84</v>
      </c>
      <c r="T1175" s="3">
        <v>0</v>
      </c>
      <c r="U1175" s="3">
        <v>-1.84</v>
      </c>
      <c r="V1175" s="70" t="s">
        <v>334</v>
      </c>
      <c r="W1175" s="3" t="s">
        <v>673</v>
      </c>
      <c r="X1175" s="3" t="s">
        <v>508</v>
      </c>
      <c r="Y1175" s="3" t="s">
        <v>508</v>
      </c>
    </row>
    <row r="1176" spans="1:25" hidden="1" x14ac:dyDescent="0.2">
      <c r="A1176" s="83" t="str">
        <f t="shared" si="18"/>
        <v>郑州瀚海海尚红运热辣鸡排120-135</v>
      </c>
      <c r="B1176" s="3" t="s">
        <v>706</v>
      </c>
      <c r="C1176" s="3">
        <v>44377</v>
      </c>
      <c r="D1176" s="3" t="s">
        <v>562</v>
      </c>
      <c r="E1176" s="3" t="s">
        <v>508</v>
      </c>
      <c r="F1176" s="3" t="s">
        <v>508</v>
      </c>
      <c r="G1176" s="70" t="s">
        <v>563</v>
      </c>
      <c r="H1176" s="3" t="s">
        <v>343</v>
      </c>
      <c r="I1176" s="3" t="s">
        <v>339</v>
      </c>
      <c r="J1176" s="3">
        <v>0</v>
      </c>
      <c r="K1176" s="3">
        <v>0</v>
      </c>
      <c r="L1176" s="3">
        <v>4</v>
      </c>
      <c r="M1176" s="3">
        <v>0</v>
      </c>
      <c r="N1176" s="3">
        <v>-4</v>
      </c>
      <c r="O1176" s="70">
        <v>4</v>
      </c>
      <c r="P1176" s="3">
        <v>0</v>
      </c>
      <c r="Q1176" s="3">
        <v>0</v>
      </c>
      <c r="R1176" s="3">
        <v>1.835933</v>
      </c>
      <c r="S1176" s="3">
        <v>7.34</v>
      </c>
      <c r="T1176" s="3">
        <v>0</v>
      </c>
      <c r="U1176" s="3">
        <v>-7.34</v>
      </c>
      <c r="V1176" s="70" t="s">
        <v>333</v>
      </c>
      <c r="W1176" s="3" t="s">
        <v>792</v>
      </c>
      <c r="X1176" s="3" t="s">
        <v>508</v>
      </c>
      <c r="Y1176" s="3" t="s">
        <v>508</v>
      </c>
    </row>
    <row r="1177" spans="1:25" hidden="1" x14ac:dyDescent="0.2">
      <c r="A1177" s="83" t="str">
        <f t="shared" si="18"/>
        <v>华山龙源红运热辣鸡排120-135</v>
      </c>
      <c r="B1177" s="3" t="s">
        <v>705</v>
      </c>
      <c r="C1177" s="3">
        <v>44377</v>
      </c>
      <c r="D1177" s="3" t="s">
        <v>562</v>
      </c>
      <c r="E1177" s="3" t="s">
        <v>508</v>
      </c>
      <c r="F1177" s="3" t="s">
        <v>508</v>
      </c>
      <c r="G1177" s="70" t="s">
        <v>563</v>
      </c>
      <c r="H1177" s="3" t="s">
        <v>343</v>
      </c>
      <c r="I1177" s="3" t="s">
        <v>339</v>
      </c>
      <c r="J1177" s="3">
        <v>0</v>
      </c>
      <c r="K1177" s="3">
        <v>0</v>
      </c>
      <c r="L1177" s="3">
        <v>1</v>
      </c>
      <c r="M1177" s="3">
        <v>0</v>
      </c>
      <c r="N1177" s="3">
        <v>-1</v>
      </c>
      <c r="O1177" s="70">
        <v>1</v>
      </c>
      <c r="P1177" s="3">
        <v>0</v>
      </c>
      <c r="Q1177" s="3">
        <v>0</v>
      </c>
      <c r="R1177" s="3">
        <v>1.835933</v>
      </c>
      <c r="S1177" s="3">
        <v>1.84</v>
      </c>
      <c r="T1177" s="3">
        <v>0</v>
      </c>
      <c r="U1177" s="3">
        <v>-1.84</v>
      </c>
      <c r="V1177" s="70" t="s">
        <v>643</v>
      </c>
      <c r="W1177" s="3" t="s">
        <v>673</v>
      </c>
      <c r="X1177" s="3" t="s">
        <v>508</v>
      </c>
      <c r="Y1177" s="3" t="s">
        <v>508</v>
      </c>
    </row>
    <row r="1178" spans="1:25" hidden="1" x14ac:dyDescent="0.2">
      <c r="A1178" s="83" t="str">
        <f t="shared" si="18"/>
        <v>郑州铁英街红运热辣鸡排120-135</v>
      </c>
      <c r="B1178" s="3" t="s">
        <v>707</v>
      </c>
      <c r="C1178" s="3">
        <v>44377</v>
      </c>
      <c r="D1178" s="3" t="s">
        <v>562</v>
      </c>
      <c r="E1178" s="3" t="s">
        <v>508</v>
      </c>
      <c r="F1178" s="3" t="s">
        <v>508</v>
      </c>
      <c r="G1178" s="70" t="s">
        <v>563</v>
      </c>
      <c r="H1178" s="3" t="s">
        <v>343</v>
      </c>
      <c r="I1178" s="3" t="s">
        <v>339</v>
      </c>
      <c r="J1178" s="3">
        <v>0</v>
      </c>
      <c r="K1178" s="3">
        <v>0</v>
      </c>
      <c r="L1178" s="3">
        <v>1</v>
      </c>
      <c r="M1178" s="3">
        <v>0</v>
      </c>
      <c r="N1178" s="3">
        <v>-1</v>
      </c>
      <c r="O1178" s="70">
        <v>1</v>
      </c>
      <c r="P1178" s="3">
        <v>0</v>
      </c>
      <c r="Q1178" s="3">
        <v>0</v>
      </c>
      <c r="R1178" s="3">
        <v>1.835933</v>
      </c>
      <c r="S1178" s="3">
        <v>1.84</v>
      </c>
      <c r="T1178" s="3">
        <v>0</v>
      </c>
      <c r="U1178" s="3">
        <v>-1.84</v>
      </c>
      <c r="V1178" s="70" t="s">
        <v>592</v>
      </c>
      <c r="W1178" s="3" t="s">
        <v>673</v>
      </c>
      <c r="X1178" s="3" t="s">
        <v>508</v>
      </c>
      <c r="Y1178" s="3" t="s">
        <v>508</v>
      </c>
    </row>
    <row r="1179" spans="1:25" hidden="1" x14ac:dyDescent="0.2">
      <c r="A1179" s="83" t="str">
        <f t="shared" si="18"/>
        <v>郑州西悦城红运热辣鸡排120-135</v>
      </c>
      <c r="B1179" s="3" t="s">
        <v>708</v>
      </c>
      <c r="C1179" s="3">
        <v>44377</v>
      </c>
      <c r="D1179" s="3" t="s">
        <v>562</v>
      </c>
      <c r="E1179" s="3" t="s">
        <v>508</v>
      </c>
      <c r="F1179" s="3" t="s">
        <v>508</v>
      </c>
      <c r="G1179" s="70" t="s">
        <v>563</v>
      </c>
      <c r="H1179" s="3" t="s">
        <v>343</v>
      </c>
      <c r="I1179" s="3" t="s">
        <v>339</v>
      </c>
      <c r="J1179" s="3">
        <v>0</v>
      </c>
      <c r="K1179" s="3">
        <v>0</v>
      </c>
      <c r="L1179" s="3">
        <v>4</v>
      </c>
      <c r="M1179" s="3">
        <v>0</v>
      </c>
      <c r="N1179" s="3">
        <v>-4</v>
      </c>
      <c r="O1179" s="70">
        <v>4</v>
      </c>
      <c r="P1179" s="3">
        <v>0</v>
      </c>
      <c r="Q1179" s="3">
        <v>0</v>
      </c>
      <c r="R1179" s="3">
        <v>1.835933</v>
      </c>
      <c r="S1179" s="3">
        <v>7.34</v>
      </c>
      <c r="T1179" s="3">
        <v>0</v>
      </c>
      <c r="U1179" s="3">
        <v>-7.34</v>
      </c>
      <c r="V1179" s="70" t="s">
        <v>332</v>
      </c>
      <c r="W1179" s="3" t="s">
        <v>793</v>
      </c>
      <c r="X1179" s="3" t="s">
        <v>508</v>
      </c>
      <c r="Y1179" s="3" t="s">
        <v>508</v>
      </c>
    </row>
    <row r="1180" spans="1:25" hidden="1" x14ac:dyDescent="0.2">
      <c r="A1180" s="83" t="str">
        <f t="shared" si="18"/>
        <v>郑州康复中街红运热辣鸡排120-135</v>
      </c>
      <c r="B1180" s="3" t="s">
        <v>704</v>
      </c>
      <c r="C1180" s="3">
        <v>44377</v>
      </c>
      <c r="D1180" s="3" t="s">
        <v>562</v>
      </c>
      <c r="E1180" s="3" t="s">
        <v>508</v>
      </c>
      <c r="F1180" s="3" t="s">
        <v>508</v>
      </c>
      <c r="G1180" s="70" t="s">
        <v>563</v>
      </c>
      <c r="H1180" s="3" t="s">
        <v>343</v>
      </c>
      <c r="I1180" s="3" t="s">
        <v>339</v>
      </c>
      <c r="J1180" s="3">
        <v>0</v>
      </c>
      <c r="K1180" s="3">
        <v>0</v>
      </c>
      <c r="L1180" s="3">
        <v>6</v>
      </c>
      <c r="M1180" s="3">
        <v>0</v>
      </c>
      <c r="N1180" s="3">
        <v>-6</v>
      </c>
      <c r="O1180" s="70">
        <v>6</v>
      </c>
      <c r="P1180" s="3">
        <v>0</v>
      </c>
      <c r="Q1180" s="3">
        <v>0</v>
      </c>
      <c r="R1180" s="3">
        <v>1.835933</v>
      </c>
      <c r="S1180" s="3">
        <v>11.02</v>
      </c>
      <c r="T1180" s="3">
        <v>0</v>
      </c>
      <c r="U1180" s="3">
        <v>-11.02</v>
      </c>
      <c r="V1180" s="70" t="s">
        <v>593</v>
      </c>
      <c r="W1180" s="3" t="s">
        <v>794</v>
      </c>
      <c r="X1180" s="3" t="s">
        <v>508</v>
      </c>
      <c r="Y1180" s="3" t="s">
        <v>508</v>
      </c>
    </row>
    <row r="1181" spans="1:25" hidden="1" x14ac:dyDescent="0.2">
      <c r="A1181" s="83" t="str">
        <f t="shared" si="18"/>
        <v>新蔡水韵天街红运热辣鸡排120-135</v>
      </c>
      <c r="B1181" s="3" t="s">
        <v>703</v>
      </c>
      <c r="C1181" s="3">
        <v>44377</v>
      </c>
      <c r="D1181" s="3" t="s">
        <v>562</v>
      </c>
      <c r="E1181" s="3" t="s">
        <v>508</v>
      </c>
      <c r="F1181" s="3" t="s">
        <v>508</v>
      </c>
      <c r="G1181" s="70" t="s">
        <v>563</v>
      </c>
      <c r="H1181" s="3" t="s">
        <v>343</v>
      </c>
      <c r="I1181" s="3" t="s">
        <v>339</v>
      </c>
      <c r="J1181" s="3">
        <v>0</v>
      </c>
      <c r="K1181" s="3">
        <v>0</v>
      </c>
      <c r="L1181" s="3">
        <v>5</v>
      </c>
      <c r="M1181" s="3">
        <v>0</v>
      </c>
      <c r="N1181" s="3">
        <v>-5</v>
      </c>
      <c r="O1181" s="70">
        <v>5</v>
      </c>
      <c r="P1181" s="3">
        <v>0</v>
      </c>
      <c r="Q1181" s="3">
        <v>0</v>
      </c>
      <c r="R1181" s="3">
        <v>1.835933</v>
      </c>
      <c r="S1181" s="3">
        <v>9.18</v>
      </c>
      <c r="T1181" s="3">
        <v>0</v>
      </c>
      <c r="U1181" s="3">
        <v>-9.18</v>
      </c>
      <c r="V1181" s="70" t="s">
        <v>335</v>
      </c>
      <c r="W1181" s="3" t="s">
        <v>795</v>
      </c>
      <c r="X1181" s="3" t="s">
        <v>508</v>
      </c>
      <c r="Y1181" s="3" t="s">
        <v>508</v>
      </c>
    </row>
    <row r="1182" spans="1:25" hidden="1" x14ac:dyDescent="0.2">
      <c r="A1182" s="83" t="str">
        <f t="shared" si="18"/>
        <v>郑州政六街红运热辣鸡排120-135</v>
      </c>
      <c r="B1182" s="3" t="s">
        <v>714</v>
      </c>
      <c r="C1182" s="3">
        <v>44377</v>
      </c>
      <c r="D1182" s="3" t="s">
        <v>562</v>
      </c>
      <c r="E1182" s="3" t="s">
        <v>508</v>
      </c>
      <c r="F1182" s="3" t="s">
        <v>508</v>
      </c>
      <c r="G1182" s="70" t="s">
        <v>563</v>
      </c>
      <c r="H1182" s="3" t="s">
        <v>343</v>
      </c>
      <c r="I1182" s="3" t="s">
        <v>339</v>
      </c>
      <c r="J1182" s="3">
        <v>0</v>
      </c>
      <c r="K1182" s="3">
        <v>0</v>
      </c>
      <c r="L1182" s="3">
        <v>2</v>
      </c>
      <c r="M1182" s="3">
        <v>0</v>
      </c>
      <c r="N1182" s="3">
        <v>-2</v>
      </c>
      <c r="O1182" s="70">
        <v>2</v>
      </c>
      <c r="P1182" s="3">
        <v>0</v>
      </c>
      <c r="Q1182" s="3">
        <v>0</v>
      </c>
      <c r="R1182" s="3">
        <v>1.835933</v>
      </c>
      <c r="S1182" s="3">
        <v>3.67</v>
      </c>
      <c r="T1182" s="3">
        <v>0</v>
      </c>
      <c r="U1182" s="3">
        <v>-3.67</v>
      </c>
      <c r="V1182" s="70" t="s">
        <v>591</v>
      </c>
      <c r="W1182" s="3" t="s">
        <v>796</v>
      </c>
      <c r="X1182" s="3" t="s">
        <v>508</v>
      </c>
      <c r="Y1182" s="3" t="s">
        <v>508</v>
      </c>
    </row>
    <row r="1183" spans="1:25" hidden="1" x14ac:dyDescent="0.2">
      <c r="A1183" s="83" t="str">
        <f t="shared" si="18"/>
        <v>郑州政六街鸿运热辣鸡排135-150</v>
      </c>
      <c r="B1183" s="3" t="s">
        <v>714</v>
      </c>
      <c r="C1183" s="3">
        <v>44377</v>
      </c>
      <c r="D1183" s="3" t="s">
        <v>564</v>
      </c>
      <c r="E1183" s="3" t="s">
        <v>508</v>
      </c>
      <c r="F1183" s="3" t="s">
        <v>508</v>
      </c>
      <c r="G1183" s="70" t="s">
        <v>565</v>
      </c>
      <c r="H1183" s="3" t="s">
        <v>343</v>
      </c>
      <c r="I1183" s="3" t="s">
        <v>511</v>
      </c>
      <c r="J1183" s="3">
        <v>70</v>
      </c>
      <c r="K1183" s="3">
        <v>900</v>
      </c>
      <c r="L1183" s="3">
        <v>851.2</v>
      </c>
      <c r="M1183" s="3">
        <v>0</v>
      </c>
      <c r="N1183" s="3">
        <v>118.8</v>
      </c>
      <c r="O1183" s="70">
        <v>-118.8</v>
      </c>
      <c r="P1183" s="3">
        <v>0</v>
      </c>
      <c r="Q1183" s="3">
        <v>0</v>
      </c>
      <c r="R1183" s="3">
        <v>1.9882679999999999</v>
      </c>
      <c r="S1183" s="3">
        <v>-236.21</v>
      </c>
      <c r="T1183" s="3">
        <v>0</v>
      </c>
      <c r="U1183" s="3">
        <v>236.21</v>
      </c>
      <c r="V1183" s="70" t="s">
        <v>591</v>
      </c>
      <c r="W1183" s="3" t="s">
        <v>797</v>
      </c>
      <c r="X1183" s="3" t="s">
        <v>508</v>
      </c>
      <c r="Y1183" s="3" t="s">
        <v>508</v>
      </c>
    </row>
    <row r="1184" spans="1:25" hidden="1" x14ac:dyDescent="0.2">
      <c r="A1184" s="83" t="str">
        <f t="shared" si="18"/>
        <v>新蔡水韵天街鸿运热辣鸡排135-150</v>
      </c>
      <c r="B1184" s="3" t="s">
        <v>703</v>
      </c>
      <c r="C1184" s="3">
        <v>44377</v>
      </c>
      <c r="D1184" s="3" t="s">
        <v>564</v>
      </c>
      <c r="E1184" s="3" t="s">
        <v>508</v>
      </c>
      <c r="F1184" s="3" t="s">
        <v>508</v>
      </c>
      <c r="G1184" s="70" t="s">
        <v>565</v>
      </c>
      <c r="H1184" s="3" t="s">
        <v>343</v>
      </c>
      <c r="I1184" s="3" t="s">
        <v>511</v>
      </c>
      <c r="J1184" s="3">
        <v>277</v>
      </c>
      <c r="K1184" s="3">
        <v>700</v>
      </c>
      <c r="L1184" s="3">
        <v>817.5</v>
      </c>
      <c r="M1184" s="3">
        <v>155</v>
      </c>
      <c r="N1184" s="3">
        <v>159.5</v>
      </c>
      <c r="O1184" s="70">
        <v>-4.5</v>
      </c>
      <c r="P1184" s="3">
        <v>0</v>
      </c>
      <c r="Q1184" s="3">
        <v>0</v>
      </c>
      <c r="R1184" s="3">
        <v>1.9970969999999999</v>
      </c>
      <c r="S1184" s="3">
        <v>-8.99</v>
      </c>
      <c r="T1184" s="3">
        <v>309.55</v>
      </c>
      <c r="U1184" s="3">
        <v>318.54000000000002</v>
      </c>
      <c r="V1184" s="70" t="s">
        <v>335</v>
      </c>
      <c r="W1184" s="3" t="s">
        <v>798</v>
      </c>
      <c r="X1184" s="3" t="s">
        <v>508</v>
      </c>
      <c r="Y1184" s="3" t="s">
        <v>508</v>
      </c>
    </row>
    <row r="1185" spans="1:25" hidden="1" x14ac:dyDescent="0.2">
      <c r="A1185" s="83" t="str">
        <f t="shared" si="18"/>
        <v>郑州康复中街鸿运热辣鸡排135-150</v>
      </c>
      <c r="B1185" s="3" t="s">
        <v>704</v>
      </c>
      <c r="C1185" s="3">
        <v>44377</v>
      </c>
      <c r="D1185" s="3" t="s">
        <v>564</v>
      </c>
      <c r="E1185" s="3" t="s">
        <v>508</v>
      </c>
      <c r="F1185" s="3" t="s">
        <v>508</v>
      </c>
      <c r="G1185" s="70" t="s">
        <v>565</v>
      </c>
      <c r="H1185" s="3" t="s">
        <v>343</v>
      </c>
      <c r="I1185" s="3" t="s">
        <v>511</v>
      </c>
      <c r="J1185" s="3">
        <v>124</v>
      </c>
      <c r="K1185" s="3">
        <v>1300</v>
      </c>
      <c r="L1185" s="3">
        <v>967.7</v>
      </c>
      <c r="M1185" s="3">
        <v>378</v>
      </c>
      <c r="N1185" s="3">
        <v>456.3</v>
      </c>
      <c r="O1185" s="70">
        <v>-78.3</v>
      </c>
      <c r="P1185" s="3">
        <v>0</v>
      </c>
      <c r="Q1185" s="3">
        <v>0</v>
      </c>
      <c r="R1185" s="3">
        <v>1.988783</v>
      </c>
      <c r="S1185" s="3">
        <v>-155.72</v>
      </c>
      <c r="T1185" s="3">
        <v>751.76</v>
      </c>
      <c r="U1185" s="3">
        <v>907.48</v>
      </c>
      <c r="V1185" s="70" t="s">
        <v>593</v>
      </c>
      <c r="W1185" s="3" t="s">
        <v>799</v>
      </c>
      <c r="X1185" s="3" t="s">
        <v>508</v>
      </c>
      <c r="Y1185" s="3" t="s">
        <v>508</v>
      </c>
    </row>
    <row r="1186" spans="1:25" hidden="1" x14ac:dyDescent="0.2">
      <c r="A1186" s="83" t="str">
        <f t="shared" si="18"/>
        <v>郑州铁英街鸿运热辣鸡排135-150</v>
      </c>
      <c r="B1186" s="3" t="s">
        <v>707</v>
      </c>
      <c r="C1186" s="3">
        <v>44377</v>
      </c>
      <c r="D1186" s="3" t="s">
        <v>564</v>
      </c>
      <c r="E1186" s="3" t="s">
        <v>508</v>
      </c>
      <c r="F1186" s="3" t="s">
        <v>508</v>
      </c>
      <c r="G1186" s="70" t="s">
        <v>565</v>
      </c>
      <c r="H1186" s="3" t="s">
        <v>343</v>
      </c>
      <c r="I1186" s="3" t="s">
        <v>511</v>
      </c>
      <c r="J1186" s="3">
        <v>165</v>
      </c>
      <c r="K1186" s="3">
        <v>800</v>
      </c>
      <c r="L1186" s="3">
        <v>675.4</v>
      </c>
      <c r="M1186" s="3">
        <v>271</v>
      </c>
      <c r="N1186" s="3">
        <v>289.60000000000002</v>
      </c>
      <c r="O1186" s="70">
        <v>-18.600000000000001</v>
      </c>
      <c r="P1186" s="3">
        <v>0</v>
      </c>
      <c r="Q1186" s="3">
        <v>0</v>
      </c>
      <c r="R1186" s="3">
        <v>1.9925459999999999</v>
      </c>
      <c r="S1186" s="3">
        <v>-37.06</v>
      </c>
      <c r="T1186" s="3">
        <v>539.98</v>
      </c>
      <c r="U1186" s="3">
        <v>577.04</v>
      </c>
      <c r="V1186" s="70" t="s">
        <v>592</v>
      </c>
      <c r="W1186" s="3" t="s">
        <v>800</v>
      </c>
      <c r="X1186" s="3" t="s">
        <v>508</v>
      </c>
      <c r="Y1186" s="3" t="s">
        <v>508</v>
      </c>
    </row>
    <row r="1187" spans="1:25" hidden="1" x14ac:dyDescent="0.2">
      <c r="A1187" s="83" t="str">
        <f t="shared" si="18"/>
        <v>郑州西悦城鸿运热辣鸡排135-150</v>
      </c>
      <c r="B1187" s="3" t="s">
        <v>708</v>
      </c>
      <c r="C1187" s="3">
        <v>44377</v>
      </c>
      <c r="D1187" s="3" t="s">
        <v>564</v>
      </c>
      <c r="E1187" s="3" t="s">
        <v>508</v>
      </c>
      <c r="F1187" s="3" t="s">
        <v>508</v>
      </c>
      <c r="G1187" s="70" t="s">
        <v>565</v>
      </c>
      <c r="H1187" s="3" t="s">
        <v>343</v>
      </c>
      <c r="I1187" s="3" t="s">
        <v>511</v>
      </c>
      <c r="J1187" s="3">
        <v>70</v>
      </c>
      <c r="K1187" s="3">
        <v>1800</v>
      </c>
      <c r="L1187" s="3">
        <v>1836.4</v>
      </c>
      <c r="M1187" s="3">
        <v>30</v>
      </c>
      <c r="N1187" s="3">
        <v>33.6</v>
      </c>
      <c r="O1187" s="70">
        <v>-3.6</v>
      </c>
      <c r="P1187" s="3">
        <v>0</v>
      </c>
      <c r="Q1187" s="3">
        <v>0</v>
      </c>
      <c r="R1187" s="3">
        <v>1.987333</v>
      </c>
      <c r="S1187" s="3">
        <v>-7.15</v>
      </c>
      <c r="T1187" s="3">
        <v>59.62</v>
      </c>
      <c r="U1187" s="3">
        <v>66.77</v>
      </c>
      <c r="V1187" s="70" t="s">
        <v>332</v>
      </c>
      <c r="W1187" s="3" t="s">
        <v>801</v>
      </c>
      <c r="X1187" s="3" t="s">
        <v>508</v>
      </c>
      <c r="Y1187" s="3" t="s">
        <v>508</v>
      </c>
    </row>
    <row r="1188" spans="1:25" hidden="1" x14ac:dyDescent="0.2">
      <c r="A1188" s="83" t="str">
        <f t="shared" si="18"/>
        <v>华山龙源鸿运热辣鸡排135-150</v>
      </c>
      <c r="B1188" s="3" t="s">
        <v>705</v>
      </c>
      <c r="C1188" s="3">
        <v>44377</v>
      </c>
      <c r="D1188" s="3" t="s">
        <v>564</v>
      </c>
      <c r="E1188" s="3" t="s">
        <v>508</v>
      </c>
      <c r="F1188" s="3" t="s">
        <v>508</v>
      </c>
      <c r="G1188" s="70" t="s">
        <v>565</v>
      </c>
      <c r="H1188" s="3" t="s">
        <v>343</v>
      </c>
      <c r="I1188" s="3" t="s">
        <v>511</v>
      </c>
      <c r="J1188" s="3">
        <v>211</v>
      </c>
      <c r="K1188" s="3">
        <v>900</v>
      </c>
      <c r="L1188" s="3">
        <v>735.5</v>
      </c>
      <c r="M1188" s="3">
        <v>374.5</v>
      </c>
      <c r="N1188" s="3">
        <v>375.5</v>
      </c>
      <c r="O1188" s="70">
        <v>-1</v>
      </c>
      <c r="P1188" s="3">
        <v>0</v>
      </c>
      <c r="Q1188" s="3">
        <v>0</v>
      </c>
      <c r="R1188" s="3">
        <v>1.9932179999999999</v>
      </c>
      <c r="S1188" s="3">
        <v>-1.99</v>
      </c>
      <c r="T1188" s="3">
        <v>746.46</v>
      </c>
      <c r="U1188" s="3">
        <v>748.45</v>
      </c>
      <c r="V1188" s="70" t="s">
        <v>643</v>
      </c>
      <c r="W1188" s="3" t="s">
        <v>800</v>
      </c>
      <c r="X1188" s="3" t="s">
        <v>508</v>
      </c>
      <c r="Y1188" s="3" t="s">
        <v>508</v>
      </c>
    </row>
    <row r="1189" spans="1:25" hidden="1" x14ac:dyDescent="0.2">
      <c r="A1189" s="83" t="str">
        <f t="shared" si="18"/>
        <v>郑州瀚海海尚鸿运热辣鸡排135-150</v>
      </c>
      <c r="B1189" s="3" t="s">
        <v>706</v>
      </c>
      <c r="C1189" s="3">
        <v>44377</v>
      </c>
      <c r="D1189" s="3" t="s">
        <v>564</v>
      </c>
      <c r="E1189" s="3" t="s">
        <v>508</v>
      </c>
      <c r="F1189" s="3" t="s">
        <v>508</v>
      </c>
      <c r="G1189" s="70" t="s">
        <v>565</v>
      </c>
      <c r="H1189" s="3" t="s">
        <v>343</v>
      </c>
      <c r="I1189" s="3" t="s">
        <v>511</v>
      </c>
      <c r="J1189" s="3">
        <v>321</v>
      </c>
      <c r="K1189" s="3">
        <v>800</v>
      </c>
      <c r="L1189" s="3">
        <v>986.7</v>
      </c>
      <c r="M1189" s="3">
        <v>120</v>
      </c>
      <c r="N1189" s="3">
        <v>134.30000000000001</v>
      </c>
      <c r="O1189" s="70">
        <v>-14.3</v>
      </c>
      <c r="P1189" s="3">
        <v>0</v>
      </c>
      <c r="Q1189" s="3">
        <v>0</v>
      </c>
      <c r="R1189" s="3">
        <v>1.9971669999999999</v>
      </c>
      <c r="S1189" s="3">
        <v>-28.56</v>
      </c>
      <c r="T1189" s="3">
        <v>239.66</v>
      </c>
      <c r="U1189" s="3">
        <v>268.22000000000003</v>
      </c>
      <c r="V1189" s="70" t="s">
        <v>333</v>
      </c>
      <c r="W1189" s="3" t="s">
        <v>802</v>
      </c>
      <c r="X1189" s="3" t="s">
        <v>508</v>
      </c>
      <c r="Y1189" s="3" t="s">
        <v>508</v>
      </c>
    </row>
    <row r="1190" spans="1:25" hidden="1" x14ac:dyDescent="0.2">
      <c r="A1190" s="83" t="str">
        <f t="shared" si="18"/>
        <v>方城锦城国际鸿运热辣鸡排135-150</v>
      </c>
      <c r="B1190" s="3" t="s">
        <v>712</v>
      </c>
      <c r="C1190" s="3">
        <v>44377</v>
      </c>
      <c r="D1190" s="3" t="s">
        <v>564</v>
      </c>
      <c r="E1190" s="3" t="s">
        <v>508</v>
      </c>
      <c r="F1190" s="3" t="s">
        <v>508</v>
      </c>
      <c r="G1190" s="70" t="s">
        <v>565</v>
      </c>
      <c r="H1190" s="3" t="s">
        <v>343</v>
      </c>
      <c r="I1190" s="3" t="s">
        <v>511</v>
      </c>
      <c r="J1190" s="3">
        <v>344</v>
      </c>
      <c r="K1190" s="3">
        <v>1500</v>
      </c>
      <c r="L1190" s="3">
        <v>1548.4</v>
      </c>
      <c r="M1190" s="3">
        <v>295</v>
      </c>
      <c r="N1190" s="3">
        <v>295.60000000000002</v>
      </c>
      <c r="O1190" s="70">
        <v>-0.6</v>
      </c>
      <c r="P1190" s="3">
        <v>0</v>
      </c>
      <c r="Q1190" s="3">
        <v>0</v>
      </c>
      <c r="R1190" s="3">
        <v>1.9929490000000001</v>
      </c>
      <c r="S1190" s="3">
        <v>-1.2</v>
      </c>
      <c r="T1190" s="3">
        <v>587.91999999999996</v>
      </c>
      <c r="U1190" s="3">
        <v>589.12</v>
      </c>
      <c r="V1190" s="70" t="s">
        <v>594</v>
      </c>
      <c r="W1190" s="3" t="s">
        <v>343</v>
      </c>
      <c r="X1190" s="3" t="s">
        <v>508</v>
      </c>
      <c r="Y1190" s="3" t="s">
        <v>508</v>
      </c>
    </row>
    <row r="1191" spans="1:25" hidden="1" x14ac:dyDescent="0.2">
      <c r="A1191" s="83" t="str">
        <f t="shared" si="18"/>
        <v>清丰凤鸣鸿运热辣鸡排135-150</v>
      </c>
      <c r="B1191" s="3" t="s">
        <v>713</v>
      </c>
      <c r="C1191" s="3">
        <v>44377</v>
      </c>
      <c r="D1191" s="3" t="s">
        <v>564</v>
      </c>
      <c r="E1191" s="3" t="s">
        <v>508</v>
      </c>
      <c r="F1191" s="3" t="s">
        <v>508</v>
      </c>
      <c r="G1191" s="70" t="s">
        <v>565</v>
      </c>
      <c r="H1191" s="3" t="s">
        <v>343</v>
      </c>
      <c r="I1191" s="3" t="s">
        <v>511</v>
      </c>
      <c r="J1191" s="3">
        <v>129</v>
      </c>
      <c r="K1191" s="3">
        <v>500</v>
      </c>
      <c r="L1191" s="3">
        <v>569</v>
      </c>
      <c r="M1191" s="3">
        <v>59</v>
      </c>
      <c r="N1191" s="3">
        <v>60</v>
      </c>
      <c r="O1191" s="70">
        <v>-1</v>
      </c>
      <c r="P1191" s="3">
        <v>0</v>
      </c>
      <c r="Q1191" s="3">
        <v>0</v>
      </c>
      <c r="R1191" s="3">
        <v>1.99339</v>
      </c>
      <c r="S1191" s="3">
        <v>-1.99</v>
      </c>
      <c r="T1191" s="3">
        <v>117.61</v>
      </c>
      <c r="U1191" s="3">
        <v>119.6</v>
      </c>
      <c r="V1191" s="70" t="s">
        <v>334</v>
      </c>
      <c r="W1191" s="3" t="s">
        <v>800</v>
      </c>
      <c r="X1191" s="3" t="s">
        <v>508</v>
      </c>
      <c r="Y1191" s="3" t="s">
        <v>508</v>
      </c>
    </row>
    <row r="1192" spans="1:25" hidden="1" x14ac:dyDescent="0.2">
      <c r="A1192" s="83" t="str">
        <f t="shared" si="18"/>
        <v>郑州裕华鸿运热辣鸡排135-150</v>
      </c>
      <c r="B1192" s="3" t="s">
        <v>711</v>
      </c>
      <c r="C1192" s="3">
        <v>44377</v>
      </c>
      <c r="D1192" s="3" t="s">
        <v>564</v>
      </c>
      <c r="E1192" s="3" t="s">
        <v>508</v>
      </c>
      <c r="F1192" s="3" t="s">
        <v>508</v>
      </c>
      <c r="G1192" s="70" t="s">
        <v>565</v>
      </c>
      <c r="H1192" s="3" t="s">
        <v>343</v>
      </c>
      <c r="I1192" s="3" t="s">
        <v>511</v>
      </c>
      <c r="J1192" s="3">
        <v>491</v>
      </c>
      <c r="K1192" s="3">
        <v>200</v>
      </c>
      <c r="L1192" s="3">
        <v>360.5</v>
      </c>
      <c r="M1192" s="3">
        <v>130</v>
      </c>
      <c r="N1192" s="3">
        <v>330.5</v>
      </c>
      <c r="O1192" s="70">
        <v>-200.5</v>
      </c>
      <c r="P1192" s="3">
        <v>0</v>
      </c>
      <c r="Q1192" s="3">
        <v>0</v>
      </c>
      <c r="R1192" s="3">
        <v>2.0153080000000001</v>
      </c>
      <c r="S1192" s="3">
        <v>-404.07</v>
      </c>
      <c r="T1192" s="3">
        <v>261.99</v>
      </c>
      <c r="U1192" s="3">
        <v>666.06</v>
      </c>
      <c r="V1192" s="70" t="s">
        <v>641</v>
      </c>
      <c r="W1192" s="3" t="s">
        <v>803</v>
      </c>
      <c r="X1192" s="3" t="s">
        <v>508</v>
      </c>
      <c r="Y1192" s="3" t="s">
        <v>508</v>
      </c>
    </row>
    <row r="1193" spans="1:25" hidden="1" x14ac:dyDescent="0.2">
      <c r="A1193" s="83" t="str">
        <f t="shared" si="18"/>
        <v>郑州盛华里鸿运热辣鸡排135-150</v>
      </c>
      <c r="B1193" s="3" t="s">
        <v>709</v>
      </c>
      <c r="C1193" s="3">
        <v>44377</v>
      </c>
      <c r="D1193" s="3" t="s">
        <v>564</v>
      </c>
      <c r="E1193" s="3" t="s">
        <v>508</v>
      </c>
      <c r="F1193" s="3" t="s">
        <v>508</v>
      </c>
      <c r="G1193" s="70" t="s">
        <v>565</v>
      </c>
      <c r="H1193" s="3" t="s">
        <v>343</v>
      </c>
      <c r="I1193" s="3" t="s">
        <v>511</v>
      </c>
      <c r="J1193" s="3">
        <v>111</v>
      </c>
      <c r="K1193" s="3">
        <v>520</v>
      </c>
      <c r="L1193" s="3">
        <v>498</v>
      </c>
      <c r="M1193" s="3">
        <v>130</v>
      </c>
      <c r="N1193" s="3">
        <v>133</v>
      </c>
      <c r="O1193" s="70">
        <v>-3</v>
      </c>
      <c r="P1193" s="3">
        <v>0</v>
      </c>
      <c r="Q1193" s="3">
        <v>0</v>
      </c>
      <c r="R1193" s="3">
        <v>2.0188459999999999</v>
      </c>
      <c r="S1193" s="3">
        <v>-6.06</v>
      </c>
      <c r="T1193" s="3">
        <v>262.45</v>
      </c>
      <c r="U1193" s="3">
        <v>268.51</v>
      </c>
      <c r="V1193" s="70" t="s">
        <v>637</v>
      </c>
      <c r="W1193" s="3" t="s">
        <v>804</v>
      </c>
      <c r="X1193" s="3" t="s">
        <v>508</v>
      </c>
      <c r="Y1193" s="3" t="s">
        <v>508</v>
      </c>
    </row>
    <row r="1194" spans="1:25" hidden="1" x14ac:dyDescent="0.2">
      <c r="A1194" s="83" t="str">
        <f t="shared" si="18"/>
        <v>滑县滑台鸿运热辣鸡排135-150</v>
      </c>
      <c r="B1194" s="3" t="s">
        <v>710</v>
      </c>
      <c r="C1194" s="3">
        <v>44377</v>
      </c>
      <c r="D1194" s="3" t="s">
        <v>564</v>
      </c>
      <c r="E1194" s="3" t="s">
        <v>508</v>
      </c>
      <c r="F1194" s="3" t="s">
        <v>508</v>
      </c>
      <c r="G1194" s="70" t="s">
        <v>565</v>
      </c>
      <c r="H1194" s="3" t="s">
        <v>343</v>
      </c>
      <c r="I1194" s="3" t="s">
        <v>511</v>
      </c>
      <c r="J1194" s="3">
        <v>290</v>
      </c>
      <c r="K1194" s="3">
        <v>1200</v>
      </c>
      <c r="L1194" s="3">
        <v>1180.2</v>
      </c>
      <c r="M1194" s="3">
        <v>307</v>
      </c>
      <c r="N1194" s="3">
        <v>309.8</v>
      </c>
      <c r="O1194" s="70">
        <v>-2.8</v>
      </c>
      <c r="P1194" s="3">
        <v>0</v>
      </c>
      <c r="Q1194" s="3">
        <v>0</v>
      </c>
      <c r="R1194" s="3">
        <v>1.9935499999999999</v>
      </c>
      <c r="S1194" s="3">
        <v>-5.58</v>
      </c>
      <c r="T1194" s="3">
        <v>612.02</v>
      </c>
      <c r="U1194" s="3">
        <v>617.6</v>
      </c>
      <c r="V1194" s="70" t="s">
        <v>639</v>
      </c>
      <c r="W1194" s="3" t="s">
        <v>343</v>
      </c>
      <c r="X1194" s="3" t="s">
        <v>508</v>
      </c>
      <c r="Y1194" s="3" t="s">
        <v>508</v>
      </c>
    </row>
    <row r="1195" spans="1:25" hidden="1" x14ac:dyDescent="0.2">
      <c r="A1195" s="83" t="str">
        <f t="shared" si="18"/>
        <v>郑州盛华里台式鸡排（原材料）</v>
      </c>
      <c r="B1195" s="3" t="s">
        <v>709</v>
      </c>
      <c r="C1195" s="3">
        <v>44377</v>
      </c>
      <c r="D1195" s="3" t="s">
        <v>566</v>
      </c>
      <c r="E1195" s="3" t="s">
        <v>508</v>
      </c>
      <c r="F1195" s="3" t="s">
        <v>508</v>
      </c>
      <c r="G1195" s="70" t="s">
        <v>567</v>
      </c>
      <c r="H1195" s="3" t="s">
        <v>343</v>
      </c>
      <c r="I1195" s="3" t="s">
        <v>511</v>
      </c>
      <c r="J1195" s="3">
        <v>0</v>
      </c>
      <c r="K1195" s="3">
        <v>0</v>
      </c>
      <c r="L1195" s="3">
        <v>2</v>
      </c>
      <c r="M1195" s="3">
        <v>0</v>
      </c>
      <c r="N1195" s="3">
        <v>-2</v>
      </c>
      <c r="O1195" s="70">
        <v>2</v>
      </c>
      <c r="P1195" s="3">
        <v>0</v>
      </c>
      <c r="Q1195" s="3">
        <v>0</v>
      </c>
      <c r="R1195" s="3">
        <v>1.98</v>
      </c>
      <c r="S1195" s="3">
        <v>3.96</v>
      </c>
      <c r="T1195" s="3">
        <v>0</v>
      </c>
      <c r="U1195" s="3">
        <v>-3.96</v>
      </c>
      <c r="V1195" s="70" t="s">
        <v>637</v>
      </c>
      <c r="W1195" s="3" t="s">
        <v>672</v>
      </c>
      <c r="X1195" s="3" t="s">
        <v>508</v>
      </c>
      <c r="Y1195" s="3" t="s">
        <v>508</v>
      </c>
    </row>
    <row r="1196" spans="1:25" hidden="1" x14ac:dyDescent="0.2">
      <c r="A1196" s="83" t="str">
        <f t="shared" si="18"/>
        <v>郑州西悦城台式鸡排（原材料）</v>
      </c>
      <c r="B1196" s="3" t="s">
        <v>708</v>
      </c>
      <c r="C1196" s="3">
        <v>44377</v>
      </c>
      <c r="D1196" s="3" t="s">
        <v>566</v>
      </c>
      <c r="E1196" s="3" t="s">
        <v>508</v>
      </c>
      <c r="F1196" s="3" t="s">
        <v>508</v>
      </c>
      <c r="G1196" s="70" t="s">
        <v>567</v>
      </c>
      <c r="H1196" s="3" t="s">
        <v>343</v>
      </c>
      <c r="I1196" s="3" t="s">
        <v>511</v>
      </c>
      <c r="J1196" s="3">
        <v>0</v>
      </c>
      <c r="K1196" s="3">
        <v>0</v>
      </c>
      <c r="L1196" s="3">
        <v>1</v>
      </c>
      <c r="M1196" s="3">
        <v>0</v>
      </c>
      <c r="N1196" s="3">
        <v>-1</v>
      </c>
      <c r="O1196" s="70">
        <v>1</v>
      </c>
      <c r="P1196" s="3">
        <v>0</v>
      </c>
      <c r="Q1196" s="3">
        <v>0</v>
      </c>
      <c r="R1196" s="3">
        <v>1.98</v>
      </c>
      <c r="S1196" s="3">
        <v>1.98</v>
      </c>
      <c r="T1196" s="3">
        <v>0</v>
      </c>
      <c r="U1196" s="3">
        <v>-1.98</v>
      </c>
      <c r="V1196" s="70" t="s">
        <v>332</v>
      </c>
      <c r="W1196" s="3" t="s">
        <v>343</v>
      </c>
      <c r="X1196" s="3" t="s">
        <v>508</v>
      </c>
      <c r="Y1196" s="3" t="s">
        <v>508</v>
      </c>
    </row>
    <row r="1197" spans="1:25" hidden="1" x14ac:dyDescent="0.2">
      <c r="A1197" s="83" t="str">
        <f t="shared" si="18"/>
        <v>郑州政六街台式鸡排（原材料）</v>
      </c>
      <c r="B1197" s="3" t="s">
        <v>714</v>
      </c>
      <c r="C1197" s="3">
        <v>44377</v>
      </c>
      <c r="D1197" s="3" t="s">
        <v>566</v>
      </c>
      <c r="E1197" s="3" t="s">
        <v>508</v>
      </c>
      <c r="F1197" s="3" t="s">
        <v>508</v>
      </c>
      <c r="G1197" s="70" t="s">
        <v>567</v>
      </c>
      <c r="H1197" s="3" t="s">
        <v>343</v>
      </c>
      <c r="I1197" s="3" t="s">
        <v>511</v>
      </c>
      <c r="J1197" s="3">
        <v>0</v>
      </c>
      <c r="K1197" s="3">
        <v>0</v>
      </c>
      <c r="L1197" s="3">
        <v>24</v>
      </c>
      <c r="M1197" s="3">
        <v>0</v>
      </c>
      <c r="N1197" s="3">
        <v>-24</v>
      </c>
      <c r="O1197" s="70">
        <v>24</v>
      </c>
      <c r="P1197" s="3">
        <v>0</v>
      </c>
      <c r="Q1197" s="3">
        <v>0</v>
      </c>
      <c r="R1197" s="3">
        <v>1.98</v>
      </c>
      <c r="S1197" s="3">
        <v>47.52</v>
      </c>
      <c r="T1197" s="3">
        <v>0</v>
      </c>
      <c r="U1197" s="3">
        <v>-47.52</v>
      </c>
      <c r="V1197" s="70" t="s">
        <v>591</v>
      </c>
      <c r="W1197" s="3" t="s">
        <v>805</v>
      </c>
      <c r="X1197" s="3" t="s">
        <v>508</v>
      </c>
      <c r="Y1197" s="3" t="s">
        <v>508</v>
      </c>
    </row>
    <row r="1198" spans="1:25" hidden="1" x14ac:dyDescent="0.2">
      <c r="A1198" s="83" t="str">
        <f t="shared" si="18"/>
        <v>郑州政六街六块鸡（分块）</v>
      </c>
      <c r="B1198" s="3" t="s">
        <v>714</v>
      </c>
      <c r="C1198" s="3">
        <v>44377</v>
      </c>
      <c r="D1198" s="3" t="s">
        <v>568</v>
      </c>
      <c r="E1198" s="3" t="s">
        <v>508</v>
      </c>
      <c r="F1198" s="3" t="s">
        <v>508</v>
      </c>
      <c r="G1198" s="70" t="s">
        <v>569</v>
      </c>
      <c r="H1198" s="3" t="s">
        <v>441</v>
      </c>
      <c r="I1198" s="3" t="s">
        <v>570</v>
      </c>
      <c r="J1198" s="3">
        <v>78</v>
      </c>
      <c r="K1198" s="3">
        <v>96</v>
      </c>
      <c r="L1198" s="3">
        <v>31</v>
      </c>
      <c r="M1198" s="3">
        <v>0</v>
      </c>
      <c r="N1198" s="3">
        <v>143</v>
      </c>
      <c r="O1198" s="70">
        <v>-143</v>
      </c>
      <c r="P1198" s="3">
        <v>0</v>
      </c>
      <c r="Q1198" s="3">
        <v>0</v>
      </c>
      <c r="R1198" s="3">
        <v>1.614368</v>
      </c>
      <c r="S1198" s="3">
        <v>-230.85</v>
      </c>
      <c r="T1198" s="3">
        <v>0</v>
      </c>
      <c r="U1198" s="3">
        <v>230.85</v>
      </c>
      <c r="V1198" s="70" t="s">
        <v>591</v>
      </c>
      <c r="W1198" s="3" t="s">
        <v>806</v>
      </c>
      <c r="X1198" s="3" t="s">
        <v>508</v>
      </c>
      <c r="Y1198" s="3" t="s">
        <v>508</v>
      </c>
    </row>
    <row r="1199" spans="1:25" hidden="1" x14ac:dyDescent="0.2">
      <c r="A1199" s="83" t="str">
        <f t="shared" si="18"/>
        <v>郑州铁英街六块鸡（分块）</v>
      </c>
      <c r="B1199" s="3" t="s">
        <v>707</v>
      </c>
      <c r="C1199" s="3">
        <v>44377</v>
      </c>
      <c r="D1199" s="3" t="s">
        <v>568</v>
      </c>
      <c r="E1199" s="3" t="s">
        <v>508</v>
      </c>
      <c r="F1199" s="3" t="s">
        <v>508</v>
      </c>
      <c r="G1199" s="70" t="s">
        <v>569</v>
      </c>
      <c r="H1199" s="3" t="s">
        <v>441</v>
      </c>
      <c r="I1199" s="3" t="s">
        <v>570</v>
      </c>
      <c r="J1199" s="3">
        <v>96</v>
      </c>
      <c r="K1199" s="3">
        <v>0</v>
      </c>
      <c r="L1199" s="3">
        <v>54</v>
      </c>
      <c r="M1199" s="3">
        <v>42</v>
      </c>
      <c r="N1199" s="3">
        <v>42</v>
      </c>
      <c r="O1199" s="70">
        <v>0</v>
      </c>
      <c r="P1199" s="3">
        <v>0</v>
      </c>
      <c r="Q1199" s="3">
        <v>0</v>
      </c>
      <c r="R1199" s="3">
        <v>1.630952</v>
      </c>
      <c r="S1199" s="3">
        <v>0</v>
      </c>
      <c r="T1199" s="3">
        <v>68.5</v>
      </c>
      <c r="U1199" s="3">
        <v>68.5</v>
      </c>
      <c r="V1199" s="70" t="s">
        <v>592</v>
      </c>
      <c r="W1199" s="3" t="s">
        <v>343</v>
      </c>
      <c r="X1199" s="3" t="s">
        <v>508</v>
      </c>
      <c r="Y1199" s="3" t="s">
        <v>508</v>
      </c>
    </row>
    <row r="1200" spans="1:25" hidden="1" x14ac:dyDescent="0.2">
      <c r="A1200" s="83" t="str">
        <f t="shared" si="18"/>
        <v>郑州西悦城六块鸡（分块）</v>
      </c>
      <c r="B1200" s="3" t="s">
        <v>708</v>
      </c>
      <c r="C1200" s="3">
        <v>44377</v>
      </c>
      <c r="D1200" s="3" t="s">
        <v>568</v>
      </c>
      <c r="E1200" s="3" t="s">
        <v>508</v>
      </c>
      <c r="F1200" s="3" t="s">
        <v>508</v>
      </c>
      <c r="G1200" s="70" t="s">
        <v>569</v>
      </c>
      <c r="H1200" s="3" t="s">
        <v>441</v>
      </c>
      <c r="I1200" s="3" t="s">
        <v>570</v>
      </c>
      <c r="J1200" s="3">
        <v>29</v>
      </c>
      <c r="K1200" s="3">
        <v>192</v>
      </c>
      <c r="L1200" s="3">
        <v>109</v>
      </c>
      <c r="M1200" s="3">
        <v>112</v>
      </c>
      <c r="N1200" s="3">
        <v>112</v>
      </c>
      <c r="O1200" s="70">
        <v>0</v>
      </c>
      <c r="P1200" s="3">
        <v>0</v>
      </c>
      <c r="Q1200" s="3">
        <v>0</v>
      </c>
      <c r="R1200" s="3">
        <v>1.590357</v>
      </c>
      <c r="S1200" s="3">
        <v>0</v>
      </c>
      <c r="T1200" s="3">
        <v>178.12</v>
      </c>
      <c r="U1200" s="3">
        <v>178.12</v>
      </c>
      <c r="V1200" s="70" t="s">
        <v>332</v>
      </c>
      <c r="W1200" s="3" t="s">
        <v>343</v>
      </c>
      <c r="X1200" s="3" t="s">
        <v>508</v>
      </c>
      <c r="Y1200" s="3" t="s">
        <v>508</v>
      </c>
    </row>
    <row r="1201" spans="1:25" hidden="1" x14ac:dyDescent="0.2">
      <c r="A1201" s="83" t="str">
        <f t="shared" si="18"/>
        <v>郑州瀚海海尚六块鸡（分块）</v>
      </c>
      <c r="B1201" s="3" t="s">
        <v>706</v>
      </c>
      <c r="C1201" s="3">
        <v>44377</v>
      </c>
      <c r="D1201" s="3" t="s">
        <v>568</v>
      </c>
      <c r="E1201" s="3" t="s">
        <v>508</v>
      </c>
      <c r="F1201" s="3" t="s">
        <v>508</v>
      </c>
      <c r="G1201" s="70" t="s">
        <v>569</v>
      </c>
      <c r="H1201" s="3" t="s">
        <v>441</v>
      </c>
      <c r="I1201" s="3" t="s">
        <v>570</v>
      </c>
      <c r="J1201" s="3">
        <v>18</v>
      </c>
      <c r="K1201" s="3">
        <v>96</v>
      </c>
      <c r="L1201" s="3">
        <v>30</v>
      </c>
      <c r="M1201" s="3">
        <v>72</v>
      </c>
      <c r="N1201" s="3">
        <v>84</v>
      </c>
      <c r="O1201" s="70">
        <v>-12</v>
      </c>
      <c r="P1201" s="3">
        <v>0</v>
      </c>
      <c r="Q1201" s="3">
        <v>0</v>
      </c>
      <c r="R1201" s="3">
        <v>1.591944</v>
      </c>
      <c r="S1201" s="3">
        <v>-19.100000000000001</v>
      </c>
      <c r="T1201" s="3">
        <v>114.62</v>
      </c>
      <c r="U1201" s="3">
        <v>133.72</v>
      </c>
      <c r="V1201" s="70" t="s">
        <v>333</v>
      </c>
      <c r="W1201" s="3" t="s">
        <v>671</v>
      </c>
      <c r="X1201" s="3" t="s">
        <v>508</v>
      </c>
      <c r="Y1201" s="3" t="s">
        <v>508</v>
      </c>
    </row>
    <row r="1202" spans="1:25" hidden="1" x14ac:dyDescent="0.2">
      <c r="A1202" s="83" t="str">
        <f t="shared" si="18"/>
        <v>华山龙源六块鸡（分块）</v>
      </c>
      <c r="B1202" s="3" t="s">
        <v>705</v>
      </c>
      <c r="C1202" s="3">
        <v>44377</v>
      </c>
      <c r="D1202" s="3" t="s">
        <v>568</v>
      </c>
      <c r="E1202" s="3" t="s">
        <v>508</v>
      </c>
      <c r="F1202" s="3" t="s">
        <v>508</v>
      </c>
      <c r="G1202" s="70" t="s">
        <v>569</v>
      </c>
      <c r="H1202" s="3" t="s">
        <v>441</v>
      </c>
      <c r="I1202" s="3" t="s">
        <v>570</v>
      </c>
      <c r="J1202" s="3">
        <v>0</v>
      </c>
      <c r="K1202" s="3">
        <v>0</v>
      </c>
      <c r="L1202" s="3">
        <v>6</v>
      </c>
      <c r="M1202" s="3">
        <v>0</v>
      </c>
      <c r="N1202" s="3">
        <v>-6</v>
      </c>
      <c r="O1202" s="70">
        <v>6</v>
      </c>
      <c r="P1202" s="3">
        <v>0</v>
      </c>
      <c r="Q1202" s="3">
        <v>0</v>
      </c>
      <c r="R1202" s="3">
        <v>1.435665</v>
      </c>
      <c r="S1202" s="3">
        <v>8.61</v>
      </c>
      <c r="T1202" s="3">
        <v>0</v>
      </c>
      <c r="U1202" s="3">
        <v>-8.61</v>
      </c>
      <c r="V1202" s="70" t="s">
        <v>643</v>
      </c>
      <c r="W1202" s="3" t="s">
        <v>807</v>
      </c>
      <c r="X1202" s="3" t="s">
        <v>508</v>
      </c>
      <c r="Y1202" s="3" t="s">
        <v>508</v>
      </c>
    </row>
    <row r="1203" spans="1:25" hidden="1" x14ac:dyDescent="0.2">
      <c r="A1203" s="83" t="str">
        <f t="shared" si="18"/>
        <v>郑州康复中街六块鸡（分块）</v>
      </c>
      <c r="B1203" s="3" t="s">
        <v>704</v>
      </c>
      <c r="C1203" s="3">
        <v>44377</v>
      </c>
      <c r="D1203" s="3" t="s">
        <v>568</v>
      </c>
      <c r="E1203" s="3" t="s">
        <v>508</v>
      </c>
      <c r="F1203" s="3" t="s">
        <v>508</v>
      </c>
      <c r="G1203" s="70" t="s">
        <v>569</v>
      </c>
      <c r="H1203" s="3" t="s">
        <v>441</v>
      </c>
      <c r="I1203" s="3" t="s">
        <v>570</v>
      </c>
      <c r="J1203" s="3">
        <v>81</v>
      </c>
      <c r="K1203" s="3">
        <v>96</v>
      </c>
      <c r="L1203" s="3">
        <v>84</v>
      </c>
      <c r="M1203" s="3">
        <v>0</v>
      </c>
      <c r="N1203" s="3">
        <v>93</v>
      </c>
      <c r="O1203" s="70">
        <v>-93</v>
      </c>
      <c r="P1203" s="3">
        <v>0</v>
      </c>
      <c r="Q1203" s="3">
        <v>0</v>
      </c>
      <c r="R1203" s="3">
        <v>1.603785</v>
      </c>
      <c r="S1203" s="3">
        <v>-149.15</v>
      </c>
      <c r="T1203" s="3">
        <v>0</v>
      </c>
      <c r="U1203" s="3">
        <v>149.15</v>
      </c>
      <c r="V1203" s="70" t="s">
        <v>593</v>
      </c>
      <c r="W1203" s="3" t="s">
        <v>808</v>
      </c>
      <c r="X1203" s="3" t="s">
        <v>508</v>
      </c>
      <c r="Y1203" s="3" t="s">
        <v>508</v>
      </c>
    </row>
    <row r="1204" spans="1:25" hidden="1" x14ac:dyDescent="0.2">
      <c r="A1204" s="83" t="str">
        <f t="shared" si="18"/>
        <v>新蔡水韵天街六块鸡（分块）</v>
      </c>
      <c r="B1204" s="3" t="s">
        <v>703</v>
      </c>
      <c r="C1204" s="3">
        <v>44377</v>
      </c>
      <c r="D1204" s="3" t="s">
        <v>568</v>
      </c>
      <c r="E1204" s="3" t="s">
        <v>508</v>
      </c>
      <c r="F1204" s="3" t="s">
        <v>508</v>
      </c>
      <c r="G1204" s="70" t="s">
        <v>569</v>
      </c>
      <c r="H1204" s="3" t="s">
        <v>441</v>
      </c>
      <c r="I1204" s="3" t="s">
        <v>570</v>
      </c>
      <c r="J1204" s="3">
        <v>139</v>
      </c>
      <c r="K1204" s="3">
        <v>192</v>
      </c>
      <c r="L1204" s="3">
        <v>146</v>
      </c>
      <c r="M1204" s="3">
        <v>32</v>
      </c>
      <c r="N1204" s="3">
        <v>185</v>
      </c>
      <c r="O1204" s="70">
        <v>-153</v>
      </c>
      <c r="P1204" s="3">
        <v>0</v>
      </c>
      <c r="Q1204" s="3">
        <v>0</v>
      </c>
      <c r="R1204" s="3">
        <v>1.5874999999999999</v>
      </c>
      <c r="S1204" s="3">
        <v>-242.89</v>
      </c>
      <c r="T1204" s="3">
        <v>50.8</v>
      </c>
      <c r="U1204" s="3">
        <v>293.69</v>
      </c>
      <c r="V1204" s="70" t="s">
        <v>335</v>
      </c>
      <c r="W1204" s="3" t="s">
        <v>809</v>
      </c>
      <c r="X1204" s="3" t="s">
        <v>508</v>
      </c>
      <c r="Y1204" s="3" t="s">
        <v>508</v>
      </c>
    </row>
    <row r="1205" spans="1:25" hidden="1" x14ac:dyDescent="0.2">
      <c r="A1205" s="83" t="str">
        <f t="shared" si="18"/>
        <v>郑州盛华里六块鸡（分块）</v>
      </c>
      <c r="B1205" s="3" t="s">
        <v>709</v>
      </c>
      <c r="C1205" s="3">
        <v>44377</v>
      </c>
      <c r="D1205" s="3" t="s">
        <v>568</v>
      </c>
      <c r="E1205" s="3" t="s">
        <v>508</v>
      </c>
      <c r="F1205" s="3" t="s">
        <v>508</v>
      </c>
      <c r="G1205" s="70" t="s">
        <v>569</v>
      </c>
      <c r="H1205" s="3" t="s">
        <v>441</v>
      </c>
      <c r="I1205" s="3" t="s">
        <v>570</v>
      </c>
      <c r="J1205" s="3">
        <v>55</v>
      </c>
      <c r="K1205" s="3">
        <v>0</v>
      </c>
      <c r="L1205" s="3">
        <v>23</v>
      </c>
      <c r="M1205" s="3">
        <v>32</v>
      </c>
      <c r="N1205" s="3">
        <v>32</v>
      </c>
      <c r="O1205" s="70">
        <v>0</v>
      </c>
      <c r="P1205" s="3">
        <v>0</v>
      </c>
      <c r="Q1205" s="3">
        <v>0</v>
      </c>
      <c r="R1205" s="3">
        <v>1.6331249999999999</v>
      </c>
      <c r="S1205" s="3">
        <v>0</v>
      </c>
      <c r="T1205" s="3">
        <v>52.26</v>
      </c>
      <c r="U1205" s="3">
        <v>52.26</v>
      </c>
      <c r="V1205" s="70" t="s">
        <v>637</v>
      </c>
      <c r="W1205" s="3" t="s">
        <v>343</v>
      </c>
      <c r="X1205" s="3" t="s">
        <v>508</v>
      </c>
      <c r="Y1205" s="3" t="s">
        <v>508</v>
      </c>
    </row>
    <row r="1206" spans="1:25" hidden="1" x14ac:dyDescent="0.2">
      <c r="A1206" s="83" t="str">
        <f t="shared" si="18"/>
        <v>滑县滑台六块鸡（分块）</v>
      </c>
      <c r="B1206" s="3" t="s">
        <v>710</v>
      </c>
      <c r="C1206" s="3">
        <v>44377</v>
      </c>
      <c r="D1206" s="3" t="s">
        <v>568</v>
      </c>
      <c r="E1206" s="3" t="s">
        <v>508</v>
      </c>
      <c r="F1206" s="3" t="s">
        <v>508</v>
      </c>
      <c r="G1206" s="70" t="s">
        <v>569</v>
      </c>
      <c r="H1206" s="3" t="s">
        <v>441</v>
      </c>
      <c r="I1206" s="3" t="s">
        <v>570</v>
      </c>
      <c r="J1206" s="3">
        <v>39</v>
      </c>
      <c r="K1206" s="3">
        <v>96</v>
      </c>
      <c r="L1206" s="3">
        <v>36</v>
      </c>
      <c r="M1206" s="3">
        <v>0</v>
      </c>
      <c r="N1206" s="3">
        <v>99</v>
      </c>
      <c r="O1206" s="70">
        <v>-99</v>
      </c>
      <c r="P1206" s="3">
        <v>0</v>
      </c>
      <c r="Q1206" s="3">
        <v>0</v>
      </c>
      <c r="R1206" s="3">
        <v>1.591037</v>
      </c>
      <c r="S1206" s="3">
        <v>-157.51</v>
      </c>
      <c r="T1206" s="3">
        <v>0</v>
      </c>
      <c r="U1206" s="3">
        <v>157.51</v>
      </c>
      <c r="V1206" s="70" t="s">
        <v>639</v>
      </c>
      <c r="W1206" s="3" t="s">
        <v>810</v>
      </c>
      <c r="X1206" s="3" t="s">
        <v>508</v>
      </c>
      <c r="Y1206" s="3" t="s">
        <v>508</v>
      </c>
    </row>
    <row r="1207" spans="1:25" hidden="1" x14ac:dyDescent="0.2">
      <c r="A1207" s="83" t="str">
        <f t="shared" si="18"/>
        <v>郑州裕华六块鸡（分块）</v>
      </c>
      <c r="B1207" s="3" t="s">
        <v>711</v>
      </c>
      <c r="C1207" s="3">
        <v>44377</v>
      </c>
      <c r="D1207" s="3" t="s">
        <v>568</v>
      </c>
      <c r="E1207" s="3" t="s">
        <v>508</v>
      </c>
      <c r="F1207" s="3" t="s">
        <v>508</v>
      </c>
      <c r="G1207" s="70" t="s">
        <v>569</v>
      </c>
      <c r="H1207" s="3" t="s">
        <v>441</v>
      </c>
      <c r="I1207" s="3" t="s">
        <v>570</v>
      </c>
      <c r="J1207" s="3">
        <v>73</v>
      </c>
      <c r="K1207" s="3">
        <v>0</v>
      </c>
      <c r="L1207" s="3">
        <v>45</v>
      </c>
      <c r="M1207" s="3">
        <v>0</v>
      </c>
      <c r="N1207" s="3">
        <v>28</v>
      </c>
      <c r="O1207" s="70">
        <v>-28</v>
      </c>
      <c r="P1207" s="3">
        <v>0</v>
      </c>
      <c r="Q1207" s="3">
        <v>0</v>
      </c>
      <c r="R1207" s="3">
        <v>1.6128769999999999</v>
      </c>
      <c r="S1207" s="3">
        <v>-45.16</v>
      </c>
      <c r="T1207" s="3">
        <v>0</v>
      </c>
      <c r="U1207" s="3">
        <v>45.16</v>
      </c>
      <c r="V1207" s="70" t="s">
        <v>641</v>
      </c>
      <c r="W1207" s="3" t="s">
        <v>343</v>
      </c>
      <c r="X1207" s="3" t="s">
        <v>508</v>
      </c>
      <c r="Y1207" s="3" t="s">
        <v>508</v>
      </c>
    </row>
    <row r="1208" spans="1:25" hidden="1" x14ac:dyDescent="0.2">
      <c r="A1208" s="83" t="str">
        <f t="shared" si="18"/>
        <v>清丰凤鸣六块鸡（分块）</v>
      </c>
      <c r="B1208" s="3" t="s">
        <v>713</v>
      </c>
      <c r="C1208" s="3">
        <v>44377</v>
      </c>
      <c r="D1208" s="3" t="s">
        <v>568</v>
      </c>
      <c r="E1208" s="3" t="s">
        <v>508</v>
      </c>
      <c r="F1208" s="3" t="s">
        <v>508</v>
      </c>
      <c r="G1208" s="70" t="s">
        <v>569</v>
      </c>
      <c r="H1208" s="3" t="s">
        <v>441</v>
      </c>
      <c r="I1208" s="3" t="s">
        <v>570</v>
      </c>
      <c r="J1208" s="3">
        <v>0</v>
      </c>
      <c r="K1208" s="3">
        <v>0</v>
      </c>
      <c r="L1208" s="3">
        <v>3</v>
      </c>
      <c r="M1208" s="3">
        <v>0</v>
      </c>
      <c r="N1208" s="3">
        <v>-3</v>
      </c>
      <c r="O1208" s="70">
        <v>3</v>
      </c>
      <c r="P1208" s="3">
        <v>0</v>
      </c>
      <c r="Q1208" s="3">
        <v>0</v>
      </c>
      <c r="R1208" s="3">
        <v>1.435665</v>
      </c>
      <c r="S1208" s="3">
        <v>4.3099999999999996</v>
      </c>
      <c r="T1208" s="3">
        <v>0</v>
      </c>
      <c r="U1208" s="3">
        <v>-4.3099999999999996</v>
      </c>
      <c r="V1208" s="70" t="s">
        <v>334</v>
      </c>
      <c r="W1208" s="3" t="s">
        <v>343</v>
      </c>
      <c r="X1208" s="3" t="s">
        <v>508</v>
      </c>
      <c r="Y1208" s="3" t="s">
        <v>508</v>
      </c>
    </row>
    <row r="1209" spans="1:25" hidden="1" x14ac:dyDescent="0.2">
      <c r="A1209" s="83" t="str">
        <f t="shared" si="18"/>
        <v>方城锦城国际六块鸡（分块）</v>
      </c>
      <c r="B1209" s="3" t="s">
        <v>712</v>
      </c>
      <c r="C1209" s="3">
        <v>44377</v>
      </c>
      <c r="D1209" s="3" t="s">
        <v>568</v>
      </c>
      <c r="E1209" s="3" t="s">
        <v>508</v>
      </c>
      <c r="F1209" s="3" t="s">
        <v>508</v>
      </c>
      <c r="G1209" s="70" t="s">
        <v>569</v>
      </c>
      <c r="H1209" s="3" t="s">
        <v>441</v>
      </c>
      <c r="I1209" s="3" t="s">
        <v>570</v>
      </c>
      <c r="J1209" s="3">
        <v>58</v>
      </c>
      <c r="K1209" s="3">
        <v>288</v>
      </c>
      <c r="L1209" s="3">
        <v>33</v>
      </c>
      <c r="M1209" s="3">
        <v>7</v>
      </c>
      <c r="N1209" s="3">
        <v>313</v>
      </c>
      <c r="O1209" s="70">
        <v>-306</v>
      </c>
      <c r="P1209" s="3">
        <v>0</v>
      </c>
      <c r="Q1209" s="3">
        <v>0</v>
      </c>
      <c r="R1209" s="3">
        <v>1.59</v>
      </c>
      <c r="S1209" s="3">
        <v>-486.54</v>
      </c>
      <c r="T1209" s="3">
        <v>11.13</v>
      </c>
      <c r="U1209" s="3">
        <v>497.67</v>
      </c>
      <c r="V1209" s="70" t="s">
        <v>594</v>
      </c>
      <c r="W1209" s="3" t="s">
        <v>811</v>
      </c>
      <c r="X1209" s="3" t="s">
        <v>508</v>
      </c>
      <c r="Y1209" s="3" t="s">
        <v>508</v>
      </c>
    </row>
    <row r="1210" spans="1:25" hidden="1" x14ac:dyDescent="0.2">
      <c r="A1210" s="83" t="str">
        <f t="shared" si="18"/>
        <v>方城锦城国际带皮腿肉</v>
      </c>
      <c r="B1210" s="3" t="s">
        <v>712</v>
      </c>
      <c r="C1210" s="3">
        <v>44377</v>
      </c>
      <c r="D1210" s="3" t="s">
        <v>571</v>
      </c>
      <c r="E1210" s="3" t="s">
        <v>508</v>
      </c>
      <c r="F1210" s="3" t="s">
        <v>508</v>
      </c>
      <c r="G1210" s="70" t="s">
        <v>572</v>
      </c>
      <c r="H1210" s="3" t="s">
        <v>343</v>
      </c>
      <c r="I1210" s="3" t="s">
        <v>511</v>
      </c>
      <c r="J1210" s="3">
        <v>0</v>
      </c>
      <c r="K1210" s="3">
        <v>0</v>
      </c>
      <c r="L1210" s="3">
        <v>18</v>
      </c>
      <c r="M1210" s="3">
        <v>0</v>
      </c>
      <c r="N1210" s="3">
        <v>-18</v>
      </c>
      <c r="O1210" s="70">
        <v>18</v>
      </c>
      <c r="P1210" s="3">
        <v>0</v>
      </c>
      <c r="Q1210" s="3">
        <v>0</v>
      </c>
      <c r="R1210" s="3">
        <v>1.786</v>
      </c>
      <c r="S1210" s="3">
        <v>32.15</v>
      </c>
      <c r="T1210" s="3">
        <v>0</v>
      </c>
      <c r="U1210" s="3">
        <v>-32.15</v>
      </c>
      <c r="V1210" s="70" t="s">
        <v>594</v>
      </c>
      <c r="W1210" s="3" t="s">
        <v>812</v>
      </c>
      <c r="X1210" s="3" t="s">
        <v>508</v>
      </c>
      <c r="Y1210" s="3" t="s">
        <v>508</v>
      </c>
    </row>
    <row r="1211" spans="1:25" hidden="1" x14ac:dyDescent="0.2">
      <c r="A1211" s="83" t="str">
        <f t="shared" si="18"/>
        <v>清丰凤鸣带皮腿肉</v>
      </c>
      <c r="B1211" s="3" t="s">
        <v>713</v>
      </c>
      <c r="C1211" s="3">
        <v>44377</v>
      </c>
      <c r="D1211" s="3" t="s">
        <v>571</v>
      </c>
      <c r="E1211" s="3" t="s">
        <v>508</v>
      </c>
      <c r="F1211" s="3" t="s">
        <v>508</v>
      </c>
      <c r="G1211" s="70" t="s">
        <v>572</v>
      </c>
      <c r="H1211" s="3" t="s">
        <v>343</v>
      </c>
      <c r="I1211" s="3" t="s">
        <v>511</v>
      </c>
      <c r="J1211" s="3">
        <v>0</v>
      </c>
      <c r="K1211" s="3">
        <v>0</v>
      </c>
      <c r="L1211" s="3">
        <v>4</v>
      </c>
      <c r="M1211" s="3">
        <v>0</v>
      </c>
      <c r="N1211" s="3">
        <v>-4</v>
      </c>
      <c r="O1211" s="70">
        <v>4</v>
      </c>
      <c r="P1211" s="3">
        <v>0</v>
      </c>
      <c r="Q1211" s="3">
        <v>0</v>
      </c>
      <c r="R1211" s="3">
        <v>1.786</v>
      </c>
      <c r="S1211" s="3">
        <v>7.14</v>
      </c>
      <c r="T1211" s="3">
        <v>0</v>
      </c>
      <c r="U1211" s="3">
        <v>-7.14</v>
      </c>
      <c r="V1211" s="70" t="s">
        <v>334</v>
      </c>
      <c r="W1211" s="3" t="s">
        <v>343</v>
      </c>
      <c r="X1211" s="3" t="s">
        <v>508</v>
      </c>
      <c r="Y1211" s="3" t="s">
        <v>508</v>
      </c>
    </row>
    <row r="1212" spans="1:25" hidden="1" x14ac:dyDescent="0.2">
      <c r="A1212" s="83" t="str">
        <f t="shared" si="18"/>
        <v>郑州裕华带皮腿肉</v>
      </c>
      <c r="B1212" s="3" t="s">
        <v>711</v>
      </c>
      <c r="C1212" s="3">
        <v>44377</v>
      </c>
      <c r="D1212" s="3" t="s">
        <v>571</v>
      </c>
      <c r="E1212" s="3" t="s">
        <v>508</v>
      </c>
      <c r="F1212" s="3" t="s">
        <v>508</v>
      </c>
      <c r="G1212" s="70" t="s">
        <v>572</v>
      </c>
      <c r="H1212" s="3" t="s">
        <v>343</v>
      </c>
      <c r="I1212" s="3" t="s">
        <v>511</v>
      </c>
      <c r="J1212" s="3">
        <v>160</v>
      </c>
      <c r="K1212" s="3">
        <v>0</v>
      </c>
      <c r="L1212" s="3">
        <v>45</v>
      </c>
      <c r="M1212" s="3">
        <v>70</v>
      </c>
      <c r="N1212" s="3">
        <v>115</v>
      </c>
      <c r="O1212" s="70">
        <v>-45</v>
      </c>
      <c r="P1212" s="3">
        <v>0</v>
      </c>
      <c r="Q1212" s="3">
        <v>0</v>
      </c>
      <c r="R1212" s="3">
        <v>1.8978569999999999</v>
      </c>
      <c r="S1212" s="3">
        <v>-85.4</v>
      </c>
      <c r="T1212" s="3">
        <v>132.85</v>
      </c>
      <c r="U1212" s="3">
        <v>218.25</v>
      </c>
      <c r="V1212" s="70" t="s">
        <v>641</v>
      </c>
      <c r="W1212" s="3" t="s">
        <v>343</v>
      </c>
      <c r="X1212" s="3" t="s">
        <v>508</v>
      </c>
      <c r="Y1212" s="3" t="s">
        <v>508</v>
      </c>
    </row>
    <row r="1213" spans="1:25" hidden="1" x14ac:dyDescent="0.2">
      <c r="A1213" s="83" t="str">
        <f t="shared" si="18"/>
        <v>郑州盛华里带皮腿肉</v>
      </c>
      <c r="B1213" s="3" t="s">
        <v>709</v>
      </c>
      <c r="C1213" s="3">
        <v>44377</v>
      </c>
      <c r="D1213" s="3" t="s">
        <v>571</v>
      </c>
      <c r="E1213" s="3" t="s">
        <v>508</v>
      </c>
      <c r="F1213" s="3" t="s">
        <v>508</v>
      </c>
      <c r="G1213" s="70" t="s">
        <v>572</v>
      </c>
      <c r="H1213" s="3" t="s">
        <v>343</v>
      </c>
      <c r="I1213" s="3" t="s">
        <v>511</v>
      </c>
      <c r="J1213" s="3">
        <v>89</v>
      </c>
      <c r="K1213" s="3">
        <v>0</v>
      </c>
      <c r="L1213" s="3">
        <v>2</v>
      </c>
      <c r="M1213" s="3">
        <v>87</v>
      </c>
      <c r="N1213" s="3">
        <v>87</v>
      </c>
      <c r="O1213" s="70">
        <v>0</v>
      </c>
      <c r="P1213" s="3">
        <v>0</v>
      </c>
      <c r="Q1213" s="3">
        <v>0</v>
      </c>
      <c r="R1213" s="3">
        <v>1.897931</v>
      </c>
      <c r="S1213" s="3">
        <v>0</v>
      </c>
      <c r="T1213" s="3">
        <v>165.12</v>
      </c>
      <c r="U1213" s="3">
        <v>165.12</v>
      </c>
      <c r="V1213" s="70" t="s">
        <v>637</v>
      </c>
      <c r="W1213" s="3" t="s">
        <v>343</v>
      </c>
      <c r="X1213" s="3" t="s">
        <v>508</v>
      </c>
      <c r="Y1213" s="3" t="s">
        <v>508</v>
      </c>
    </row>
    <row r="1214" spans="1:25" hidden="1" x14ac:dyDescent="0.2">
      <c r="A1214" s="83" t="str">
        <f t="shared" si="18"/>
        <v>新蔡水韵天街带皮腿肉</v>
      </c>
      <c r="B1214" s="3" t="s">
        <v>703</v>
      </c>
      <c r="C1214" s="3">
        <v>44377</v>
      </c>
      <c r="D1214" s="3" t="s">
        <v>571</v>
      </c>
      <c r="E1214" s="3" t="s">
        <v>508</v>
      </c>
      <c r="F1214" s="3" t="s">
        <v>508</v>
      </c>
      <c r="G1214" s="70" t="s">
        <v>572</v>
      </c>
      <c r="H1214" s="3" t="s">
        <v>343</v>
      </c>
      <c r="I1214" s="3" t="s">
        <v>511</v>
      </c>
      <c r="J1214" s="3">
        <v>0</v>
      </c>
      <c r="K1214" s="3">
        <v>0</v>
      </c>
      <c r="L1214" s="3">
        <v>6</v>
      </c>
      <c r="M1214" s="3">
        <v>0</v>
      </c>
      <c r="N1214" s="3">
        <v>-6</v>
      </c>
      <c r="O1214" s="70">
        <v>6</v>
      </c>
      <c r="P1214" s="3">
        <v>0</v>
      </c>
      <c r="Q1214" s="3">
        <v>0</v>
      </c>
      <c r="R1214" s="3">
        <v>1.786</v>
      </c>
      <c r="S1214" s="3">
        <v>10.72</v>
      </c>
      <c r="T1214" s="3">
        <v>0</v>
      </c>
      <c r="U1214" s="3">
        <v>-10.72</v>
      </c>
      <c r="V1214" s="70" t="s">
        <v>335</v>
      </c>
      <c r="W1214" s="3" t="s">
        <v>343</v>
      </c>
      <c r="X1214" s="3" t="s">
        <v>508</v>
      </c>
      <c r="Y1214" s="3" t="s">
        <v>508</v>
      </c>
    </row>
    <row r="1215" spans="1:25" hidden="1" x14ac:dyDescent="0.2">
      <c r="A1215" s="83" t="str">
        <f t="shared" si="18"/>
        <v>郑州康复中街带皮腿肉</v>
      </c>
      <c r="B1215" s="3" t="s">
        <v>704</v>
      </c>
      <c r="C1215" s="3">
        <v>44377</v>
      </c>
      <c r="D1215" s="3" t="s">
        <v>571</v>
      </c>
      <c r="E1215" s="3" t="s">
        <v>508</v>
      </c>
      <c r="F1215" s="3" t="s">
        <v>508</v>
      </c>
      <c r="G1215" s="70" t="s">
        <v>572</v>
      </c>
      <c r="H1215" s="3" t="s">
        <v>343</v>
      </c>
      <c r="I1215" s="3" t="s">
        <v>511</v>
      </c>
      <c r="J1215" s="3">
        <v>0</v>
      </c>
      <c r="K1215" s="3">
        <v>0</v>
      </c>
      <c r="L1215" s="3">
        <v>10</v>
      </c>
      <c r="M1215" s="3">
        <v>0</v>
      </c>
      <c r="N1215" s="3">
        <v>-10</v>
      </c>
      <c r="O1215" s="70">
        <v>10</v>
      </c>
      <c r="P1215" s="3">
        <v>0</v>
      </c>
      <c r="Q1215" s="3">
        <v>0</v>
      </c>
      <c r="R1215" s="3">
        <v>1.786</v>
      </c>
      <c r="S1215" s="3">
        <v>17.86</v>
      </c>
      <c r="T1215" s="3">
        <v>0</v>
      </c>
      <c r="U1215" s="3">
        <v>-17.86</v>
      </c>
      <c r="V1215" s="70" t="s">
        <v>593</v>
      </c>
      <c r="W1215" s="3" t="s">
        <v>813</v>
      </c>
      <c r="X1215" s="3" t="s">
        <v>508</v>
      </c>
      <c r="Y1215" s="3" t="s">
        <v>508</v>
      </c>
    </row>
    <row r="1216" spans="1:25" hidden="1" x14ac:dyDescent="0.2">
      <c r="A1216" s="83" t="str">
        <f t="shared" si="18"/>
        <v>郑州瀚海海尚带皮腿肉</v>
      </c>
      <c r="B1216" s="3" t="s">
        <v>706</v>
      </c>
      <c r="C1216" s="3">
        <v>44377</v>
      </c>
      <c r="D1216" s="3" t="s">
        <v>571</v>
      </c>
      <c r="E1216" s="3" t="s">
        <v>508</v>
      </c>
      <c r="F1216" s="3" t="s">
        <v>508</v>
      </c>
      <c r="G1216" s="70" t="s">
        <v>572</v>
      </c>
      <c r="H1216" s="3" t="s">
        <v>343</v>
      </c>
      <c r="I1216" s="3" t="s">
        <v>511</v>
      </c>
      <c r="J1216" s="3">
        <v>22</v>
      </c>
      <c r="K1216" s="3">
        <v>100</v>
      </c>
      <c r="L1216" s="3">
        <v>108</v>
      </c>
      <c r="M1216" s="3">
        <v>7</v>
      </c>
      <c r="N1216" s="3">
        <v>14</v>
      </c>
      <c r="O1216" s="70">
        <v>-7</v>
      </c>
      <c r="P1216" s="3">
        <v>0</v>
      </c>
      <c r="Q1216" s="3">
        <v>0</v>
      </c>
      <c r="R1216" s="3">
        <v>1.8957139999999999</v>
      </c>
      <c r="S1216" s="3">
        <v>-13.27</v>
      </c>
      <c r="T1216" s="3">
        <v>13.27</v>
      </c>
      <c r="U1216" s="3">
        <v>26.54</v>
      </c>
      <c r="V1216" s="70" t="s">
        <v>333</v>
      </c>
      <c r="W1216" s="3" t="s">
        <v>343</v>
      </c>
      <c r="X1216" s="3" t="s">
        <v>508</v>
      </c>
      <c r="Y1216" s="3" t="s">
        <v>508</v>
      </c>
    </row>
    <row r="1217" spans="1:25" hidden="1" x14ac:dyDescent="0.2">
      <c r="A1217" s="83" t="str">
        <f t="shared" si="18"/>
        <v>郑州铁英街带皮腿肉</v>
      </c>
      <c r="B1217" s="3" t="s">
        <v>707</v>
      </c>
      <c r="C1217" s="3">
        <v>44377</v>
      </c>
      <c r="D1217" s="3" t="s">
        <v>571</v>
      </c>
      <c r="E1217" s="3" t="s">
        <v>508</v>
      </c>
      <c r="F1217" s="3" t="s">
        <v>508</v>
      </c>
      <c r="G1217" s="70" t="s">
        <v>572</v>
      </c>
      <c r="H1217" s="3" t="s">
        <v>343</v>
      </c>
      <c r="I1217" s="3" t="s">
        <v>511</v>
      </c>
      <c r="J1217" s="3">
        <v>25</v>
      </c>
      <c r="K1217" s="3">
        <v>100</v>
      </c>
      <c r="L1217" s="3">
        <v>33</v>
      </c>
      <c r="M1217" s="3">
        <v>70</v>
      </c>
      <c r="N1217" s="3">
        <v>92</v>
      </c>
      <c r="O1217" s="70">
        <v>-22</v>
      </c>
      <c r="P1217" s="3">
        <v>0</v>
      </c>
      <c r="Q1217" s="3">
        <v>0</v>
      </c>
      <c r="R1217" s="3">
        <v>1.8979999999999999</v>
      </c>
      <c r="S1217" s="3">
        <v>-41.76</v>
      </c>
      <c r="T1217" s="3">
        <v>132.86000000000001</v>
      </c>
      <c r="U1217" s="3">
        <v>174.62</v>
      </c>
      <c r="V1217" s="70" t="s">
        <v>592</v>
      </c>
      <c r="W1217" s="3" t="s">
        <v>812</v>
      </c>
      <c r="X1217" s="3" t="s">
        <v>508</v>
      </c>
      <c r="Y1217" s="3" t="s">
        <v>508</v>
      </c>
    </row>
    <row r="1218" spans="1:25" hidden="1" x14ac:dyDescent="0.2">
      <c r="A1218" s="83" t="str">
        <f t="shared" si="18"/>
        <v>郑州西悦城带皮腿肉</v>
      </c>
      <c r="B1218" s="3" t="s">
        <v>708</v>
      </c>
      <c r="C1218" s="3">
        <v>44377</v>
      </c>
      <c r="D1218" s="3" t="s">
        <v>571</v>
      </c>
      <c r="E1218" s="3" t="s">
        <v>508</v>
      </c>
      <c r="F1218" s="3" t="s">
        <v>508</v>
      </c>
      <c r="G1218" s="70" t="s">
        <v>572</v>
      </c>
      <c r="H1218" s="3" t="s">
        <v>343</v>
      </c>
      <c r="I1218" s="3" t="s">
        <v>511</v>
      </c>
      <c r="J1218" s="3">
        <v>82</v>
      </c>
      <c r="K1218" s="3">
        <v>0</v>
      </c>
      <c r="L1218" s="3">
        <v>57</v>
      </c>
      <c r="M1218" s="3">
        <v>25</v>
      </c>
      <c r="N1218" s="3">
        <v>25</v>
      </c>
      <c r="O1218" s="70">
        <v>0</v>
      </c>
      <c r="P1218" s="3">
        <v>0</v>
      </c>
      <c r="Q1218" s="3">
        <v>0</v>
      </c>
      <c r="R1218" s="3">
        <v>1.8976</v>
      </c>
      <c r="S1218" s="3">
        <v>0</v>
      </c>
      <c r="T1218" s="3">
        <v>47.44</v>
      </c>
      <c r="U1218" s="3">
        <v>47.44</v>
      </c>
      <c r="V1218" s="70" t="s">
        <v>332</v>
      </c>
      <c r="W1218" s="3" t="s">
        <v>343</v>
      </c>
      <c r="X1218" s="3" t="s">
        <v>508</v>
      </c>
      <c r="Y1218" s="3" t="s">
        <v>508</v>
      </c>
    </row>
    <row r="1219" spans="1:25" hidden="1" x14ac:dyDescent="0.2">
      <c r="A1219" s="83" t="str">
        <f t="shared" ref="A1219:A1282" si="19">V1219&amp;G1219</f>
        <v>郑州政六街带皮腿肉</v>
      </c>
      <c r="B1219" s="3" t="s">
        <v>714</v>
      </c>
      <c r="C1219" s="3">
        <v>44377</v>
      </c>
      <c r="D1219" s="3" t="s">
        <v>571</v>
      </c>
      <c r="E1219" s="3" t="s">
        <v>508</v>
      </c>
      <c r="F1219" s="3" t="s">
        <v>508</v>
      </c>
      <c r="G1219" s="70" t="s">
        <v>572</v>
      </c>
      <c r="H1219" s="3" t="s">
        <v>343</v>
      </c>
      <c r="I1219" s="3" t="s">
        <v>511</v>
      </c>
      <c r="J1219" s="3">
        <v>100</v>
      </c>
      <c r="K1219" s="3">
        <v>0</v>
      </c>
      <c r="L1219" s="3">
        <v>5</v>
      </c>
      <c r="M1219" s="3">
        <v>100</v>
      </c>
      <c r="N1219" s="3">
        <v>95</v>
      </c>
      <c r="O1219" s="70">
        <v>5</v>
      </c>
      <c r="P1219" s="3">
        <v>0</v>
      </c>
      <c r="Q1219" s="3">
        <v>0</v>
      </c>
      <c r="R1219" s="3">
        <v>1.8978999999999999</v>
      </c>
      <c r="S1219" s="3">
        <v>9.49</v>
      </c>
      <c r="T1219" s="3">
        <v>189.79</v>
      </c>
      <c r="U1219" s="3">
        <v>180.3</v>
      </c>
      <c r="V1219" s="70" t="s">
        <v>591</v>
      </c>
      <c r="W1219" s="3" t="s">
        <v>814</v>
      </c>
      <c r="X1219" s="3" t="s">
        <v>508</v>
      </c>
      <c r="Y1219" s="3" t="s">
        <v>508</v>
      </c>
    </row>
    <row r="1220" spans="1:25" hidden="1" x14ac:dyDescent="0.2">
      <c r="A1220" s="83" t="str">
        <f t="shared" si="19"/>
        <v>郑州政六街香芋地瓜丸原材料</v>
      </c>
      <c r="B1220" s="3" t="s">
        <v>714</v>
      </c>
      <c r="C1220" s="3">
        <v>44377</v>
      </c>
      <c r="D1220" s="3" t="s">
        <v>573</v>
      </c>
      <c r="E1220" s="3" t="s">
        <v>508</v>
      </c>
      <c r="F1220" s="3" t="s">
        <v>508</v>
      </c>
      <c r="G1220" s="70" t="s">
        <v>574</v>
      </c>
      <c r="H1220" s="3" t="s">
        <v>343</v>
      </c>
      <c r="I1220" s="3" t="s">
        <v>339</v>
      </c>
      <c r="J1220" s="3">
        <v>220</v>
      </c>
      <c r="K1220" s="3">
        <v>200</v>
      </c>
      <c r="L1220" s="3">
        <v>280</v>
      </c>
      <c r="M1220" s="3">
        <v>120</v>
      </c>
      <c r="N1220" s="3">
        <v>140</v>
      </c>
      <c r="O1220" s="70">
        <v>-20</v>
      </c>
      <c r="P1220" s="3">
        <v>0</v>
      </c>
      <c r="Q1220" s="3">
        <v>0</v>
      </c>
      <c r="R1220" s="3">
        <v>0.22600000000000001</v>
      </c>
      <c r="S1220" s="3">
        <v>-4.5199999999999996</v>
      </c>
      <c r="T1220" s="3">
        <v>27.12</v>
      </c>
      <c r="U1220" s="3">
        <v>31.64</v>
      </c>
      <c r="V1220" s="70" t="s">
        <v>591</v>
      </c>
      <c r="W1220" s="3" t="s">
        <v>343</v>
      </c>
      <c r="X1220" s="3" t="s">
        <v>508</v>
      </c>
      <c r="Y1220" s="3" t="s">
        <v>508</v>
      </c>
    </row>
    <row r="1221" spans="1:25" hidden="1" x14ac:dyDescent="0.2">
      <c r="A1221" s="83" t="str">
        <f t="shared" si="19"/>
        <v>郑州西悦城香芋地瓜丸原材料</v>
      </c>
      <c r="B1221" s="3" t="s">
        <v>708</v>
      </c>
      <c r="C1221" s="3">
        <v>44377</v>
      </c>
      <c r="D1221" s="3" t="s">
        <v>573</v>
      </c>
      <c r="E1221" s="3" t="s">
        <v>508</v>
      </c>
      <c r="F1221" s="3" t="s">
        <v>508</v>
      </c>
      <c r="G1221" s="70" t="s">
        <v>574</v>
      </c>
      <c r="H1221" s="3" t="s">
        <v>343</v>
      </c>
      <c r="I1221" s="3" t="s">
        <v>339</v>
      </c>
      <c r="J1221" s="3">
        <v>100</v>
      </c>
      <c r="K1221" s="3">
        <v>600</v>
      </c>
      <c r="L1221" s="3">
        <v>605</v>
      </c>
      <c r="M1221" s="3">
        <v>90</v>
      </c>
      <c r="N1221" s="3">
        <v>95</v>
      </c>
      <c r="O1221" s="70">
        <v>-5</v>
      </c>
      <c r="P1221" s="3">
        <v>0</v>
      </c>
      <c r="Q1221" s="3">
        <v>0</v>
      </c>
      <c r="R1221" s="3">
        <v>0.22600000000000001</v>
      </c>
      <c r="S1221" s="3">
        <v>-1.1299999999999999</v>
      </c>
      <c r="T1221" s="3">
        <v>20.34</v>
      </c>
      <c r="U1221" s="3">
        <v>21.47</v>
      </c>
      <c r="V1221" s="70" t="s">
        <v>332</v>
      </c>
      <c r="W1221" s="3" t="s">
        <v>343</v>
      </c>
      <c r="X1221" s="3" t="s">
        <v>508</v>
      </c>
      <c r="Y1221" s="3" t="s">
        <v>508</v>
      </c>
    </row>
    <row r="1222" spans="1:25" hidden="1" x14ac:dyDescent="0.2">
      <c r="A1222" s="83" t="str">
        <f t="shared" si="19"/>
        <v>郑州铁英街香芋地瓜丸原材料</v>
      </c>
      <c r="B1222" s="3" t="s">
        <v>707</v>
      </c>
      <c r="C1222" s="3">
        <v>44377</v>
      </c>
      <c r="D1222" s="3" t="s">
        <v>573</v>
      </c>
      <c r="E1222" s="3" t="s">
        <v>508</v>
      </c>
      <c r="F1222" s="3" t="s">
        <v>508</v>
      </c>
      <c r="G1222" s="70" t="s">
        <v>574</v>
      </c>
      <c r="H1222" s="3" t="s">
        <v>343</v>
      </c>
      <c r="I1222" s="3" t="s">
        <v>339</v>
      </c>
      <c r="J1222" s="3">
        <v>160</v>
      </c>
      <c r="K1222" s="3">
        <v>200</v>
      </c>
      <c r="L1222" s="3">
        <v>335</v>
      </c>
      <c r="M1222" s="3">
        <v>25</v>
      </c>
      <c r="N1222" s="3">
        <v>25</v>
      </c>
      <c r="O1222" s="70">
        <v>0</v>
      </c>
      <c r="P1222" s="3">
        <v>0</v>
      </c>
      <c r="Q1222" s="3">
        <v>0</v>
      </c>
      <c r="R1222" s="3">
        <v>0.22600000000000001</v>
      </c>
      <c r="S1222" s="3">
        <v>0</v>
      </c>
      <c r="T1222" s="3">
        <v>5.65</v>
      </c>
      <c r="U1222" s="3">
        <v>5.65</v>
      </c>
      <c r="V1222" s="70" t="s">
        <v>592</v>
      </c>
      <c r="W1222" s="3" t="s">
        <v>343</v>
      </c>
      <c r="X1222" s="3" t="s">
        <v>508</v>
      </c>
      <c r="Y1222" s="3" t="s">
        <v>508</v>
      </c>
    </row>
    <row r="1223" spans="1:25" hidden="1" x14ac:dyDescent="0.2">
      <c r="A1223" s="83" t="str">
        <f t="shared" si="19"/>
        <v>华山龙源香芋地瓜丸原材料</v>
      </c>
      <c r="B1223" s="3" t="s">
        <v>705</v>
      </c>
      <c r="C1223" s="3">
        <v>44377</v>
      </c>
      <c r="D1223" s="3" t="s">
        <v>573</v>
      </c>
      <c r="E1223" s="3" t="s">
        <v>508</v>
      </c>
      <c r="F1223" s="3" t="s">
        <v>508</v>
      </c>
      <c r="G1223" s="70" t="s">
        <v>574</v>
      </c>
      <c r="H1223" s="3" t="s">
        <v>343</v>
      </c>
      <c r="I1223" s="3" t="s">
        <v>339</v>
      </c>
      <c r="J1223" s="3">
        <v>130</v>
      </c>
      <c r="K1223" s="3">
        <v>400</v>
      </c>
      <c r="L1223" s="3">
        <v>371</v>
      </c>
      <c r="M1223" s="3">
        <v>159</v>
      </c>
      <c r="N1223" s="3">
        <v>159</v>
      </c>
      <c r="O1223" s="70">
        <v>0</v>
      </c>
      <c r="P1223" s="3">
        <v>0</v>
      </c>
      <c r="Q1223" s="3">
        <v>0</v>
      </c>
      <c r="R1223" s="3">
        <v>0.22597500000000001</v>
      </c>
      <c r="S1223" s="3">
        <v>0</v>
      </c>
      <c r="T1223" s="3">
        <v>35.93</v>
      </c>
      <c r="U1223" s="3">
        <v>35.93</v>
      </c>
      <c r="V1223" s="70" t="s">
        <v>643</v>
      </c>
      <c r="W1223" s="3" t="s">
        <v>343</v>
      </c>
      <c r="X1223" s="3" t="s">
        <v>508</v>
      </c>
      <c r="Y1223" s="3" t="s">
        <v>508</v>
      </c>
    </row>
    <row r="1224" spans="1:25" hidden="1" x14ac:dyDescent="0.2">
      <c r="A1224" s="83" t="str">
        <f t="shared" si="19"/>
        <v>郑州瀚海海尚香芋地瓜丸原材料</v>
      </c>
      <c r="B1224" s="3" t="s">
        <v>706</v>
      </c>
      <c r="C1224" s="3">
        <v>44377</v>
      </c>
      <c r="D1224" s="3" t="s">
        <v>573</v>
      </c>
      <c r="E1224" s="3" t="s">
        <v>508</v>
      </c>
      <c r="F1224" s="3" t="s">
        <v>508</v>
      </c>
      <c r="G1224" s="70" t="s">
        <v>574</v>
      </c>
      <c r="H1224" s="3" t="s">
        <v>343</v>
      </c>
      <c r="I1224" s="3" t="s">
        <v>339</v>
      </c>
      <c r="J1224" s="3">
        <v>35</v>
      </c>
      <c r="K1224" s="3">
        <v>400</v>
      </c>
      <c r="L1224" s="3">
        <v>375</v>
      </c>
      <c r="M1224" s="3">
        <v>55</v>
      </c>
      <c r="N1224" s="3">
        <v>60</v>
      </c>
      <c r="O1224" s="70">
        <v>-5</v>
      </c>
      <c r="P1224" s="3">
        <v>0</v>
      </c>
      <c r="Q1224" s="3">
        <v>0</v>
      </c>
      <c r="R1224" s="3">
        <v>0.22618199999999999</v>
      </c>
      <c r="S1224" s="3">
        <v>-1.1299999999999999</v>
      </c>
      <c r="T1224" s="3">
        <v>12.44</v>
      </c>
      <c r="U1224" s="3">
        <v>13.57</v>
      </c>
      <c r="V1224" s="70" t="s">
        <v>333</v>
      </c>
      <c r="W1224" s="3" t="s">
        <v>343</v>
      </c>
      <c r="X1224" s="3" t="s">
        <v>508</v>
      </c>
      <c r="Y1224" s="3" t="s">
        <v>508</v>
      </c>
    </row>
    <row r="1225" spans="1:25" hidden="1" x14ac:dyDescent="0.2">
      <c r="A1225" s="83" t="str">
        <f t="shared" si="19"/>
        <v>郑州康复中街香芋地瓜丸原材料</v>
      </c>
      <c r="B1225" s="3" t="s">
        <v>704</v>
      </c>
      <c r="C1225" s="3">
        <v>44377</v>
      </c>
      <c r="D1225" s="3" t="s">
        <v>573</v>
      </c>
      <c r="E1225" s="3" t="s">
        <v>508</v>
      </c>
      <c r="F1225" s="3" t="s">
        <v>508</v>
      </c>
      <c r="G1225" s="70" t="s">
        <v>574</v>
      </c>
      <c r="H1225" s="3" t="s">
        <v>343</v>
      </c>
      <c r="I1225" s="3" t="s">
        <v>339</v>
      </c>
      <c r="J1225" s="3">
        <v>270</v>
      </c>
      <c r="K1225" s="3">
        <v>600</v>
      </c>
      <c r="L1225" s="3">
        <v>525</v>
      </c>
      <c r="M1225" s="3">
        <v>345</v>
      </c>
      <c r="N1225" s="3">
        <v>345</v>
      </c>
      <c r="O1225" s="70">
        <v>0</v>
      </c>
      <c r="P1225" s="3">
        <v>0</v>
      </c>
      <c r="Q1225" s="3">
        <v>0</v>
      </c>
      <c r="R1225" s="3">
        <v>0.22600000000000001</v>
      </c>
      <c r="S1225" s="3">
        <v>0</v>
      </c>
      <c r="T1225" s="3">
        <v>77.97</v>
      </c>
      <c r="U1225" s="3">
        <v>77.97</v>
      </c>
      <c r="V1225" s="70" t="s">
        <v>593</v>
      </c>
      <c r="W1225" s="3" t="s">
        <v>343</v>
      </c>
      <c r="X1225" s="3" t="s">
        <v>508</v>
      </c>
      <c r="Y1225" s="3" t="s">
        <v>508</v>
      </c>
    </row>
    <row r="1226" spans="1:25" hidden="1" x14ac:dyDescent="0.2">
      <c r="A1226" s="83" t="str">
        <f t="shared" si="19"/>
        <v>新蔡水韵天街香芋地瓜丸原材料</v>
      </c>
      <c r="B1226" s="3" t="s">
        <v>703</v>
      </c>
      <c r="C1226" s="3">
        <v>44377</v>
      </c>
      <c r="D1226" s="3" t="s">
        <v>573</v>
      </c>
      <c r="E1226" s="3" t="s">
        <v>508</v>
      </c>
      <c r="F1226" s="3" t="s">
        <v>508</v>
      </c>
      <c r="G1226" s="70" t="s">
        <v>574</v>
      </c>
      <c r="H1226" s="3" t="s">
        <v>343</v>
      </c>
      <c r="I1226" s="3" t="s">
        <v>339</v>
      </c>
      <c r="J1226" s="3">
        <v>360</v>
      </c>
      <c r="K1226" s="3">
        <v>200</v>
      </c>
      <c r="L1226" s="3">
        <v>570</v>
      </c>
      <c r="M1226" s="3">
        <v>0</v>
      </c>
      <c r="N1226" s="3">
        <v>-10</v>
      </c>
      <c r="O1226" s="70">
        <v>10</v>
      </c>
      <c r="P1226" s="3">
        <v>0</v>
      </c>
      <c r="Q1226" s="3">
        <v>0</v>
      </c>
      <c r="R1226" s="3">
        <v>0.22657099999999999</v>
      </c>
      <c r="S1226" s="3">
        <v>2.27</v>
      </c>
      <c r="T1226" s="3">
        <v>0</v>
      </c>
      <c r="U1226" s="3">
        <v>-2.27</v>
      </c>
      <c r="V1226" s="70" t="s">
        <v>335</v>
      </c>
      <c r="W1226" s="3" t="s">
        <v>343</v>
      </c>
      <c r="X1226" s="3" t="s">
        <v>508</v>
      </c>
      <c r="Y1226" s="3" t="s">
        <v>508</v>
      </c>
    </row>
    <row r="1227" spans="1:25" hidden="1" x14ac:dyDescent="0.2">
      <c r="A1227" s="83" t="str">
        <f t="shared" si="19"/>
        <v>郑州盛华里香芋地瓜丸原材料</v>
      </c>
      <c r="B1227" s="3" t="s">
        <v>709</v>
      </c>
      <c r="C1227" s="3">
        <v>44377</v>
      </c>
      <c r="D1227" s="3" t="s">
        <v>573</v>
      </c>
      <c r="E1227" s="3" t="s">
        <v>508</v>
      </c>
      <c r="F1227" s="3" t="s">
        <v>508</v>
      </c>
      <c r="G1227" s="70" t="s">
        <v>574</v>
      </c>
      <c r="H1227" s="3" t="s">
        <v>343</v>
      </c>
      <c r="I1227" s="3" t="s">
        <v>339</v>
      </c>
      <c r="J1227" s="3">
        <v>80</v>
      </c>
      <c r="K1227" s="3">
        <v>400</v>
      </c>
      <c r="L1227" s="3">
        <v>130</v>
      </c>
      <c r="M1227" s="3">
        <v>350</v>
      </c>
      <c r="N1227" s="3">
        <v>350</v>
      </c>
      <c r="O1227" s="70">
        <v>0</v>
      </c>
      <c r="P1227" s="3">
        <v>0</v>
      </c>
      <c r="Q1227" s="3">
        <v>0</v>
      </c>
      <c r="R1227" s="3">
        <v>0.22600000000000001</v>
      </c>
      <c r="S1227" s="3">
        <v>0</v>
      </c>
      <c r="T1227" s="3">
        <v>79.099999999999994</v>
      </c>
      <c r="U1227" s="3">
        <v>79.099999999999994</v>
      </c>
      <c r="V1227" s="70" t="s">
        <v>637</v>
      </c>
      <c r="W1227" s="3" t="s">
        <v>343</v>
      </c>
      <c r="X1227" s="3" t="s">
        <v>508</v>
      </c>
      <c r="Y1227" s="3" t="s">
        <v>508</v>
      </c>
    </row>
    <row r="1228" spans="1:25" hidden="1" x14ac:dyDescent="0.2">
      <c r="A1228" s="83" t="str">
        <f t="shared" si="19"/>
        <v>滑县滑台香芋地瓜丸原材料</v>
      </c>
      <c r="B1228" s="3" t="s">
        <v>710</v>
      </c>
      <c r="C1228" s="3">
        <v>44377</v>
      </c>
      <c r="D1228" s="3" t="s">
        <v>573</v>
      </c>
      <c r="E1228" s="3" t="s">
        <v>508</v>
      </c>
      <c r="F1228" s="3" t="s">
        <v>508</v>
      </c>
      <c r="G1228" s="70" t="s">
        <v>574</v>
      </c>
      <c r="H1228" s="3" t="s">
        <v>343</v>
      </c>
      <c r="I1228" s="3" t="s">
        <v>339</v>
      </c>
      <c r="J1228" s="3">
        <v>15</v>
      </c>
      <c r="K1228" s="3">
        <v>400</v>
      </c>
      <c r="L1228" s="3">
        <v>235</v>
      </c>
      <c r="M1228" s="3">
        <v>175</v>
      </c>
      <c r="N1228" s="3">
        <v>180</v>
      </c>
      <c r="O1228" s="70">
        <v>-5</v>
      </c>
      <c r="P1228" s="3">
        <v>0</v>
      </c>
      <c r="Q1228" s="3">
        <v>0</v>
      </c>
      <c r="R1228" s="3">
        <v>0.22600000000000001</v>
      </c>
      <c r="S1228" s="3">
        <v>-1.1299999999999999</v>
      </c>
      <c r="T1228" s="3">
        <v>39.549999999999997</v>
      </c>
      <c r="U1228" s="3">
        <v>40.68</v>
      </c>
      <c r="V1228" s="70" t="s">
        <v>639</v>
      </c>
      <c r="W1228" s="3" t="s">
        <v>343</v>
      </c>
      <c r="X1228" s="3" t="s">
        <v>508</v>
      </c>
      <c r="Y1228" s="3" t="s">
        <v>508</v>
      </c>
    </row>
    <row r="1229" spans="1:25" hidden="1" x14ac:dyDescent="0.2">
      <c r="A1229" s="83" t="str">
        <f t="shared" si="19"/>
        <v>郑州裕华香芋地瓜丸原材料</v>
      </c>
      <c r="B1229" s="3" t="s">
        <v>711</v>
      </c>
      <c r="C1229" s="3">
        <v>44377</v>
      </c>
      <c r="D1229" s="3" t="s">
        <v>573</v>
      </c>
      <c r="E1229" s="3" t="s">
        <v>508</v>
      </c>
      <c r="F1229" s="3" t="s">
        <v>508</v>
      </c>
      <c r="G1229" s="70" t="s">
        <v>574</v>
      </c>
      <c r="H1229" s="3" t="s">
        <v>343</v>
      </c>
      <c r="I1229" s="3" t="s">
        <v>339</v>
      </c>
      <c r="J1229" s="3">
        <v>268</v>
      </c>
      <c r="K1229" s="3">
        <v>200</v>
      </c>
      <c r="L1229" s="3">
        <v>290</v>
      </c>
      <c r="M1229" s="3">
        <v>135</v>
      </c>
      <c r="N1229" s="3">
        <v>178</v>
      </c>
      <c r="O1229" s="70">
        <v>-43</v>
      </c>
      <c r="P1229" s="3">
        <v>0</v>
      </c>
      <c r="Q1229" s="3">
        <v>0</v>
      </c>
      <c r="R1229" s="3">
        <v>0.22600000000000001</v>
      </c>
      <c r="S1229" s="3">
        <v>-9.7200000000000006</v>
      </c>
      <c r="T1229" s="3">
        <v>30.51</v>
      </c>
      <c r="U1229" s="3">
        <v>40.229999999999997</v>
      </c>
      <c r="V1229" s="70" t="s">
        <v>641</v>
      </c>
      <c r="W1229" s="3" t="s">
        <v>343</v>
      </c>
      <c r="X1229" s="3" t="s">
        <v>508</v>
      </c>
      <c r="Y1229" s="3" t="s">
        <v>508</v>
      </c>
    </row>
    <row r="1230" spans="1:25" hidden="1" x14ac:dyDescent="0.2">
      <c r="A1230" s="83" t="str">
        <f t="shared" si="19"/>
        <v>清丰凤鸣香芋地瓜丸原材料</v>
      </c>
      <c r="B1230" s="3" t="s">
        <v>713</v>
      </c>
      <c r="C1230" s="3">
        <v>44377</v>
      </c>
      <c r="D1230" s="3" t="s">
        <v>573</v>
      </c>
      <c r="E1230" s="3" t="s">
        <v>508</v>
      </c>
      <c r="F1230" s="3" t="s">
        <v>508</v>
      </c>
      <c r="G1230" s="70" t="s">
        <v>574</v>
      </c>
      <c r="H1230" s="3" t="s">
        <v>343</v>
      </c>
      <c r="I1230" s="3" t="s">
        <v>339</v>
      </c>
      <c r="J1230" s="3">
        <v>155</v>
      </c>
      <c r="K1230" s="3">
        <v>0</v>
      </c>
      <c r="L1230" s="3">
        <v>150</v>
      </c>
      <c r="M1230" s="3">
        <v>5</v>
      </c>
      <c r="N1230" s="3">
        <v>5</v>
      </c>
      <c r="O1230" s="70">
        <v>0</v>
      </c>
      <c r="P1230" s="3">
        <v>0</v>
      </c>
      <c r="Q1230" s="3">
        <v>0</v>
      </c>
      <c r="R1230" s="3">
        <v>0.22600000000000001</v>
      </c>
      <c r="S1230" s="3">
        <v>0</v>
      </c>
      <c r="T1230" s="3">
        <v>1.1299999999999999</v>
      </c>
      <c r="U1230" s="3">
        <v>1.1299999999999999</v>
      </c>
      <c r="V1230" s="70" t="s">
        <v>334</v>
      </c>
      <c r="W1230" s="3" t="s">
        <v>343</v>
      </c>
      <c r="X1230" s="3" t="s">
        <v>508</v>
      </c>
      <c r="Y1230" s="3" t="s">
        <v>508</v>
      </c>
    </row>
    <row r="1231" spans="1:25" hidden="1" x14ac:dyDescent="0.2">
      <c r="A1231" s="83" t="str">
        <f t="shared" si="19"/>
        <v>方城锦城国际香芋地瓜丸原材料</v>
      </c>
      <c r="B1231" s="3" t="s">
        <v>712</v>
      </c>
      <c r="C1231" s="3">
        <v>44377</v>
      </c>
      <c r="D1231" s="3" t="s">
        <v>573</v>
      </c>
      <c r="E1231" s="3" t="s">
        <v>508</v>
      </c>
      <c r="F1231" s="3" t="s">
        <v>508</v>
      </c>
      <c r="G1231" s="70" t="s">
        <v>574</v>
      </c>
      <c r="H1231" s="3" t="s">
        <v>343</v>
      </c>
      <c r="I1231" s="3" t="s">
        <v>339</v>
      </c>
      <c r="J1231" s="3">
        <v>234</v>
      </c>
      <c r="K1231" s="3">
        <v>200</v>
      </c>
      <c r="L1231" s="3">
        <v>350</v>
      </c>
      <c r="M1231" s="3">
        <v>84</v>
      </c>
      <c r="N1231" s="3">
        <v>84</v>
      </c>
      <c r="O1231" s="70">
        <v>0</v>
      </c>
      <c r="P1231" s="3">
        <v>0</v>
      </c>
      <c r="Q1231" s="3">
        <v>0</v>
      </c>
      <c r="R1231" s="3">
        <v>0.22595199999999999</v>
      </c>
      <c r="S1231" s="3">
        <v>0</v>
      </c>
      <c r="T1231" s="3">
        <v>18.98</v>
      </c>
      <c r="U1231" s="3">
        <v>18.98</v>
      </c>
      <c r="V1231" s="70" t="s">
        <v>594</v>
      </c>
      <c r="W1231" s="3" t="s">
        <v>343</v>
      </c>
      <c r="X1231" s="3" t="s">
        <v>508</v>
      </c>
      <c r="Y1231" s="3" t="s">
        <v>508</v>
      </c>
    </row>
    <row r="1232" spans="1:25" hidden="1" x14ac:dyDescent="0.2">
      <c r="A1232" s="83" t="str">
        <f t="shared" si="19"/>
        <v>清丰凤鸣原味带骨鸡腿块</v>
      </c>
      <c r="B1232" s="3" t="s">
        <v>713</v>
      </c>
      <c r="C1232" s="3">
        <v>44377</v>
      </c>
      <c r="D1232" s="3" t="s">
        <v>620</v>
      </c>
      <c r="E1232" s="3" t="s">
        <v>508</v>
      </c>
      <c r="F1232" s="3" t="s">
        <v>508</v>
      </c>
      <c r="G1232" s="70" t="s">
        <v>621</v>
      </c>
      <c r="H1232" s="3" t="s">
        <v>343</v>
      </c>
      <c r="I1232" s="3" t="s">
        <v>89</v>
      </c>
      <c r="J1232" s="3">
        <v>0</v>
      </c>
      <c r="K1232" s="3">
        <v>12000</v>
      </c>
      <c r="L1232" s="3">
        <v>12240</v>
      </c>
      <c r="M1232" s="3">
        <v>0</v>
      </c>
      <c r="N1232" s="3">
        <v>-240</v>
      </c>
      <c r="O1232" s="70">
        <v>240</v>
      </c>
      <c r="P1232" s="3">
        <v>0</v>
      </c>
      <c r="Q1232" s="3">
        <v>0</v>
      </c>
      <c r="R1232" s="3">
        <v>1.5667E-2</v>
      </c>
      <c r="S1232" s="3">
        <v>3.76</v>
      </c>
      <c r="T1232" s="3">
        <v>0</v>
      </c>
      <c r="U1232" s="3">
        <v>-3.76</v>
      </c>
      <c r="V1232" s="70" t="s">
        <v>334</v>
      </c>
      <c r="W1232" s="3" t="s">
        <v>343</v>
      </c>
      <c r="X1232" s="3" t="s">
        <v>508</v>
      </c>
      <c r="Y1232" s="3" t="s">
        <v>508</v>
      </c>
    </row>
    <row r="1233" spans="1:25" hidden="1" x14ac:dyDescent="0.2">
      <c r="A1233" s="83" t="str">
        <f t="shared" si="19"/>
        <v>方城锦城国际原味带骨鸡腿块</v>
      </c>
      <c r="B1233" s="3" t="s">
        <v>712</v>
      </c>
      <c r="C1233" s="3">
        <v>44377</v>
      </c>
      <c r="D1233" s="3" t="s">
        <v>620</v>
      </c>
      <c r="E1233" s="3" t="s">
        <v>508</v>
      </c>
      <c r="F1233" s="3" t="s">
        <v>508</v>
      </c>
      <c r="G1233" s="70" t="s">
        <v>621</v>
      </c>
      <c r="H1233" s="3" t="s">
        <v>343</v>
      </c>
      <c r="I1233" s="3" t="s">
        <v>89</v>
      </c>
      <c r="J1233" s="3">
        <v>0</v>
      </c>
      <c r="K1233" s="3">
        <v>0</v>
      </c>
      <c r="L1233" s="3">
        <v>36720</v>
      </c>
      <c r="M1233" s="3">
        <v>0</v>
      </c>
      <c r="N1233" s="3">
        <v>-36720</v>
      </c>
      <c r="O1233" s="70">
        <v>36720</v>
      </c>
      <c r="P1233" s="3">
        <v>0</v>
      </c>
      <c r="Q1233" s="3">
        <v>0</v>
      </c>
      <c r="R1233" s="3">
        <v>1.7100000000000001E-2</v>
      </c>
      <c r="S1233" s="3">
        <v>627.91</v>
      </c>
      <c r="T1233" s="3">
        <v>0</v>
      </c>
      <c r="U1233" s="3">
        <v>-627.91</v>
      </c>
      <c r="V1233" s="70" t="s">
        <v>594</v>
      </c>
      <c r="W1233" s="3" t="s">
        <v>815</v>
      </c>
      <c r="X1233" s="3" t="s">
        <v>508</v>
      </c>
      <c r="Y1233" s="3" t="s">
        <v>508</v>
      </c>
    </row>
    <row r="1234" spans="1:25" hidden="1" x14ac:dyDescent="0.2">
      <c r="A1234" s="83" t="str">
        <f t="shared" si="19"/>
        <v>郑州裕华原味带骨鸡腿块</v>
      </c>
      <c r="B1234" s="3" t="s">
        <v>711</v>
      </c>
      <c r="C1234" s="3">
        <v>44377</v>
      </c>
      <c r="D1234" s="3" t="s">
        <v>620</v>
      </c>
      <c r="E1234" s="3" t="s">
        <v>508</v>
      </c>
      <c r="F1234" s="3" t="s">
        <v>508</v>
      </c>
      <c r="G1234" s="70" t="s">
        <v>621</v>
      </c>
      <c r="H1234" s="3" t="s">
        <v>343</v>
      </c>
      <c r="I1234" s="3" t="s">
        <v>89</v>
      </c>
      <c r="J1234" s="3">
        <v>0</v>
      </c>
      <c r="K1234" s="3">
        <v>10000</v>
      </c>
      <c r="L1234" s="3">
        <v>11760</v>
      </c>
      <c r="M1234" s="3">
        <v>0</v>
      </c>
      <c r="N1234" s="3">
        <v>-1760</v>
      </c>
      <c r="O1234" s="70">
        <v>1760</v>
      </c>
      <c r="P1234" s="3">
        <v>0</v>
      </c>
      <c r="Q1234" s="3">
        <v>0</v>
      </c>
      <c r="R1234" s="3">
        <v>1.55E-2</v>
      </c>
      <c r="S1234" s="3">
        <v>27.28</v>
      </c>
      <c r="T1234" s="3">
        <v>0</v>
      </c>
      <c r="U1234" s="3">
        <v>-27.28</v>
      </c>
      <c r="V1234" s="70" t="s">
        <v>641</v>
      </c>
      <c r="W1234" s="3" t="s">
        <v>343</v>
      </c>
      <c r="X1234" s="3" t="s">
        <v>508</v>
      </c>
      <c r="Y1234" s="3" t="s">
        <v>508</v>
      </c>
    </row>
    <row r="1235" spans="1:25" hidden="1" x14ac:dyDescent="0.2">
      <c r="A1235" s="83" t="str">
        <f t="shared" si="19"/>
        <v>滑县滑台原味带骨鸡腿块</v>
      </c>
      <c r="B1235" s="3" t="s">
        <v>710</v>
      </c>
      <c r="C1235" s="3">
        <v>44377</v>
      </c>
      <c r="D1235" s="3" t="s">
        <v>620</v>
      </c>
      <c r="E1235" s="3" t="s">
        <v>508</v>
      </c>
      <c r="F1235" s="3" t="s">
        <v>508</v>
      </c>
      <c r="G1235" s="70" t="s">
        <v>621</v>
      </c>
      <c r="H1235" s="3" t="s">
        <v>343</v>
      </c>
      <c r="I1235" s="3" t="s">
        <v>89</v>
      </c>
      <c r="J1235" s="3">
        <v>0</v>
      </c>
      <c r="K1235" s="3">
        <v>10000</v>
      </c>
      <c r="L1235" s="3">
        <v>23040</v>
      </c>
      <c r="M1235" s="3">
        <v>0</v>
      </c>
      <c r="N1235" s="3">
        <v>-13040</v>
      </c>
      <c r="O1235" s="70">
        <v>13040</v>
      </c>
      <c r="P1235" s="3">
        <v>0</v>
      </c>
      <c r="Q1235" s="3">
        <v>0</v>
      </c>
      <c r="R1235" s="3">
        <v>1.55E-2</v>
      </c>
      <c r="S1235" s="3">
        <v>202.12</v>
      </c>
      <c r="T1235" s="3">
        <v>0</v>
      </c>
      <c r="U1235" s="3">
        <v>-202.12</v>
      </c>
      <c r="V1235" s="70" t="s">
        <v>639</v>
      </c>
      <c r="W1235" s="3" t="s">
        <v>816</v>
      </c>
      <c r="X1235" s="3" t="s">
        <v>508</v>
      </c>
      <c r="Y1235" s="3" t="s">
        <v>508</v>
      </c>
    </row>
    <row r="1236" spans="1:25" hidden="1" x14ac:dyDescent="0.2">
      <c r="A1236" s="83" t="str">
        <f t="shared" si="19"/>
        <v>郑州盛华里原味带骨鸡腿块</v>
      </c>
      <c r="B1236" s="3" t="s">
        <v>709</v>
      </c>
      <c r="C1236" s="3">
        <v>44377</v>
      </c>
      <c r="D1236" s="3" t="s">
        <v>620</v>
      </c>
      <c r="E1236" s="3" t="s">
        <v>508</v>
      </c>
      <c r="F1236" s="3" t="s">
        <v>508</v>
      </c>
      <c r="G1236" s="70" t="s">
        <v>621</v>
      </c>
      <c r="H1236" s="3" t="s">
        <v>343</v>
      </c>
      <c r="I1236" s="3" t="s">
        <v>89</v>
      </c>
      <c r="J1236" s="3">
        <v>10000</v>
      </c>
      <c r="K1236" s="3">
        <v>0</v>
      </c>
      <c r="L1236" s="3">
        <v>11040</v>
      </c>
      <c r="M1236" s="3">
        <v>0</v>
      </c>
      <c r="N1236" s="3">
        <v>-1040</v>
      </c>
      <c r="O1236" s="70">
        <v>1040</v>
      </c>
      <c r="P1236" s="3">
        <v>0</v>
      </c>
      <c r="Q1236" s="3">
        <v>0</v>
      </c>
      <c r="R1236" s="3">
        <v>1.7399000000000001E-2</v>
      </c>
      <c r="S1236" s="3">
        <v>18.09</v>
      </c>
      <c r="T1236" s="3">
        <v>0</v>
      </c>
      <c r="U1236" s="3">
        <v>-18.09</v>
      </c>
      <c r="V1236" s="70" t="s">
        <v>637</v>
      </c>
      <c r="W1236" s="3" t="s">
        <v>343</v>
      </c>
      <c r="X1236" s="3" t="s">
        <v>508</v>
      </c>
      <c r="Y1236" s="3" t="s">
        <v>508</v>
      </c>
    </row>
    <row r="1237" spans="1:25" hidden="1" x14ac:dyDescent="0.2">
      <c r="A1237" s="83" t="str">
        <f t="shared" si="19"/>
        <v>新蔡水韵天街原味带骨鸡腿块</v>
      </c>
      <c r="B1237" s="3" t="s">
        <v>703</v>
      </c>
      <c r="C1237" s="3">
        <v>44377</v>
      </c>
      <c r="D1237" s="3" t="s">
        <v>620</v>
      </c>
      <c r="E1237" s="3" t="s">
        <v>508</v>
      </c>
      <c r="F1237" s="3" t="s">
        <v>508</v>
      </c>
      <c r="G1237" s="70" t="s">
        <v>621</v>
      </c>
      <c r="H1237" s="3" t="s">
        <v>343</v>
      </c>
      <c r="I1237" s="3" t="s">
        <v>89</v>
      </c>
      <c r="J1237" s="3">
        <v>8800</v>
      </c>
      <c r="K1237" s="3">
        <v>10000</v>
      </c>
      <c r="L1237" s="3">
        <v>27120</v>
      </c>
      <c r="M1237" s="3">
        <v>10000</v>
      </c>
      <c r="N1237" s="3">
        <v>-8320</v>
      </c>
      <c r="O1237" s="70">
        <v>18320</v>
      </c>
      <c r="P1237" s="3">
        <v>0</v>
      </c>
      <c r="Q1237" s="3">
        <v>0</v>
      </c>
      <c r="R1237" s="3">
        <v>1.5729E-2</v>
      </c>
      <c r="S1237" s="3">
        <v>288.16000000000003</v>
      </c>
      <c r="T1237" s="3">
        <v>157.29</v>
      </c>
      <c r="U1237" s="3">
        <v>-130.87</v>
      </c>
      <c r="V1237" s="70" t="s">
        <v>335</v>
      </c>
      <c r="W1237" s="3" t="s">
        <v>817</v>
      </c>
      <c r="X1237" s="3" t="s">
        <v>508</v>
      </c>
      <c r="Y1237" s="3" t="s">
        <v>508</v>
      </c>
    </row>
    <row r="1238" spans="1:25" hidden="1" x14ac:dyDescent="0.2">
      <c r="A1238" s="83" t="str">
        <f t="shared" si="19"/>
        <v>郑州康复中街原味带骨鸡腿块</v>
      </c>
      <c r="B1238" s="3" t="s">
        <v>704</v>
      </c>
      <c r="C1238" s="3">
        <v>44377</v>
      </c>
      <c r="D1238" s="3" t="s">
        <v>620</v>
      </c>
      <c r="E1238" s="3" t="s">
        <v>508</v>
      </c>
      <c r="F1238" s="3" t="s">
        <v>508</v>
      </c>
      <c r="G1238" s="70" t="s">
        <v>621</v>
      </c>
      <c r="H1238" s="3" t="s">
        <v>343</v>
      </c>
      <c r="I1238" s="3" t="s">
        <v>89</v>
      </c>
      <c r="J1238" s="3">
        <v>0</v>
      </c>
      <c r="K1238" s="3">
        <v>50000</v>
      </c>
      <c r="L1238" s="3">
        <v>33120</v>
      </c>
      <c r="M1238" s="3">
        <v>16880</v>
      </c>
      <c r="N1238" s="3">
        <v>16880</v>
      </c>
      <c r="O1238" s="70">
        <v>0</v>
      </c>
      <c r="P1238" s="3">
        <v>0</v>
      </c>
      <c r="Q1238" s="3">
        <v>0</v>
      </c>
      <c r="R1238" s="3">
        <v>1.55E-2</v>
      </c>
      <c r="S1238" s="3">
        <v>0</v>
      </c>
      <c r="T1238" s="3">
        <v>261.64</v>
      </c>
      <c r="U1238" s="3">
        <v>261.64</v>
      </c>
      <c r="V1238" s="70" t="s">
        <v>593</v>
      </c>
      <c r="W1238" s="3" t="s">
        <v>343</v>
      </c>
      <c r="X1238" s="3" t="s">
        <v>508</v>
      </c>
      <c r="Y1238" s="3" t="s">
        <v>508</v>
      </c>
    </row>
    <row r="1239" spans="1:25" hidden="1" x14ac:dyDescent="0.2">
      <c r="A1239" s="83" t="str">
        <f t="shared" si="19"/>
        <v>郑州瀚海海尚原味带骨鸡腿块</v>
      </c>
      <c r="B1239" s="3" t="s">
        <v>706</v>
      </c>
      <c r="C1239" s="3">
        <v>44377</v>
      </c>
      <c r="D1239" s="3" t="s">
        <v>620</v>
      </c>
      <c r="E1239" s="3" t="s">
        <v>508</v>
      </c>
      <c r="F1239" s="3" t="s">
        <v>508</v>
      </c>
      <c r="G1239" s="70" t="s">
        <v>621</v>
      </c>
      <c r="H1239" s="3" t="s">
        <v>343</v>
      </c>
      <c r="I1239" s="3" t="s">
        <v>89</v>
      </c>
      <c r="J1239" s="3">
        <v>0</v>
      </c>
      <c r="K1239" s="3">
        <v>40000</v>
      </c>
      <c r="L1239" s="3">
        <v>36960</v>
      </c>
      <c r="M1239" s="3">
        <v>5000</v>
      </c>
      <c r="N1239" s="3">
        <v>3040</v>
      </c>
      <c r="O1239" s="70">
        <v>1960</v>
      </c>
      <c r="P1239" s="3">
        <v>0</v>
      </c>
      <c r="Q1239" s="3">
        <v>0</v>
      </c>
      <c r="R1239" s="3">
        <v>1.55E-2</v>
      </c>
      <c r="S1239" s="3">
        <v>30.38</v>
      </c>
      <c r="T1239" s="3">
        <v>77.5</v>
      </c>
      <c r="U1239" s="3">
        <v>47.12</v>
      </c>
      <c r="V1239" s="70" t="s">
        <v>333</v>
      </c>
      <c r="W1239" s="3" t="s">
        <v>818</v>
      </c>
      <c r="X1239" s="3" t="s">
        <v>508</v>
      </c>
      <c r="Y1239" s="3" t="s">
        <v>508</v>
      </c>
    </row>
    <row r="1240" spans="1:25" hidden="1" x14ac:dyDescent="0.2">
      <c r="A1240" s="83" t="str">
        <f t="shared" si="19"/>
        <v>华山龙源原味带骨鸡腿块</v>
      </c>
      <c r="B1240" s="3" t="s">
        <v>705</v>
      </c>
      <c r="C1240" s="3">
        <v>44377</v>
      </c>
      <c r="D1240" s="3" t="s">
        <v>620</v>
      </c>
      <c r="E1240" s="3" t="s">
        <v>508</v>
      </c>
      <c r="F1240" s="3" t="s">
        <v>508</v>
      </c>
      <c r="G1240" s="70" t="s">
        <v>621</v>
      </c>
      <c r="H1240" s="3" t="s">
        <v>343</v>
      </c>
      <c r="I1240" s="3" t="s">
        <v>89</v>
      </c>
      <c r="J1240" s="3">
        <v>0</v>
      </c>
      <c r="K1240" s="3">
        <v>30000</v>
      </c>
      <c r="L1240" s="3">
        <v>17280</v>
      </c>
      <c r="M1240" s="3">
        <v>15500</v>
      </c>
      <c r="N1240" s="3">
        <v>12720</v>
      </c>
      <c r="O1240" s="70">
        <v>2780</v>
      </c>
      <c r="P1240" s="3">
        <v>0</v>
      </c>
      <c r="Q1240" s="3">
        <v>0</v>
      </c>
      <c r="R1240" s="3">
        <v>1.55E-2</v>
      </c>
      <c r="S1240" s="3">
        <v>43.09</v>
      </c>
      <c r="T1240" s="3">
        <v>240.25</v>
      </c>
      <c r="U1240" s="3">
        <v>197.16</v>
      </c>
      <c r="V1240" s="70" t="s">
        <v>643</v>
      </c>
      <c r="W1240" s="3" t="s">
        <v>343</v>
      </c>
      <c r="X1240" s="3" t="s">
        <v>508</v>
      </c>
      <c r="Y1240" s="3" t="s">
        <v>508</v>
      </c>
    </row>
    <row r="1241" spans="1:25" hidden="1" x14ac:dyDescent="0.2">
      <c r="A1241" s="83" t="str">
        <f t="shared" si="19"/>
        <v>郑州西悦城原味带骨鸡腿块</v>
      </c>
      <c r="B1241" s="3" t="s">
        <v>708</v>
      </c>
      <c r="C1241" s="3">
        <v>44377</v>
      </c>
      <c r="D1241" s="3" t="s">
        <v>620</v>
      </c>
      <c r="E1241" s="3" t="s">
        <v>508</v>
      </c>
      <c r="F1241" s="3" t="s">
        <v>508</v>
      </c>
      <c r="G1241" s="70" t="s">
        <v>621</v>
      </c>
      <c r="H1241" s="3" t="s">
        <v>343</v>
      </c>
      <c r="I1241" s="3" t="s">
        <v>89</v>
      </c>
      <c r="J1241" s="3">
        <v>0</v>
      </c>
      <c r="K1241" s="3">
        <v>90000</v>
      </c>
      <c r="L1241" s="3">
        <v>61200</v>
      </c>
      <c r="M1241" s="3">
        <v>30000</v>
      </c>
      <c r="N1241" s="3">
        <v>28800</v>
      </c>
      <c r="O1241" s="70">
        <v>1200</v>
      </c>
      <c r="P1241" s="3">
        <v>0</v>
      </c>
      <c r="Q1241" s="3">
        <v>0</v>
      </c>
      <c r="R1241" s="3">
        <v>1.55E-2</v>
      </c>
      <c r="S1241" s="3">
        <v>18.600000000000001</v>
      </c>
      <c r="T1241" s="3">
        <v>465</v>
      </c>
      <c r="U1241" s="3">
        <v>446.4</v>
      </c>
      <c r="V1241" s="70" t="s">
        <v>332</v>
      </c>
      <c r="W1241" s="3" t="s">
        <v>343</v>
      </c>
      <c r="X1241" s="3" t="s">
        <v>508</v>
      </c>
      <c r="Y1241" s="3" t="s">
        <v>508</v>
      </c>
    </row>
    <row r="1242" spans="1:25" hidden="1" x14ac:dyDescent="0.2">
      <c r="A1242" s="83" t="str">
        <f t="shared" si="19"/>
        <v>郑州铁英街原味带骨鸡腿块</v>
      </c>
      <c r="B1242" s="3" t="s">
        <v>707</v>
      </c>
      <c r="C1242" s="3">
        <v>44377</v>
      </c>
      <c r="D1242" s="3" t="s">
        <v>620</v>
      </c>
      <c r="E1242" s="3" t="s">
        <v>508</v>
      </c>
      <c r="F1242" s="3" t="s">
        <v>508</v>
      </c>
      <c r="G1242" s="70" t="s">
        <v>621</v>
      </c>
      <c r="H1242" s="3" t="s">
        <v>343</v>
      </c>
      <c r="I1242" s="3" t="s">
        <v>89</v>
      </c>
      <c r="J1242" s="3">
        <v>0</v>
      </c>
      <c r="K1242" s="3">
        <v>20000</v>
      </c>
      <c r="L1242" s="3">
        <v>24960</v>
      </c>
      <c r="M1242" s="3">
        <v>0</v>
      </c>
      <c r="N1242" s="3">
        <v>-4960</v>
      </c>
      <c r="O1242" s="70">
        <v>4960</v>
      </c>
      <c r="P1242" s="3">
        <v>0</v>
      </c>
      <c r="Q1242" s="3">
        <v>0</v>
      </c>
      <c r="R1242" s="3">
        <v>1.55E-2</v>
      </c>
      <c r="S1242" s="3">
        <v>76.88</v>
      </c>
      <c r="T1242" s="3">
        <v>0</v>
      </c>
      <c r="U1242" s="3">
        <v>-76.88</v>
      </c>
      <c r="V1242" s="70" t="s">
        <v>592</v>
      </c>
      <c r="W1242" s="3" t="s">
        <v>343</v>
      </c>
      <c r="X1242" s="3" t="s">
        <v>508</v>
      </c>
      <c r="Y1242" s="3" t="s">
        <v>508</v>
      </c>
    </row>
    <row r="1243" spans="1:25" hidden="1" x14ac:dyDescent="0.2">
      <c r="A1243" s="83" t="str">
        <f t="shared" si="19"/>
        <v>郑州政六街原味带骨鸡腿块</v>
      </c>
      <c r="B1243" s="3" t="s">
        <v>714</v>
      </c>
      <c r="C1243" s="3">
        <v>44377</v>
      </c>
      <c r="D1243" s="3" t="s">
        <v>620</v>
      </c>
      <c r="E1243" s="3" t="s">
        <v>508</v>
      </c>
      <c r="F1243" s="3" t="s">
        <v>508</v>
      </c>
      <c r="G1243" s="70" t="s">
        <v>621</v>
      </c>
      <c r="H1243" s="3" t="s">
        <v>343</v>
      </c>
      <c r="I1243" s="3" t="s">
        <v>89</v>
      </c>
      <c r="J1243" s="3">
        <v>1050</v>
      </c>
      <c r="K1243" s="3">
        <v>20000</v>
      </c>
      <c r="L1243" s="3">
        <v>30960</v>
      </c>
      <c r="M1243" s="3">
        <v>0</v>
      </c>
      <c r="N1243" s="3">
        <v>-9910</v>
      </c>
      <c r="O1243" s="70">
        <v>9910</v>
      </c>
      <c r="P1243" s="3">
        <v>0</v>
      </c>
      <c r="Q1243" s="3">
        <v>0</v>
      </c>
      <c r="R1243" s="3">
        <v>1.5539000000000001E-2</v>
      </c>
      <c r="S1243" s="3">
        <v>153.99</v>
      </c>
      <c r="T1243" s="3">
        <v>0</v>
      </c>
      <c r="U1243" s="3">
        <v>-153.99</v>
      </c>
      <c r="V1243" s="70" t="s">
        <v>591</v>
      </c>
      <c r="W1243" s="3" t="s">
        <v>819</v>
      </c>
      <c r="X1243" s="3" t="s">
        <v>508</v>
      </c>
      <c r="Y1243" s="3" t="s">
        <v>508</v>
      </c>
    </row>
    <row r="1244" spans="1:25" hidden="1" x14ac:dyDescent="0.2">
      <c r="A1244" s="83" t="str">
        <f t="shared" si="19"/>
        <v>郑州政六街意式一口肠原材料</v>
      </c>
      <c r="B1244" s="3" t="s">
        <v>714</v>
      </c>
      <c r="C1244" s="3">
        <v>44377</v>
      </c>
      <c r="D1244" s="3" t="s">
        <v>575</v>
      </c>
      <c r="E1244" s="3" t="s">
        <v>508</v>
      </c>
      <c r="F1244" s="3" t="s">
        <v>508</v>
      </c>
      <c r="G1244" s="70" t="s">
        <v>674</v>
      </c>
      <c r="H1244" s="3" t="s">
        <v>576</v>
      </c>
      <c r="I1244" s="3" t="s">
        <v>577</v>
      </c>
      <c r="J1244" s="3">
        <v>0</v>
      </c>
      <c r="K1244" s="3">
        <v>0</v>
      </c>
      <c r="L1244" s="3">
        <v>6</v>
      </c>
      <c r="M1244" s="3">
        <v>0</v>
      </c>
      <c r="N1244" s="3">
        <v>-6</v>
      </c>
      <c r="O1244" s="70">
        <v>6</v>
      </c>
      <c r="P1244" s="3">
        <v>0</v>
      </c>
      <c r="Q1244" s="3">
        <v>0</v>
      </c>
      <c r="R1244" s="3">
        <v>1.2</v>
      </c>
      <c r="S1244" s="3">
        <v>7.2</v>
      </c>
      <c r="T1244" s="3">
        <v>0</v>
      </c>
      <c r="U1244" s="3">
        <v>-7.2</v>
      </c>
      <c r="V1244" s="70" t="s">
        <v>591</v>
      </c>
      <c r="W1244" s="3" t="s">
        <v>343</v>
      </c>
      <c r="X1244" s="3" t="s">
        <v>508</v>
      </c>
      <c r="Y1244" s="3" t="s">
        <v>508</v>
      </c>
    </row>
    <row r="1245" spans="1:25" hidden="1" x14ac:dyDescent="0.2">
      <c r="A1245" s="83" t="str">
        <f t="shared" si="19"/>
        <v>郑州铁英街意式一口肠原材料</v>
      </c>
      <c r="B1245" s="3" t="s">
        <v>707</v>
      </c>
      <c r="C1245" s="3">
        <v>44377</v>
      </c>
      <c r="D1245" s="3" t="s">
        <v>575</v>
      </c>
      <c r="E1245" s="3" t="s">
        <v>508</v>
      </c>
      <c r="F1245" s="3" t="s">
        <v>508</v>
      </c>
      <c r="G1245" s="70" t="s">
        <v>674</v>
      </c>
      <c r="H1245" s="3" t="s">
        <v>576</v>
      </c>
      <c r="I1245" s="3" t="s">
        <v>577</v>
      </c>
      <c r="J1245" s="3">
        <v>158</v>
      </c>
      <c r="K1245" s="3">
        <v>0</v>
      </c>
      <c r="L1245" s="3">
        <v>8</v>
      </c>
      <c r="M1245" s="3">
        <v>150</v>
      </c>
      <c r="N1245" s="3">
        <v>150</v>
      </c>
      <c r="O1245" s="70">
        <v>0</v>
      </c>
      <c r="P1245" s="3">
        <v>0</v>
      </c>
      <c r="Q1245" s="3">
        <v>0</v>
      </c>
      <c r="R1245" s="3">
        <v>1.2</v>
      </c>
      <c r="S1245" s="3">
        <v>0</v>
      </c>
      <c r="T1245" s="3">
        <v>180</v>
      </c>
      <c r="U1245" s="3">
        <v>180</v>
      </c>
      <c r="V1245" s="70" t="s">
        <v>592</v>
      </c>
      <c r="W1245" s="3" t="s">
        <v>343</v>
      </c>
      <c r="X1245" s="3" t="s">
        <v>508</v>
      </c>
      <c r="Y1245" s="3" t="s">
        <v>508</v>
      </c>
    </row>
    <row r="1246" spans="1:25" hidden="1" x14ac:dyDescent="0.2">
      <c r="A1246" s="83" t="str">
        <f t="shared" si="19"/>
        <v>郑州西悦城意式一口肠原材料</v>
      </c>
      <c r="B1246" s="3" t="s">
        <v>708</v>
      </c>
      <c r="C1246" s="3">
        <v>44377</v>
      </c>
      <c r="D1246" s="3" t="s">
        <v>575</v>
      </c>
      <c r="E1246" s="3" t="s">
        <v>508</v>
      </c>
      <c r="F1246" s="3" t="s">
        <v>508</v>
      </c>
      <c r="G1246" s="70" t="s">
        <v>674</v>
      </c>
      <c r="H1246" s="3" t="s">
        <v>576</v>
      </c>
      <c r="I1246" s="3" t="s">
        <v>577</v>
      </c>
      <c r="J1246" s="3">
        <v>85</v>
      </c>
      <c r="K1246" s="3">
        <v>0</v>
      </c>
      <c r="L1246" s="3">
        <v>17</v>
      </c>
      <c r="M1246" s="3">
        <v>68</v>
      </c>
      <c r="N1246" s="3">
        <v>68</v>
      </c>
      <c r="O1246" s="70">
        <v>0</v>
      </c>
      <c r="P1246" s="3">
        <v>0</v>
      </c>
      <c r="Q1246" s="3">
        <v>0</v>
      </c>
      <c r="R1246" s="3">
        <v>1.2</v>
      </c>
      <c r="S1246" s="3">
        <v>0</v>
      </c>
      <c r="T1246" s="3">
        <v>81.599999999999994</v>
      </c>
      <c r="U1246" s="3">
        <v>81.599999999999994</v>
      </c>
      <c r="V1246" s="70" t="s">
        <v>332</v>
      </c>
      <c r="W1246" s="3" t="s">
        <v>343</v>
      </c>
      <c r="X1246" s="3" t="s">
        <v>508</v>
      </c>
      <c r="Y1246" s="3" t="s">
        <v>508</v>
      </c>
    </row>
    <row r="1247" spans="1:25" hidden="1" x14ac:dyDescent="0.2">
      <c r="A1247" s="83" t="str">
        <f t="shared" si="19"/>
        <v>郑州瀚海海尚意式一口肠原材料</v>
      </c>
      <c r="B1247" s="3" t="s">
        <v>706</v>
      </c>
      <c r="C1247" s="3">
        <v>44377</v>
      </c>
      <c r="D1247" s="3" t="s">
        <v>575</v>
      </c>
      <c r="E1247" s="3" t="s">
        <v>508</v>
      </c>
      <c r="F1247" s="3" t="s">
        <v>508</v>
      </c>
      <c r="G1247" s="70" t="s">
        <v>674</v>
      </c>
      <c r="H1247" s="3" t="s">
        <v>576</v>
      </c>
      <c r="I1247" s="3" t="s">
        <v>577</v>
      </c>
      <c r="J1247" s="3">
        <v>105</v>
      </c>
      <c r="K1247" s="3">
        <v>0</v>
      </c>
      <c r="L1247" s="3">
        <v>16</v>
      </c>
      <c r="M1247" s="3">
        <v>89</v>
      </c>
      <c r="N1247" s="3">
        <v>89</v>
      </c>
      <c r="O1247" s="70">
        <v>0</v>
      </c>
      <c r="P1247" s="3">
        <v>0</v>
      </c>
      <c r="Q1247" s="3">
        <v>0</v>
      </c>
      <c r="R1247" s="3">
        <v>1.2</v>
      </c>
      <c r="S1247" s="3">
        <v>0</v>
      </c>
      <c r="T1247" s="3">
        <v>106.8</v>
      </c>
      <c r="U1247" s="3">
        <v>106.8</v>
      </c>
      <c r="V1247" s="70" t="s">
        <v>333</v>
      </c>
      <c r="W1247" s="3" t="s">
        <v>343</v>
      </c>
      <c r="X1247" s="3" t="s">
        <v>508</v>
      </c>
      <c r="Y1247" s="3" t="s">
        <v>508</v>
      </c>
    </row>
    <row r="1248" spans="1:25" hidden="1" x14ac:dyDescent="0.2">
      <c r="A1248" s="83" t="str">
        <f t="shared" si="19"/>
        <v>郑州康复中街意式一口肠原材料</v>
      </c>
      <c r="B1248" s="3" t="s">
        <v>704</v>
      </c>
      <c r="C1248" s="3">
        <v>44377</v>
      </c>
      <c r="D1248" s="3" t="s">
        <v>575</v>
      </c>
      <c r="E1248" s="3" t="s">
        <v>508</v>
      </c>
      <c r="F1248" s="3" t="s">
        <v>508</v>
      </c>
      <c r="G1248" s="70" t="s">
        <v>674</v>
      </c>
      <c r="H1248" s="3" t="s">
        <v>576</v>
      </c>
      <c r="I1248" s="3" t="s">
        <v>577</v>
      </c>
      <c r="J1248" s="3">
        <v>148</v>
      </c>
      <c r="K1248" s="3">
        <v>0</v>
      </c>
      <c r="L1248" s="3">
        <v>15</v>
      </c>
      <c r="M1248" s="3">
        <v>125</v>
      </c>
      <c r="N1248" s="3">
        <v>133</v>
      </c>
      <c r="O1248" s="70">
        <v>-8</v>
      </c>
      <c r="P1248" s="3">
        <v>0</v>
      </c>
      <c r="Q1248" s="3">
        <v>0</v>
      </c>
      <c r="R1248" s="3">
        <v>1.2</v>
      </c>
      <c r="S1248" s="3">
        <v>-9.6</v>
      </c>
      <c r="T1248" s="3">
        <v>150</v>
      </c>
      <c r="U1248" s="3">
        <v>159.6</v>
      </c>
      <c r="V1248" s="70" t="s">
        <v>593</v>
      </c>
      <c r="W1248" s="3" t="s">
        <v>343</v>
      </c>
      <c r="X1248" s="3" t="s">
        <v>508</v>
      </c>
      <c r="Y1248" s="3" t="s">
        <v>508</v>
      </c>
    </row>
    <row r="1249" spans="1:25" hidden="1" x14ac:dyDescent="0.2">
      <c r="A1249" s="83" t="str">
        <f t="shared" si="19"/>
        <v>郑州盛华里意式一口肠原材料</v>
      </c>
      <c r="B1249" s="3" t="s">
        <v>709</v>
      </c>
      <c r="C1249" s="3">
        <v>44377</v>
      </c>
      <c r="D1249" s="3" t="s">
        <v>575</v>
      </c>
      <c r="E1249" s="3" t="s">
        <v>508</v>
      </c>
      <c r="F1249" s="3" t="s">
        <v>508</v>
      </c>
      <c r="G1249" s="70" t="s">
        <v>674</v>
      </c>
      <c r="H1249" s="3" t="s">
        <v>576</v>
      </c>
      <c r="I1249" s="3" t="s">
        <v>577</v>
      </c>
      <c r="J1249" s="3">
        <v>0</v>
      </c>
      <c r="K1249" s="3">
        <v>0</v>
      </c>
      <c r="L1249" s="3">
        <v>8</v>
      </c>
      <c r="M1249" s="3">
        <v>0</v>
      </c>
      <c r="N1249" s="3">
        <v>-8</v>
      </c>
      <c r="O1249" s="70">
        <v>8</v>
      </c>
      <c r="P1249" s="3">
        <v>0</v>
      </c>
      <c r="Q1249" s="3">
        <v>0</v>
      </c>
      <c r="R1249" s="3">
        <v>1.2</v>
      </c>
      <c r="S1249" s="3">
        <v>9.6</v>
      </c>
      <c r="T1249" s="3">
        <v>0</v>
      </c>
      <c r="U1249" s="3">
        <v>-9.6</v>
      </c>
      <c r="V1249" s="70" t="s">
        <v>637</v>
      </c>
      <c r="W1249" s="3" t="s">
        <v>343</v>
      </c>
      <c r="X1249" s="3" t="s">
        <v>508</v>
      </c>
      <c r="Y1249" s="3" t="s">
        <v>508</v>
      </c>
    </row>
    <row r="1250" spans="1:25" hidden="1" x14ac:dyDescent="0.2">
      <c r="A1250" s="83" t="str">
        <f t="shared" si="19"/>
        <v>滑县滑台意式一口肠原材料</v>
      </c>
      <c r="B1250" s="3" t="s">
        <v>710</v>
      </c>
      <c r="C1250" s="3">
        <v>44377</v>
      </c>
      <c r="D1250" s="3" t="s">
        <v>575</v>
      </c>
      <c r="E1250" s="3" t="s">
        <v>508</v>
      </c>
      <c r="F1250" s="3" t="s">
        <v>508</v>
      </c>
      <c r="G1250" s="70" t="s">
        <v>674</v>
      </c>
      <c r="H1250" s="3" t="s">
        <v>576</v>
      </c>
      <c r="I1250" s="3" t="s">
        <v>577</v>
      </c>
      <c r="J1250" s="3">
        <v>3</v>
      </c>
      <c r="K1250" s="3">
        <v>0</v>
      </c>
      <c r="L1250" s="3">
        <v>0</v>
      </c>
      <c r="M1250" s="3">
        <v>3</v>
      </c>
      <c r="N1250" s="3">
        <v>3</v>
      </c>
      <c r="O1250" s="70">
        <v>0</v>
      </c>
      <c r="P1250" s="3">
        <v>0</v>
      </c>
      <c r="Q1250" s="3">
        <v>0</v>
      </c>
      <c r="R1250" s="3">
        <v>1.25</v>
      </c>
      <c r="S1250" s="3">
        <v>0</v>
      </c>
      <c r="T1250" s="3">
        <v>3.75</v>
      </c>
      <c r="U1250" s="3">
        <v>3.75</v>
      </c>
      <c r="V1250" s="70" t="s">
        <v>639</v>
      </c>
      <c r="W1250" s="3" t="s">
        <v>343</v>
      </c>
      <c r="X1250" s="3" t="s">
        <v>508</v>
      </c>
      <c r="Y1250" s="3" t="s">
        <v>508</v>
      </c>
    </row>
    <row r="1251" spans="1:25" hidden="1" x14ac:dyDescent="0.2">
      <c r="A1251" s="83" t="str">
        <f t="shared" si="19"/>
        <v>清丰凤鸣意式一口肠原材料</v>
      </c>
      <c r="B1251" s="3" t="s">
        <v>713</v>
      </c>
      <c r="C1251" s="3">
        <v>44377</v>
      </c>
      <c r="D1251" s="3" t="s">
        <v>575</v>
      </c>
      <c r="E1251" s="3" t="s">
        <v>508</v>
      </c>
      <c r="F1251" s="3" t="s">
        <v>508</v>
      </c>
      <c r="G1251" s="70" t="s">
        <v>674</v>
      </c>
      <c r="H1251" s="3" t="s">
        <v>576</v>
      </c>
      <c r="I1251" s="3" t="s">
        <v>577</v>
      </c>
      <c r="J1251" s="3">
        <v>75</v>
      </c>
      <c r="K1251" s="3">
        <v>0</v>
      </c>
      <c r="L1251" s="3">
        <v>17</v>
      </c>
      <c r="M1251" s="3">
        <v>57</v>
      </c>
      <c r="N1251" s="3">
        <v>58</v>
      </c>
      <c r="O1251" s="70">
        <v>-1</v>
      </c>
      <c r="P1251" s="3">
        <v>0</v>
      </c>
      <c r="Q1251" s="3">
        <v>0</v>
      </c>
      <c r="R1251" s="3">
        <v>1.2</v>
      </c>
      <c r="S1251" s="3">
        <v>-1.2</v>
      </c>
      <c r="T1251" s="3">
        <v>68.400000000000006</v>
      </c>
      <c r="U1251" s="3">
        <v>69.599999999999994</v>
      </c>
      <c r="V1251" s="70" t="s">
        <v>334</v>
      </c>
      <c r="W1251" s="3" t="s">
        <v>343</v>
      </c>
      <c r="X1251" s="3" t="s">
        <v>508</v>
      </c>
      <c r="Y1251" s="3" t="s">
        <v>508</v>
      </c>
    </row>
    <row r="1252" spans="1:25" hidden="1" x14ac:dyDescent="0.2">
      <c r="A1252" s="83" t="str">
        <f t="shared" si="19"/>
        <v>方城锦城国际黑糖风味粉圆</v>
      </c>
      <c r="B1252" s="3" t="s">
        <v>712</v>
      </c>
      <c r="C1252" s="3">
        <v>44377</v>
      </c>
      <c r="D1252" s="3" t="s">
        <v>578</v>
      </c>
      <c r="E1252" s="3" t="s">
        <v>508</v>
      </c>
      <c r="F1252" s="3" t="s">
        <v>508</v>
      </c>
      <c r="G1252" s="70" t="s">
        <v>579</v>
      </c>
      <c r="H1252" s="3" t="s">
        <v>343</v>
      </c>
      <c r="I1252" s="3" t="s">
        <v>89</v>
      </c>
      <c r="J1252" s="3">
        <v>2300</v>
      </c>
      <c r="K1252" s="3">
        <v>0</v>
      </c>
      <c r="L1252" s="3">
        <v>1375</v>
      </c>
      <c r="M1252" s="3">
        <v>1000</v>
      </c>
      <c r="N1252" s="3">
        <v>925</v>
      </c>
      <c r="O1252" s="70">
        <v>75</v>
      </c>
      <c r="P1252" s="3">
        <v>0</v>
      </c>
      <c r="Q1252" s="3">
        <v>0</v>
      </c>
      <c r="R1252" s="3">
        <v>1.35E-2</v>
      </c>
      <c r="S1252" s="3">
        <v>1.01</v>
      </c>
      <c r="T1252" s="3">
        <v>13.5</v>
      </c>
      <c r="U1252" s="3">
        <v>12.49</v>
      </c>
      <c r="V1252" s="70" t="s">
        <v>594</v>
      </c>
      <c r="W1252" s="3" t="s">
        <v>343</v>
      </c>
      <c r="X1252" s="3" t="s">
        <v>508</v>
      </c>
      <c r="Y1252" s="3" t="s">
        <v>508</v>
      </c>
    </row>
    <row r="1253" spans="1:25" hidden="1" x14ac:dyDescent="0.2">
      <c r="A1253" s="83" t="str">
        <f t="shared" si="19"/>
        <v>清丰凤鸣黑糖风味粉圆</v>
      </c>
      <c r="B1253" s="3" t="s">
        <v>713</v>
      </c>
      <c r="C1253" s="3">
        <v>44377</v>
      </c>
      <c r="D1253" s="3" t="s">
        <v>578</v>
      </c>
      <c r="E1253" s="3" t="s">
        <v>508</v>
      </c>
      <c r="F1253" s="3" t="s">
        <v>508</v>
      </c>
      <c r="G1253" s="70" t="s">
        <v>579</v>
      </c>
      <c r="H1253" s="3" t="s">
        <v>343</v>
      </c>
      <c r="I1253" s="3" t="s">
        <v>89</v>
      </c>
      <c r="J1253" s="3">
        <v>2500</v>
      </c>
      <c r="K1253" s="3">
        <v>0</v>
      </c>
      <c r="L1253" s="3">
        <v>0</v>
      </c>
      <c r="M1253" s="3">
        <v>2500</v>
      </c>
      <c r="N1253" s="3">
        <v>2500</v>
      </c>
      <c r="O1253" s="70">
        <v>0</v>
      </c>
      <c r="P1253" s="3">
        <v>0</v>
      </c>
      <c r="Q1253" s="3">
        <v>0</v>
      </c>
      <c r="R1253" s="3">
        <v>1.35E-2</v>
      </c>
      <c r="S1253" s="3">
        <v>0</v>
      </c>
      <c r="T1253" s="3">
        <v>33.75</v>
      </c>
      <c r="U1253" s="3">
        <v>33.75</v>
      </c>
      <c r="V1253" s="70" t="s">
        <v>334</v>
      </c>
      <c r="W1253" s="3" t="s">
        <v>343</v>
      </c>
      <c r="X1253" s="3" t="s">
        <v>508</v>
      </c>
      <c r="Y1253" s="3" t="s">
        <v>508</v>
      </c>
    </row>
    <row r="1254" spans="1:25" hidden="1" x14ac:dyDescent="0.2">
      <c r="A1254" s="83" t="str">
        <f t="shared" si="19"/>
        <v>郑州盛华里黑糖风味粉圆</v>
      </c>
      <c r="B1254" s="3" t="s">
        <v>709</v>
      </c>
      <c r="C1254" s="3">
        <v>44377</v>
      </c>
      <c r="D1254" s="3" t="s">
        <v>578</v>
      </c>
      <c r="E1254" s="3" t="s">
        <v>508</v>
      </c>
      <c r="F1254" s="3" t="s">
        <v>508</v>
      </c>
      <c r="G1254" s="70" t="s">
        <v>579</v>
      </c>
      <c r="H1254" s="3" t="s">
        <v>343</v>
      </c>
      <c r="I1254" s="3" t="s">
        <v>89</v>
      </c>
      <c r="J1254" s="3">
        <v>0</v>
      </c>
      <c r="K1254" s="3">
        <v>0</v>
      </c>
      <c r="L1254" s="3">
        <v>220</v>
      </c>
      <c r="M1254" s="3">
        <v>0</v>
      </c>
      <c r="N1254" s="3">
        <v>-220</v>
      </c>
      <c r="O1254" s="70">
        <v>220</v>
      </c>
      <c r="P1254" s="3">
        <v>0</v>
      </c>
      <c r="Q1254" s="3">
        <v>0</v>
      </c>
      <c r="R1254" s="3">
        <v>1.35E-2</v>
      </c>
      <c r="S1254" s="3">
        <v>2.97</v>
      </c>
      <c r="T1254" s="3">
        <v>0</v>
      </c>
      <c r="U1254" s="3">
        <v>-2.97</v>
      </c>
      <c r="V1254" s="70" t="s">
        <v>637</v>
      </c>
      <c r="W1254" s="3" t="s">
        <v>343</v>
      </c>
      <c r="X1254" s="3" t="s">
        <v>508</v>
      </c>
      <c r="Y1254" s="3" t="s">
        <v>508</v>
      </c>
    </row>
    <row r="1255" spans="1:25" hidden="1" x14ac:dyDescent="0.2">
      <c r="A1255" s="83" t="str">
        <f t="shared" si="19"/>
        <v>郑州盛华里翅中尖</v>
      </c>
      <c r="B1255" s="3" t="s">
        <v>709</v>
      </c>
      <c r="C1255" s="3">
        <v>44377</v>
      </c>
      <c r="D1255" s="3" t="s">
        <v>580</v>
      </c>
      <c r="E1255" s="3" t="s">
        <v>508</v>
      </c>
      <c r="F1255" s="3" t="s">
        <v>508</v>
      </c>
      <c r="G1255" s="70" t="s">
        <v>581</v>
      </c>
      <c r="H1255" s="3" t="s">
        <v>582</v>
      </c>
      <c r="I1255" s="3" t="s">
        <v>339</v>
      </c>
      <c r="J1255" s="3">
        <v>228</v>
      </c>
      <c r="K1255" s="3">
        <v>0</v>
      </c>
      <c r="L1255" s="3">
        <v>0</v>
      </c>
      <c r="M1255" s="3">
        <v>228</v>
      </c>
      <c r="N1255" s="3">
        <v>228</v>
      </c>
      <c r="O1255" s="70">
        <v>0</v>
      </c>
      <c r="P1255" s="3">
        <v>0</v>
      </c>
      <c r="Q1255" s="3">
        <v>0</v>
      </c>
      <c r="R1255" s="3">
        <v>1.5925</v>
      </c>
      <c r="S1255" s="3">
        <v>0</v>
      </c>
      <c r="T1255" s="3">
        <v>363.09</v>
      </c>
      <c r="U1255" s="3">
        <v>363.09</v>
      </c>
      <c r="V1255" s="70" t="s">
        <v>637</v>
      </c>
      <c r="W1255" s="3" t="s">
        <v>343</v>
      </c>
      <c r="X1255" s="3" t="s">
        <v>508</v>
      </c>
      <c r="Y1255" s="3" t="s">
        <v>508</v>
      </c>
    </row>
    <row r="1256" spans="1:25" hidden="1" x14ac:dyDescent="0.2">
      <c r="A1256" s="83" t="str">
        <f t="shared" si="19"/>
        <v>滑县滑台翅中尖</v>
      </c>
      <c r="B1256" s="3" t="s">
        <v>710</v>
      </c>
      <c r="C1256" s="3">
        <v>44377</v>
      </c>
      <c r="D1256" s="3" t="s">
        <v>580</v>
      </c>
      <c r="E1256" s="3" t="s">
        <v>508</v>
      </c>
      <c r="F1256" s="3" t="s">
        <v>508</v>
      </c>
      <c r="G1256" s="70" t="s">
        <v>581</v>
      </c>
      <c r="H1256" s="3" t="s">
        <v>582</v>
      </c>
      <c r="I1256" s="3" t="s">
        <v>339</v>
      </c>
      <c r="J1256" s="3">
        <v>201</v>
      </c>
      <c r="K1256" s="3">
        <v>0</v>
      </c>
      <c r="L1256" s="3">
        <v>0</v>
      </c>
      <c r="M1256" s="3">
        <v>166</v>
      </c>
      <c r="N1256" s="3">
        <v>201</v>
      </c>
      <c r="O1256" s="70">
        <v>-35</v>
      </c>
      <c r="P1256" s="3">
        <v>0</v>
      </c>
      <c r="Q1256" s="3">
        <v>0</v>
      </c>
      <c r="R1256" s="3">
        <v>1.5924700000000001</v>
      </c>
      <c r="S1256" s="3">
        <v>-55.74</v>
      </c>
      <c r="T1256" s="3">
        <v>264.35000000000002</v>
      </c>
      <c r="U1256" s="3">
        <v>320.08999999999997</v>
      </c>
      <c r="V1256" s="70" t="s">
        <v>639</v>
      </c>
      <c r="W1256" s="3" t="s">
        <v>757</v>
      </c>
      <c r="X1256" s="3" t="s">
        <v>508</v>
      </c>
      <c r="Y1256" s="3" t="s">
        <v>508</v>
      </c>
    </row>
    <row r="1257" spans="1:25" hidden="1" x14ac:dyDescent="0.2">
      <c r="A1257" s="83" t="str">
        <f t="shared" si="19"/>
        <v>郑州裕华翅中尖</v>
      </c>
      <c r="B1257" s="3" t="s">
        <v>711</v>
      </c>
      <c r="C1257" s="3">
        <v>44377</v>
      </c>
      <c r="D1257" s="3" t="s">
        <v>580</v>
      </c>
      <c r="E1257" s="3" t="s">
        <v>508</v>
      </c>
      <c r="F1257" s="3" t="s">
        <v>508</v>
      </c>
      <c r="G1257" s="70" t="s">
        <v>581</v>
      </c>
      <c r="H1257" s="3" t="s">
        <v>582</v>
      </c>
      <c r="I1257" s="3" t="s">
        <v>339</v>
      </c>
      <c r="J1257" s="3">
        <v>192</v>
      </c>
      <c r="K1257" s="3">
        <v>0</v>
      </c>
      <c r="L1257" s="3">
        <v>0</v>
      </c>
      <c r="M1257" s="3">
        <v>120</v>
      </c>
      <c r="N1257" s="3">
        <v>192</v>
      </c>
      <c r="O1257" s="70">
        <v>-72</v>
      </c>
      <c r="P1257" s="3">
        <v>0</v>
      </c>
      <c r="Q1257" s="3">
        <v>0</v>
      </c>
      <c r="R1257" s="3">
        <v>1.5925</v>
      </c>
      <c r="S1257" s="3">
        <v>-114.66</v>
      </c>
      <c r="T1257" s="3">
        <v>191.1</v>
      </c>
      <c r="U1257" s="3">
        <v>305.76</v>
      </c>
      <c r="V1257" s="70" t="s">
        <v>641</v>
      </c>
      <c r="W1257" s="3" t="s">
        <v>820</v>
      </c>
      <c r="X1257" s="3" t="s">
        <v>508</v>
      </c>
      <c r="Y1257" s="3" t="s">
        <v>508</v>
      </c>
    </row>
    <row r="1258" spans="1:25" hidden="1" x14ac:dyDescent="0.2">
      <c r="A1258" s="83" t="str">
        <f t="shared" si="19"/>
        <v>郑州康复中街翅中尖</v>
      </c>
      <c r="B1258" s="3" t="s">
        <v>704</v>
      </c>
      <c r="C1258" s="3">
        <v>44377</v>
      </c>
      <c r="D1258" s="3" t="s">
        <v>580</v>
      </c>
      <c r="E1258" s="3" t="s">
        <v>508</v>
      </c>
      <c r="F1258" s="3" t="s">
        <v>508</v>
      </c>
      <c r="G1258" s="70" t="s">
        <v>581</v>
      </c>
      <c r="H1258" s="3" t="s">
        <v>582</v>
      </c>
      <c r="I1258" s="3" t="s">
        <v>339</v>
      </c>
      <c r="J1258" s="3">
        <v>212</v>
      </c>
      <c r="K1258" s="3">
        <v>0</v>
      </c>
      <c r="L1258" s="3">
        <v>0</v>
      </c>
      <c r="M1258" s="3">
        <v>200</v>
      </c>
      <c r="N1258" s="3">
        <v>212</v>
      </c>
      <c r="O1258" s="70">
        <v>-12</v>
      </c>
      <c r="P1258" s="3">
        <v>0</v>
      </c>
      <c r="Q1258" s="3">
        <v>0</v>
      </c>
      <c r="R1258" s="3">
        <v>1.5925</v>
      </c>
      <c r="S1258" s="3">
        <v>-19.11</v>
      </c>
      <c r="T1258" s="3">
        <v>318.5</v>
      </c>
      <c r="U1258" s="3">
        <v>337.61</v>
      </c>
      <c r="V1258" s="70" t="s">
        <v>593</v>
      </c>
      <c r="W1258" s="3" t="s">
        <v>675</v>
      </c>
      <c r="X1258" s="3" t="s">
        <v>508</v>
      </c>
      <c r="Y1258" s="3" t="s">
        <v>508</v>
      </c>
    </row>
    <row r="1259" spans="1:25" hidden="1" x14ac:dyDescent="0.2">
      <c r="A1259" s="83" t="str">
        <f t="shared" si="19"/>
        <v>华山龙源翅中尖</v>
      </c>
      <c r="B1259" s="3" t="s">
        <v>705</v>
      </c>
      <c r="C1259" s="3">
        <v>44377</v>
      </c>
      <c r="D1259" s="3" t="s">
        <v>580</v>
      </c>
      <c r="E1259" s="3" t="s">
        <v>508</v>
      </c>
      <c r="F1259" s="3" t="s">
        <v>508</v>
      </c>
      <c r="G1259" s="70" t="s">
        <v>581</v>
      </c>
      <c r="H1259" s="3" t="s">
        <v>582</v>
      </c>
      <c r="I1259" s="3" t="s">
        <v>339</v>
      </c>
      <c r="J1259" s="3">
        <v>0</v>
      </c>
      <c r="K1259" s="3">
        <v>72</v>
      </c>
      <c r="L1259" s="3">
        <v>0</v>
      </c>
      <c r="M1259" s="3">
        <v>0</v>
      </c>
      <c r="N1259" s="3">
        <v>72</v>
      </c>
      <c r="O1259" s="70">
        <v>-72</v>
      </c>
      <c r="P1259" s="3">
        <v>0</v>
      </c>
      <c r="Q1259" s="3">
        <v>0</v>
      </c>
      <c r="R1259" s="3">
        <v>1.5972219999999999</v>
      </c>
      <c r="S1259" s="3">
        <v>-115</v>
      </c>
      <c r="T1259" s="3">
        <v>0</v>
      </c>
      <c r="U1259" s="3">
        <v>115</v>
      </c>
      <c r="V1259" s="70" t="s">
        <v>643</v>
      </c>
      <c r="W1259" s="3" t="s">
        <v>820</v>
      </c>
      <c r="X1259" s="3" t="s">
        <v>508</v>
      </c>
      <c r="Y1259" s="3" t="s">
        <v>508</v>
      </c>
    </row>
    <row r="1260" spans="1:25" hidden="1" x14ac:dyDescent="0.2">
      <c r="A1260" s="83" t="str">
        <f t="shared" si="19"/>
        <v>郑州瀚海海尚翅中尖</v>
      </c>
      <c r="B1260" s="3" t="s">
        <v>706</v>
      </c>
      <c r="C1260" s="3">
        <v>44377</v>
      </c>
      <c r="D1260" s="3" t="s">
        <v>580</v>
      </c>
      <c r="E1260" s="3" t="s">
        <v>508</v>
      </c>
      <c r="F1260" s="3" t="s">
        <v>508</v>
      </c>
      <c r="G1260" s="70" t="s">
        <v>581</v>
      </c>
      <c r="H1260" s="3" t="s">
        <v>582</v>
      </c>
      <c r="I1260" s="3" t="s">
        <v>339</v>
      </c>
      <c r="J1260" s="3">
        <v>144</v>
      </c>
      <c r="K1260" s="3">
        <v>0</v>
      </c>
      <c r="L1260" s="3">
        <v>24</v>
      </c>
      <c r="M1260" s="3">
        <v>48</v>
      </c>
      <c r="N1260" s="3">
        <v>120</v>
      </c>
      <c r="O1260" s="70">
        <v>-72</v>
      </c>
      <c r="P1260" s="3">
        <v>0</v>
      </c>
      <c r="Q1260" s="3">
        <v>0</v>
      </c>
      <c r="R1260" s="3">
        <v>1.666042</v>
      </c>
      <c r="S1260" s="3">
        <v>-119.96</v>
      </c>
      <c r="T1260" s="3">
        <v>79.97</v>
      </c>
      <c r="U1260" s="3">
        <v>199.93</v>
      </c>
      <c r="V1260" s="70" t="s">
        <v>333</v>
      </c>
      <c r="W1260" s="3" t="s">
        <v>758</v>
      </c>
      <c r="X1260" s="3" t="s">
        <v>508</v>
      </c>
      <c r="Y1260" s="3" t="s">
        <v>508</v>
      </c>
    </row>
    <row r="1261" spans="1:25" hidden="1" x14ac:dyDescent="0.2">
      <c r="A1261" s="83" t="str">
        <f t="shared" si="19"/>
        <v>郑州西悦城翅中尖</v>
      </c>
      <c r="B1261" s="3" t="s">
        <v>708</v>
      </c>
      <c r="C1261" s="3">
        <v>44377</v>
      </c>
      <c r="D1261" s="3" t="s">
        <v>580</v>
      </c>
      <c r="E1261" s="3" t="s">
        <v>508</v>
      </c>
      <c r="F1261" s="3" t="s">
        <v>508</v>
      </c>
      <c r="G1261" s="70" t="s">
        <v>581</v>
      </c>
      <c r="H1261" s="3" t="s">
        <v>582</v>
      </c>
      <c r="I1261" s="3" t="s">
        <v>339</v>
      </c>
      <c r="J1261" s="3">
        <v>200</v>
      </c>
      <c r="K1261" s="3">
        <v>0</v>
      </c>
      <c r="L1261" s="3">
        <v>0</v>
      </c>
      <c r="M1261" s="3">
        <v>40</v>
      </c>
      <c r="N1261" s="3">
        <v>200</v>
      </c>
      <c r="O1261" s="70">
        <v>-160</v>
      </c>
      <c r="P1261" s="3">
        <v>0</v>
      </c>
      <c r="Q1261" s="3">
        <v>0</v>
      </c>
      <c r="R1261" s="3">
        <v>1.5925</v>
      </c>
      <c r="S1261" s="3">
        <v>-254.8</v>
      </c>
      <c r="T1261" s="3">
        <v>63.7</v>
      </c>
      <c r="U1261" s="3">
        <v>318.5</v>
      </c>
      <c r="V1261" s="70" t="s">
        <v>332</v>
      </c>
      <c r="W1261" s="3" t="s">
        <v>821</v>
      </c>
      <c r="X1261" s="3" t="s">
        <v>508</v>
      </c>
      <c r="Y1261" s="3" t="s">
        <v>508</v>
      </c>
    </row>
    <row r="1262" spans="1:25" hidden="1" x14ac:dyDescent="0.2">
      <c r="A1262" s="83" t="str">
        <f t="shared" si="19"/>
        <v>郑州铁英街翅中尖</v>
      </c>
      <c r="B1262" s="3" t="s">
        <v>707</v>
      </c>
      <c r="C1262" s="3">
        <v>44377</v>
      </c>
      <c r="D1262" s="3" t="s">
        <v>580</v>
      </c>
      <c r="E1262" s="3" t="s">
        <v>508</v>
      </c>
      <c r="F1262" s="3" t="s">
        <v>508</v>
      </c>
      <c r="G1262" s="70" t="s">
        <v>581</v>
      </c>
      <c r="H1262" s="3" t="s">
        <v>582</v>
      </c>
      <c r="I1262" s="3" t="s">
        <v>339</v>
      </c>
      <c r="J1262" s="3">
        <v>0</v>
      </c>
      <c r="K1262" s="3">
        <v>240</v>
      </c>
      <c r="L1262" s="3">
        <v>0</v>
      </c>
      <c r="M1262" s="3">
        <v>189</v>
      </c>
      <c r="N1262" s="3">
        <v>240</v>
      </c>
      <c r="O1262" s="70">
        <v>-51</v>
      </c>
      <c r="P1262" s="3">
        <v>0</v>
      </c>
      <c r="Q1262" s="3">
        <v>0</v>
      </c>
      <c r="R1262" s="3">
        <v>1.5189950000000001</v>
      </c>
      <c r="S1262" s="3">
        <v>-77.47</v>
      </c>
      <c r="T1262" s="3">
        <v>287.08999999999997</v>
      </c>
      <c r="U1262" s="3">
        <v>364.56</v>
      </c>
      <c r="V1262" s="70" t="s">
        <v>592</v>
      </c>
      <c r="W1262" s="3" t="s">
        <v>822</v>
      </c>
      <c r="X1262" s="3" t="s">
        <v>508</v>
      </c>
      <c r="Y1262" s="3" t="s">
        <v>508</v>
      </c>
    </row>
    <row r="1263" spans="1:25" hidden="1" x14ac:dyDescent="0.2">
      <c r="A1263" s="83" t="str">
        <f t="shared" si="19"/>
        <v>郑州裕华南瓜芝麻球原材料</v>
      </c>
      <c r="B1263" s="3" t="s">
        <v>711</v>
      </c>
      <c r="C1263" s="3">
        <v>44377</v>
      </c>
      <c r="D1263" s="3" t="s">
        <v>622</v>
      </c>
      <c r="E1263" s="3" t="s">
        <v>508</v>
      </c>
      <c r="F1263" s="3" t="s">
        <v>508</v>
      </c>
      <c r="G1263" s="70" t="s">
        <v>623</v>
      </c>
      <c r="H1263" s="3" t="s">
        <v>624</v>
      </c>
      <c r="I1263" s="3" t="s">
        <v>339</v>
      </c>
      <c r="J1263" s="3">
        <v>0</v>
      </c>
      <c r="K1263" s="3">
        <v>0</v>
      </c>
      <c r="L1263" s="3">
        <v>33</v>
      </c>
      <c r="M1263" s="3">
        <v>0</v>
      </c>
      <c r="N1263" s="3">
        <v>-33</v>
      </c>
      <c r="O1263" s="70">
        <v>33</v>
      </c>
      <c r="P1263" s="3">
        <v>0</v>
      </c>
      <c r="Q1263" s="3">
        <v>0</v>
      </c>
      <c r="R1263" s="3">
        <v>0.31900000000000001</v>
      </c>
      <c r="S1263" s="3">
        <v>10.53</v>
      </c>
      <c r="T1263" s="3">
        <v>0</v>
      </c>
      <c r="U1263" s="3">
        <v>-10.53</v>
      </c>
      <c r="V1263" s="70" t="s">
        <v>641</v>
      </c>
      <c r="W1263" s="3" t="s">
        <v>343</v>
      </c>
      <c r="X1263" s="3" t="s">
        <v>508</v>
      </c>
      <c r="Y1263" s="3" t="s">
        <v>508</v>
      </c>
    </row>
    <row r="1264" spans="1:25" hidden="1" x14ac:dyDescent="0.2">
      <c r="A1264" s="83" t="str">
        <f t="shared" si="19"/>
        <v>清丰凤鸣南瓜芝麻球原材料</v>
      </c>
      <c r="B1264" s="3" t="s">
        <v>713</v>
      </c>
      <c r="C1264" s="3">
        <v>44377</v>
      </c>
      <c r="D1264" s="3" t="s">
        <v>622</v>
      </c>
      <c r="E1264" s="3" t="s">
        <v>508</v>
      </c>
      <c r="F1264" s="3" t="s">
        <v>508</v>
      </c>
      <c r="G1264" s="70" t="s">
        <v>623</v>
      </c>
      <c r="H1264" s="3" t="s">
        <v>624</v>
      </c>
      <c r="I1264" s="3" t="s">
        <v>339</v>
      </c>
      <c r="J1264" s="3">
        <v>0</v>
      </c>
      <c r="K1264" s="3">
        <v>0</v>
      </c>
      <c r="L1264" s="3">
        <v>3</v>
      </c>
      <c r="M1264" s="3">
        <v>0</v>
      </c>
      <c r="N1264" s="3">
        <v>-3</v>
      </c>
      <c r="O1264" s="70">
        <v>3</v>
      </c>
      <c r="P1264" s="3">
        <v>0</v>
      </c>
      <c r="Q1264" s="3">
        <v>0</v>
      </c>
      <c r="R1264" s="3">
        <v>0.31900000000000001</v>
      </c>
      <c r="S1264" s="3">
        <v>0.96</v>
      </c>
      <c r="T1264" s="3">
        <v>0</v>
      </c>
      <c r="U1264" s="3">
        <v>-0.96</v>
      </c>
      <c r="V1264" s="70" t="s">
        <v>334</v>
      </c>
      <c r="W1264" s="3" t="s">
        <v>343</v>
      </c>
      <c r="X1264" s="3" t="s">
        <v>508</v>
      </c>
      <c r="Y1264" s="3" t="s">
        <v>508</v>
      </c>
    </row>
    <row r="1265" spans="1:25" hidden="1" x14ac:dyDescent="0.2">
      <c r="A1265" s="83" t="str">
        <f t="shared" si="19"/>
        <v>郑州盛华里南瓜芝麻球原材料</v>
      </c>
      <c r="B1265" s="3" t="s">
        <v>709</v>
      </c>
      <c r="C1265" s="3">
        <v>44377</v>
      </c>
      <c r="D1265" s="3" t="s">
        <v>622</v>
      </c>
      <c r="E1265" s="3" t="s">
        <v>508</v>
      </c>
      <c r="F1265" s="3" t="s">
        <v>508</v>
      </c>
      <c r="G1265" s="70" t="s">
        <v>623</v>
      </c>
      <c r="H1265" s="3" t="s">
        <v>624</v>
      </c>
      <c r="I1265" s="3" t="s">
        <v>339</v>
      </c>
      <c r="J1265" s="3">
        <v>0</v>
      </c>
      <c r="K1265" s="3">
        <v>0</v>
      </c>
      <c r="L1265" s="3">
        <v>3</v>
      </c>
      <c r="M1265" s="3">
        <v>0</v>
      </c>
      <c r="N1265" s="3">
        <v>-3</v>
      </c>
      <c r="O1265" s="70">
        <v>3</v>
      </c>
      <c r="P1265" s="3">
        <v>0</v>
      </c>
      <c r="Q1265" s="3">
        <v>0</v>
      </c>
      <c r="R1265" s="3">
        <v>0.31900000000000001</v>
      </c>
      <c r="S1265" s="3">
        <v>0.96</v>
      </c>
      <c r="T1265" s="3">
        <v>0</v>
      </c>
      <c r="U1265" s="3">
        <v>-0.96</v>
      </c>
      <c r="V1265" s="70" t="s">
        <v>637</v>
      </c>
      <c r="W1265" s="3" t="s">
        <v>343</v>
      </c>
      <c r="X1265" s="3" t="s">
        <v>508</v>
      </c>
      <c r="Y1265" s="3" t="s">
        <v>508</v>
      </c>
    </row>
    <row r="1266" spans="1:25" hidden="1" x14ac:dyDescent="0.2">
      <c r="A1266" s="83" t="str">
        <f t="shared" si="19"/>
        <v>郑州裕华原味鸡排80-95</v>
      </c>
      <c r="B1266" s="3" t="s">
        <v>711</v>
      </c>
      <c r="C1266" s="3">
        <v>44377</v>
      </c>
      <c r="D1266" s="3" t="s">
        <v>653</v>
      </c>
      <c r="E1266" s="3" t="s">
        <v>508</v>
      </c>
      <c r="F1266" s="3" t="s">
        <v>508</v>
      </c>
      <c r="G1266" s="70" t="s">
        <v>676</v>
      </c>
      <c r="H1266" s="3" t="s">
        <v>677</v>
      </c>
      <c r="I1266" s="3" t="s">
        <v>511</v>
      </c>
      <c r="J1266" s="3">
        <v>120</v>
      </c>
      <c r="K1266" s="3">
        <v>120</v>
      </c>
      <c r="L1266" s="3">
        <v>0</v>
      </c>
      <c r="M1266" s="3">
        <v>120</v>
      </c>
      <c r="N1266" s="3">
        <v>240</v>
      </c>
      <c r="O1266" s="70">
        <v>-120</v>
      </c>
      <c r="P1266" s="3">
        <v>0</v>
      </c>
      <c r="Q1266" s="3">
        <v>0</v>
      </c>
      <c r="R1266" s="3">
        <v>1.1977500000000001</v>
      </c>
      <c r="S1266" s="3">
        <v>-143.72999999999999</v>
      </c>
      <c r="T1266" s="3">
        <v>143.72999999999999</v>
      </c>
      <c r="U1266" s="3">
        <v>287.45999999999998</v>
      </c>
      <c r="V1266" s="70" t="s">
        <v>641</v>
      </c>
      <c r="W1266" s="3" t="s">
        <v>343</v>
      </c>
      <c r="X1266" s="3" t="s">
        <v>508</v>
      </c>
      <c r="Y1266" s="3" t="s">
        <v>508</v>
      </c>
    </row>
    <row r="1267" spans="1:25" hidden="1" x14ac:dyDescent="0.2">
      <c r="A1267" s="83" t="str">
        <f t="shared" si="19"/>
        <v>郑州瀚海海尚原味鸡排80-95</v>
      </c>
      <c r="B1267" s="3" t="s">
        <v>706</v>
      </c>
      <c r="C1267" s="3">
        <v>44377</v>
      </c>
      <c r="D1267" s="3" t="s">
        <v>653</v>
      </c>
      <c r="E1267" s="3" t="s">
        <v>508</v>
      </c>
      <c r="F1267" s="3" t="s">
        <v>508</v>
      </c>
      <c r="G1267" s="70" t="s">
        <v>676</v>
      </c>
      <c r="H1267" s="3" t="s">
        <v>677</v>
      </c>
      <c r="I1267" s="3" t="s">
        <v>511</v>
      </c>
      <c r="J1267" s="3">
        <v>212</v>
      </c>
      <c r="K1267" s="3">
        <v>360</v>
      </c>
      <c r="L1267" s="3">
        <v>24</v>
      </c>
      <c r="M1267" s="3">
        <v>132</v>
      </c>
      <c r="N1267" s="3">
        <v>548</v>
      </c>
      <c r="O1267" s="70">
        <v>-416</v>
      </c>
      <c r="P1267" s="3">
        <v>0</v>
      </c>
      <c r="Q1267" s="3">
        <v>0</v>
      </c>
      <c r="R1267" s="3">
        <v>1.194318</v>
      </c>
      <c r="S1267" s="3">
        <v>-496.84</v>
      </c>
      <c r="T1267" s="3">
        <v>157.65</v>
      </c>
      <c r="U1267" s="3">
        <v>654.49</v>
      </c>
      <c r="V1267" s="70" t="s">
        <v>333</v>
      </c>
      <c r="W1267" s="3" t="s">
        <v>823</v>
      </c>
      <c r="X1267" s="3" t="s">
        <v>508</v>
      </c>
      <c r="Y1267" s="3" t="s">
        <v>508</v>
      </c>
    </row>
    <row r="1268" spans="1:25" hidden="1" x14ac:dyDescent="0.2">
      <c r="A1268" s="83" t="str">
        <f t="shared" si="19"/>
        <v>新蔡水韵天街原味鸡排80-95</v>
      </c>
      <c r="B1268" s="3" t="s">
        <v>703</v>
      </c>
      <c r="C1268" s="3">
        <v>44377</v>
      </c>
      <c r="D1268" s="3" t="s">
        <v>653</v>
      </c>
      <c r="E1268" s="3" t="s">
        <v>508</v>
      </c>
      <c r="F1268" s="3" t="s">
        <v>508</v>
      </c>
      <c r="G1268" s="70" t="s">
        <v>676</v>
      </c>
      <c r="H1268" s="3" t="s">
        <v>677</v>
      </c>
      <c r="I1268" s="3" t="s">
        <v>511</v>
      </c>
      <c r="J1268" s="3">
        <v>138</v>
      </c>
      <c r="K1268" s="3">
        <v>120</v>
      </c>
      <c r="L1268" s="3">
        <v>0</v>
      </c>
      <c r="M1268" s="3">
        <v>29</v>
      </c>
      <c r="N1268" s="3">
        <v>258</v>
      </c>
      <c r="O1268" s="70">
        <v>-229</v>
      </c>
      <c r="P1268" s="3">
        <v>0</v>
      </c>
      <c r="Q1268" s="3">
        <v>0</v>
      </c>
      <c r="R1268" s="3">
        <v>1.1986209999999999</v>
      </c>
      <c r="S1268" s="3">
        <v>-274.48</v>
      </c>
      <c r="T1268" s="3">
        <v>34.76</v>
      </c>
      <c r="U1268" s="3">
        <v>309.24</v>
      </c>
      <c r="V1268" s="70" t="s">
        <v>335</v>
      </c>
      <c r="W1268" s="3" t="s">
        <v>824</v>
      </c>
      <c r="X1268" s="3" t="s">
        <v>508</v>
      </c>
      <c r="Y1268" s="3" t="s">
        <v>508</v>
      </c>
    </row>
    <row r="1269" spans="1:25" hidden="1" x14ac:dyDescent="0.2">
      <c r="A1269" s="83" t="str">
        <f t="shared" si="19"/>
        <v>郑州政六街原味鸡排80-95</v>
      </c>
      <c r="B1269" s="3" t="s">
        <v>714</v>
      </c>
      <c r="C1269" s="3">
        <v>44377</v>
      </c>
      <c r="D1269" s="3" t="s">
        <v>653</v>
      </c>
      <c r="E1269" s="3" t="s">
        <v>508</v>
      </c>
      <c r="F1269" s="3" t="s">
        <v>508</v>
      </c>
      <c r="G1269" s="70" t="s">
        <v>676</v>
      </c>
      <c r="H1269" s="3" t="s">
        <v>677</v>
      </c>
      <c r="I1269" s="3" t="s">
        <v>511</v>
      </c>
      <c r="J1269" s="3">
        <v>0</v>
      </c>
      <c r="K1269" s="3">
        <v>120</v>
      </c>
      <c r="L1269" s="3">
        <v>67</v>
      </c>
      <c r="M1269" s="3">
        <v>0</v>
      </c>
      <c r="N1269" s="3">
        <v>53</v>
      </c>
      <c r="O1269" s="70">
        <v>-53</v>
      </c>
      <c r="P1269" s="3">
        <v>0</v>
      </c>
      <c r="Q1269" s="3">
        <v>0</v>
      </c>
      <c r="R1269" s="3">
        <v>1.1846669999999999</v>
      </c>
      <c r="S1269" s="3">
        <v>-62.79</v>
      </c>
      <c r="T1269" s="3">
        <v>0</v>
      </c>
      <c r="U1269" s="3">
        <v>62.79</v>
      </c>
      <c r="V1269" s="70" t="s">
        <v>591</v>
      </c>
      <c r="W1269" s="3" t="s">
        <v>825</v>
      </c>
      <c r="X1269" s="3" t="s">
        <v>508</v>
      </c>
      <c r="Y1269" s="3" t="s">
        <v>508</v>
      </c>
    </row>
    <row r="1270" spans="1:25" hidden="1" x14ac:dyDescent="0.2">
      <c r="A1270" s="83" t="str">
        <f t="shared" si="19"/>
        <v>郑州康复中街烤翅根</v>
      </c>
      <c r="B1270" s="3" t="s">
        <v>704</v>
      </c>
      <c r="C1270" s="3">
        <v>44377</v>
      </c>
      <c r="D1270" s="3" t="s">
        <v>654</v>
      </c>
      <c r="E1270" s="3" t="s">
        <v>508</v>
      </c>
      <c r="F1270" s="3" t="s">
        <v>508</v>
      </c>
      <c r="G1270" s="70" t="s">
        <v>678</v>
      </c>
      <c r="H1270" s="3" t="s">
        <v>343</v>
      </c>
      <c r="I1270" s="3" t="s">
        <v>339</v>
      </c>
      <c r="J1270" s="3">
        <v>391</v>
      </c>
      <c r="K1270" s="3">
        <v>240</v>
      </c>
      <c r="L1270" s="3">
        <v>0</v>
      </c>
      <c r="M1270" s="3">
        <v>0</v>
      </c>
      <c r="N1270" s="3">
        <v>631</v>
      </c>
      <c r="O1270" s="70">
        <v>-631</v>
      </c>
      <c r="P1270" s="3">
        <v>0</v>
      </c>
      <c r="Q1270" s="3">
        <v>0</v>
      </c>
      <c r="R1270" s="3">
        <v>0.76500800000000002</v>
      </c>
      <c r="S1270" s="3">
        <v>-482.72</v>
      </c>
      <c r="T1270" s="3">
        <v>0</v>
      </c>
      <c r="U1270" s="3">
        <v>482.72</v>
      </c>
      <c r="V1270" s="70" t="s">
        <v>593</v>
      </c>
      <c r="W1270" s="3" t="s">
        <v>826</v>
      </c>
      <c r="X1270" s="3" t="s">
        <v>508</v>
      </c>
      <c r="Y1270" s="3" t="s">
        <v>508</v>
      </c>
    </row>
    <row r="1271" spans="1:25" hidden="1" x14ac:dyDescent="0.2">
      <c r="A1271" s="83" t="str">
        <f t="shared" si="19"/>
        <v>华山龙源烤翅根</v>
      </c>
      <c r="B1271" s="3" t="s">
        <v>705</v>
      </c>
      <c r="C1271" s="3">
        <v>44377</v>
      </c>
      <c r="D1271" s="3" t="s">
        <v>654</v>
      </c>
      <c r="E1271" s="3" t="s">
        <v>508</v>
      </c>
      <c r="F1271" s="3" t="s">
        <v>508</v>
      </c>
      <c r="G1271" s="70" t="s">
        <v>678</v>
      </c>
      <c r="H1271" s="3" t="s">
        <v>343</v>
      </c>
      <c r="I1271" s="3" t="s">
        <v>339</v>
      </c>
      <c r="J1271" s="3">
        <v>0</v>
      </c>
      <c r="K1271" s="3">
        <v>72</v>
      </c>
      <c r="L1271" s="3">
        <v>0</v>
      </c>
      <c r="M1271" s="3">
        <v>0</v>
      </c>
      <c r="N1271" s="3">
        <v>72</v>
      </c>
      <c r="O1271" s="70">
        <v>-72</v>
      </c>
      <c r="P1271" s="3">
        <v>0</v>
      </c>
      <c r="Q1271" s="3">
        <v>0</v>
      </c>
      <c r="R1271" s="3">
        <v>0.79166700000000001</v>
      </c>
      <c r="S1271" s="3">
        <v>-57</v>
      </c>
      <c r="T1271" s="3">
        <v>0</v>
      </c>
      <c r="U1271" s="3">
        <v>57</v>
      </c>
      <c r="V1271" s="70" t="s">
        <v>643</v>
      </c>
      <c r="W1271" s="3" t="s">
        <v>820</v>
      </c>
      <c r="X1271" s="3" t="s">
        <v>508</v>
      </c>
      <c r="Y1271" s="3" t="s">
        <v>508</v>
      </c>
    </row>
    <row r="1272" spans="1:25" hidden="1" x14ac:dyDescent="0.2">
      <c r="A1272" s="83" t="str">
        <f t="shared" si="19"/>
        <v>郑州铁英街烤翅根</v>
      </c>
      <c r="B1272" s="3" t="s">
        <v>707</v>
      </c>
      <c r="C1272" s="3">
        <v>44377</v>
      </c>
      <c r="D1272" s="3" t="s">
        <v>654</v>
      </c>
      <c r="E1272" s="3" t="s">
        <v>508</v>
      </c>
      <c r="F1272" s="3" t="s">
        <v>508</v>
      </c>
      <c r="G1272" s="70" t="s">
        <v>678</v>
      </c>
      <c r="H1272" s="3" t="s">
        <v>343</v>
      </c>
      <c r="I1272" s="3" t="s">
        <v>339</v>
      </c>
      <c r="J1272" s="3">
        <v>0</v>
      </c>
      <c r="K1272" s="3">
        <v>240</v>
      </c>
      <c r="L1272" s="3">
        <v>0</v>
      </c>
      <c r="M1272" s="3">
        <v>189</v>
      </c>
      <c r="N1272" s="3">
        <v>240</v>
      </c>
      <c r="O1272" s="70">
        <v>-51</v>
      </c>
      <c r="P1272" s="3">
        <v>0</v>
      </c>
      <c r="Q1272" s="3">
        <v>0</v>
      </c>
      <c r="R1272" s="3">
        <v>0.76497400000000004</v>
      </c>
      <c r="S1272" s="3">
        <v>-39.01</v>
      </c>
      <c r="T1272" s="3">
        <v>144.58000000000001</v>
      </c>
      <c r="U1272" s="3">
        <v>183.59</v>
      </c>
      <c r="V1272" s="70" t="s">
        <v>592</v>
      </c>
      <c r="W1272" s="3" t="s">
        <v>822</v>
      </c>
      <c r="X1272" s="3" t="s">
        <v>508</v>
      </c>
      <c r="Y1272" s="3" t="s">
        <v>508</v>
      </c>
    </row>
    <row r="1273" spans="1:25" hidden="1" x14ac:dyDescent="0.2">
      <c r="A1273" s="83" t="str">
        <f t="shared" si="19"/>
        <v>郑州西悦城烤翅根</v>
      </c>
      <c r="B1273" s="3" t="s">
        <v>708</v>
      </c>
      <c r="C1273" s="3">
        <v>44377</v>
      </c>
      <c r="D1273" s="3" t="s">
        <v>654</v>
      </c>
      <c r="E1273" s="3" t="s">
        <v>508</v>
      </c>
      <c r="F1273" s="3" t="s">
        <v>508</v>
      </c>
      <c r="G1273" s="70" t="s">
        <v>678</v>
      </c>
      <c r="H1273" s="3" t="s">
        <v>343</v>
      </c>
      <c r="I1273" s="3" t="s">
        <v>339</v>
      </c>
      <c r="J1273" s="3">
        <v>200</v>
      </c>
      <c r="K1273" s="3">
        <v>0</v>
      </c>
      <c r="L1273" s="3">
        <v>0</v>
      </c>
      <c r="M1273" s="3">
        <v>40</v>
      </c>
      <c r="N1273" s="3">
        <v>200</v>
      </c>
      <c r="O1273" s="70">
        <v>-160</v>
      </c>
      <c r="P1273" s="3">
        <v>0</v>
      </c>
      <c r="Q1273" s="3">
        <v>0</v>
      </c>
      <c r="R1273" s="3">
        <v>0.76500000000000001</v>
      </c>
      <c r="S1273" s="3">
        <v>-122.4</v>
      </c>
      <c r="T1273" s="3">
        <v>30.6</v>
      </c>
      <c r="U1273" s="3">
        <v>153</v>
      </c>
      <c r="V1273" s="70" t="s">
        <v>332</v>
      </c>
      <c r="W1273" s="3" t="s">
        <v>821</v>
      </c>
      <c r="X1273" s="3" t="s">
        <v>508</v>
      </c>
      <c r="Y1273" s="3" t="s">
        <v>508</v>
      </c>
    </row>
    <row r="1274" spans="1:25" hidden="1" x14ac:dyDescent="0.2">
      <c r="A1274" s="83" t="str">
        <f t="shared" si="19"/>
        <v>郑州裕华烤翅根</v>
      </c>
      <c r="B1274" s="3" t="s">
        <v>711</v>
      </c>
      <c r="C1274" s="3">
        <v>44377</v>
      </c>
      <c r="D1274" s="3" t="s">
        <v>654</v>
      </c>
      <c r="E1274" s="3" t="s">
        <v>508</v>
      </c>
      <c r="F1274" s="3" t="s">
        <v>508</v>
      </c>
      <c r="G1274" s="70" t="s">
        <v>678</v>
      </c>
      <c r="H1274" s="3" t="s">
        <v>343</v>
      </c>
      <c r="I1274" s="3" t="s">
        <v>339</v>
      </c>
      <c r="J1274" s="3">
        <v>192</v>
      </c>
      <c r="K1274" s="3">
        <v>0</v>
      </c>
      <c r="L1274" s="3">
        <v>0</v>
      </c>
      <c r="M1274" s="3">
        <v>120</v>
      </c>
      <c r="N1274" s="3">
        <v>192</v>
      </c>
      <c r="O1274" s="70">
        <v>-72</v>
      </c>
      <c r="P1274" s="3">
        <v>0</v>
      </c>
      <c r="Q1274" s="3">
        <v>0</v>
      </c>
      <c r="R1274" s="3">
        <v>0.76500000000000001</v>
      </c>
      <c r="S1274" s="3">
        <v>-55.08</v>
      </c>
      <c r="T1274" s="3">
        <v>91.8</v>
      </c>
      <c r="U1274" s="3">
        <v>146.88</v>
      </c>
      <c r="V1274" s="70" t="s">
        <v>641</v>
      </c>
      <c r="W1274" s="3" t="s">
        <v>820</v>
      </c>
      <c r="X1274" s="3" t="s">
        <v>508</v>
      </c>
      <c r="Y1274" s="3" t="s">
        <v>508</v>
      </c>
    </row>
    <row r="1275" spans="1:25" hidden="1" x14ac:dyDescent="0.2">
      <c r="A1275" s="83" t="str">
        <f t="shared" si="19"/>
        <v>郑州盛华里烤翅根</v>
      </c>
      <c r="B1275" s="3" t="s">
        <v>709</v>
      </c>
      <c r="C1275" s="3">
        <v>44377</v>
      </c>
      <c r="D1275" s="3" t="s">
        <v>654</v>
      </c>
      <c r="E1275" s="3" t="s">
        <v>508</v>
      </c>
      <c r="F1275" s="3" t="s">
        <v>508</v>
      </c>
      <c r="G1275" s="70" t="s">
        <v>678</v>
      </c>
      <c r="H1275" s="3" t="s">
        <v>343</v>
      </c>
      <c r="I1275" s="3" t="s">
        <v>339</v>
      </c>
      <c r="J1275" s="3">
        <v>228</v>
      </c>
      <c r="K1275" s="3">
        <v>0</v>
      </c>
      <c r="L1275" s="3">
        <v>0</v>
      </c>
      <c r="M1275" s="3">
        <v>228</v>
      </c>
      <c r="N1275" s="3">
        <v>228</v>
      </c>
      <c r="O1275" s="70">
        <v>0</v>
      </c>
      <c r="P1275" s="3">
        <v>0</v>
      </c>
      <c r="Q1275" s="3">
        <v>0</v>
      </c>
      <c r="R1275" s="3">
        <v>0.76500000000000001</v>
      </c>
      <c r="S1275" s="3">
        <v>0</v>
      </c>
      <c r="T1275" s="3">
        <v>174.42</v>
      </c>
      <c r="U1275" s="3">
        <v>174.42</v>
      </c>
      <c r="V1275" s="70" t="s">
        <v>637</v>
      </c>
      <c r="W1275" s="3" t="s">
        <v>343</v>
      </c>
      <c r="X1275" s="3" t="s">
        <v>508</v>
      </c>
      <c r="Y1275" s="3" t="s">
        <v>508</v>
      </c>
    </row>
    <row r="1276" spans="1:25" hidden="1" x14ac:dyDescent="0.2">
      <c r="A1276" s="83" t="str">
        <f t="shared" si="19"/>
        <v>郑州盛华里辣条风味半鸡</v>
      </c>
      <c r="B1276" s="3" t="s">
        <v>709</v>
      </c>
      <c r="C1276" s="3">
        <v>44377</v>
      </c>
      <c r="D1276" s="3" t="s">
        <v>719</v>
      </c>
      <c r="E1276" s="3" t="s">
        <v>508</v>
      </c>
      <c r="F1276" s="3" t="s">
        <v>508</v>
      </c>
      <c r="G1276" s="70" t="s">
        <v>827</v>
      </c>
      <c r="H1276" s="3" t="s">
        <v>828</v>
      </c>
      <c r="I1276" s="3" t="s">
        <v>511</v>
      </c>
      <c r="J1276" s="3">
        <v>0</v>
      </c>
      <c r="K1276" s="3">
        <v>96</v>
      </c>
      <c r="L1276" s="3">
        <v>0</v>
      </c>
      <c r="M1276" s="3">
        <v>96</v>
      </c>
      <c r="N1276" s="3">
        <v>96</v>
      </c>
      <c r="O1276" s="70">
        <v>0</v>
      </c>
      <c r="P1276" s="3">
        <v>0</v>
      </c>
      <c r="Q1276" s="3">
        <v>0</v>
      </c>
      <c r="R1276" s="3">
        <v>4.7890629999999996</v>
      </c>
      <c r="S1276" s="3">
        <v>0</v>
      </c>
      <c r="T1276" s="3">
        <v>459.75</v>
      </c>
      <c r="U1276" s="3">
        <v>459.75</v>
      </c>
      <c r="V1276" s="70" t="s">
        <v>637</v>
      </c>
      <c r="W1276" s="3" t="s">
        <v>343</v>
      </c>
      <c r="X1276" s="3" t="s">
        <v>508</v>
      </c>
      <c r="Y1276" s="3" t="s">
        <v>508</v>
      </c>
    </row>
    <row r="1277" spans="1:25" hidden="1" x14ac:dyDescent="0.2">
      <c r="A1277" s="83" t="str">
        <f t="shared" si="19"/>
        <v>滑县滑台辣条风味半鸡</v>
      </c>
      <c r="B1277" s="3" t="s">
        <v>710</v>
      </c>
      <c r="C1277" s="3">
        <v>44377</v>
      </c>
      <c r="D1277" s="3" t="s">
        <v>719</v>
      </c>
      <c r="E1277" s="3" t="s">
        <v>508</v>
      </c>
      <c r="F1277" s="3" t="s">
        <v>508</v>
      </c>
      <c r="G1277" s="70" t="s">
        <v>827</v>
      </c>
      <c r="H1277" s="3" t="s">
        <v>828</v>
      </c>
      <c r="I1277" s="3" t="s">
        <v>511</v>
      </c>
      <c r="J1277" s="3">
        <v>0</v>
      </c>
      <c r="K1277" s="3">
        <v>96</v>
      </c>
      <c r="L1277" s="3">
        <v>0</v>
      </c>
      <c r="M1277" s="3">
        <v>96</v>
      </c>
      <c r="N1277" s="3">
        <v>96</v>
      </c>
      <c r="O1277" s="70">
        <v>0</v>
      </c>
      <c r="P1277" s="3">
        <v>0</v>
      </c>
      <c r="Q1277" s="3">
        <v>0</v>
      </c>
      <c r="R1277" s="3">
        <v>4.7890629999999996</v>
      </c>
      <c r="S1277" s="3">
        <v>0</v>
      </c>
      <c r="T1277" s="3">
        <v>459.75</v>
      </c>
      <c r="U1277" s="3">
        <v>459.75</v>
      </c>
      <c r="V1277" s="70" t="s">
        <v>639</v>
      </c>
      <c r="W1277" s="3" t="s">
        <v>343</v>
      </c>
      <c r="X1277" s="3" t="s">
        <v>508</v>
      </c>
      <c r="Y1277" s="3" t="s">
        <v>508</v>
      </c>
    </row>
    <row r="1278" spans="1:25" hidden="1" x14ac:dyDescent="0.2">
      <c r="A1278" s="83" t="str">
        <f t="shared" si="19"/>
        <v>郑州裕华辣条风味半鸡</v>
      </c>
      <c r="B1278" s="3" t="s">
        <v>711</v>
      </c>
      <c r="C1278" s="3">
        <v>44377</v>
      </c>
      <c r="D1278" s="3" t="s">
        <v>719</v>
      </c>
      <c r="E1278" s="3" t="s">
        <v>508</v>
      </c>
      <c r="F1278" s="3" t="s">
        <v>508</v>
      </c>
      <c r="G1278" s="70" t="s">
        <v>827</v>
      </c>
      <c r="H1278" s="3" t="s">
        <v>828</v>
      </c>
      <c r="I1278" s="3" t="s">
        <v>511</v>
      </c>
      <c r="J1278" s="3">
        <v>0</v>
      </c>
      <c r="K1278" s="3">
        <v>96</v>
      </c>
      <c r="L1278" s="3">
        <v>0</v>
      </c>
      <c r="M1278" s="3">
        <v>96</v>
      </c>
      <c r="N1278" s="3">
        <v>96</v>
      </c>
      <c r="O1278" s="70">
        <v>0</v>
      </c>
      <c r="P1278" s="3">
        <v>0</v>
      </c>
      <c r="Q1278" s="3">
        <v>0</v>
      </c>
      <c r="R1278" s="3">
        <v>4.7890629999999996</v>
      </c>
      <c r="S1278" s="3">
        <v>0</v>
      </c>
      <c r="T1278" s="3">
        <v>459.75</v>
      </c>
      <c r="U1278" s="3">
        <v>459.75</v>
      </c>
      <c r="V1278" s="70" t="s">
        <v>641</v>
      </c>
      <c r="W1278" s="3" t="s">
        <v>343</v>
      </c>
      <c r="X1278" s="3" t="s">
        <v>508</v>
      </c>
      <c r="Y1278" s="3" t="s">
        <v>508</v>
      </c>
    </row>
    <row r="1279" spans="1:25" hidden="1" x14ac:dyDescent="0.2">
      <c r="A1279" s="83" t="str">
        <f t="shared" si="19"/>
        <v>清丰凤鸣辣条风味半鸡</v>
      </c>
      <c r="B1279" s="3" t="s">
        <v>713</v>
      </c>
      <c r="C1279" s="3">
        <v>44377</v>
      </c>
      <c r="D1279" s="3" t="s">
        <v>719</v>
      </c>
      <c r="E1279" s="3" t="s">
        <v>508</v>
      </c>
      <c r="F1279" s="3" t="s">
        <v>508</v>
      </c>
      <c r="G1279" s="70" t="s">
        <v>827</v>
      </c>
      <c r="H1279" s="3" t="s">
        <v>828</v>
      </c>
      <c r="I1279" s="3" t="s">
        <v>511</v>
      </c>
      <c r="J1279" s="3">
        <v>0</v>
      </c>
      <c r="K1279" s="3">
        <v>96</v>
      </c>
      <c r="L1279" s="3">
        <v>0</v>
      </c>
      <c r="M1279" s="3">
        <v>96</v>
      </c>
      <c r="N1279" s="3">
        <v>96</v>
      </c>
      <c r="O1279" s="70">
        <v>0</v>
      </c>
      <c r="P1279" s="3">
        <v>0</v>
      </c>
      <c r="Q1279" s="3">
        <v>0</v>
      </c>
      <c r="R1279" s="3">
        <v>4.7890629999999996</v>
      </c>
      <c r="S1279" s="3">
        <v>0</v>
      </c>
      <c r="T1279" s="3">
        <v>459.75</v>
      </c>
      <c r="U1279" s="3">
        <v>459.75</v>
      </c>
      <c r="V1279" s="70" t="s">
        <v>334</v>
      </c>
      <c r="W1279" s="3" t="s">
        <v>343</v>
      </c>
      <c r="X1279" s="3" t="s">
        <v>508</v>
      </c>
      <c r="Y1279" s="3" t="s">
        <v>508</v>
      </c>
    </row>
    <row r="1280" spans="1:25" hidden="1" x14ac:dyDescent="0.2">
      <c r="A1280" s="83" t="str">
        <f t="shared" si="19"/>
        <v>方城锦城国际辣条风味半鸡</v>
      </c>
      <c r="B1280" s="3" t="s">
        <v>712</v>
      </c>
      <c r="C1280" s="3">
        <v>44377</v>
      </c>
      <c r="D1280" s="3" t="s">
        <v>719</v>
      </c>
      <c r="E1280" s="3" t="s">
        <v>508</v>
      </c>
      <c r="F1280" s="3" t="s">
        <v>508</v>
      </c>
      <c r="G1280" s="70" t="s">
        <v>827</v>
      </c>
      <c r="H1280" s="3" t="s">
        <v>828</v>
      </c>
      <c r="I1280" s="3" t="s">
        <v>511</v>
      </c>
      <c r="J1280" s="3">
        <v>0</v>
      </c>
      <c r="K1280" s="3">
        <v>64</v>
      </c>
      <c r="L1280" s="3">
        <v>0</v>
      </c>
      <c r="M1280" s="3">
        <v>64</v>
      </c>
      <c r="N1280" s="3">
        <v>64</v>
      </c>
      <c r="O1280" s="70">
        <v>0</v>
      </c>
      <c r="P1280" s="3">
        <v>0</v>
      </c>
      <c r="Q1280" s="3">
        <v>0</v>
      </c>
      <c r="R1280" s="3">
        <v>4.7890629999999996</v>
      </c>
      <c r="S1280" s="3">
        <v>0</v>
      </c>
      <c r="T1280" s="3">
        <v>306.5</v>
      </c>
      <c r="U1280" s="3">
        <v>306.5</v>
      </c>
      <c r="V1280" s="70" t="s">
        <v>594</v>
      </c>
      <c r="W1280" s="3" t="s">
        <v>343</v>
      </c>
      <c r="X1280" s="3" t="s">
        <v>508</v>
      </c>
      <c r="Y1280" s="3" t="s">
        <v>508</v>
      </c>
    </row>
    <row r="1281" spans="1:25" hidden="1" x14ac:dyDescent="0.2">
      <c r="A1281" s="83" t="str">
        <f t="shared" si="19"/>
        <v>郑州西悦城辣条风味半鸡</v>
      </c>
      <c r="B1281" s="3" t="s">
        <v>708</v>
      </c>
      <c r="C1281" s="3">
        <v>44377</v>
      </c>
      <c r="D1281" s="3" t="s">
        <v>719</v>
      </c>
      <c r="E1281" s="3" t="s">
        <v>508</v>
      </c>
      <c r="F1281" s="3" t="s">
        <v>508</v>
      </c>
      <c r="G1281" s="70" t="s">
        <v>827</v>
      </c>
      <c r="H1281" s="3" t="s">
        <v>828</v>
      </c>
      <c r="I1281" s="3" t="s">
        <v>511</v>
      </c>
      <c r="J1281" s="3">
        <v>0</v>
      </c>
      <c r="K1281" s="3">
        <v>96</v>
      </c>
      <c r="L1281" s="3">
        <v>0</v>
      </c>
      <c r="M1281" s="3">
        <v>96</v>
      </c>
      <c r="N1281" s="3">
        <v>96</v>
      </c>
      <c r="O1281" s="70">
        <v>0</v>
      </c>
      <c r="P1281" s="3">
        <v>0</v>
      </c>
      <c r="Q1281" s="3">
        <v>0</v>
      </c>
      <c r="R1281" s="3">
        <v>4.7890629999999996</v>
      </c>
      <c r="S1281" s="3">
        <v>0</v>
      </c>
      <c r="T1281" s="3">
        <v>459.75</v>
      </c>
      <c r="U1281" s="3">
        <v>459.75</v>
      </c>
      <c r="V1281" s="70" t="s">
        <v>332</v>
      </c>
      <c r="W1281" s="3" t="s">
        <v>343</v>
      </c>
      <c r="X1281" s="3" t="s">
        <v>508</v>
      </c>
      <c r="Y1281" s="3" t="s">
        <v>508</v>
      </c>
    </row>
    <row r="1282" spans="1:25" hidden="1" x14ac:dyDescent="0.2">
      <c r="A1282" s="83" t="str">
        <f t="shared" si="19"/>
        <v>郑州铁英街辣条风味半鸡</v>
      </c>
      <c r="B1282" s="3" t="s">
        <v>707</v>
      </c>
      <c r="C1282" s="3">
        <v>44377</v>
      </c>
      <c r="D1282" s="3" t="s">
        <v>719</v>
      </c>
      <c r="E1282" s="3" t="s">
        <v>508</v>
      </c>
      <c r="F1282" s="3" t="s">
        <v>508</v>
      </c>
      <c r="G1282" s="70" t="s">
        <v>827</v>
      </c>
      <c r="H1282" s="3" t="s">
        <v>828</v>
      </c>
      <c r="I1282" s="3" t="s">
        <v>511</v>
      </c>
      <c r="J1282" s="3">
        <v>0</v>
      </c>
      <c r="K1282" s="3">
        <v>96</v>
      </c>
      <c r="L1282" s="3">
        <v>0</v>
      </c>
      <c r="M1282" s="3">
        <v>96</v>
      </c>
      <c r="N1282" s="3">
        <v>96</v>
      </c>
      <c r="O1282" s="70">
        <v>0</v>
      </c>
      <c r="P1282" s="3">
        <v>0</v>
      </c>
      <c r="Q1282" s="3">
        <v>0</v>
      </c>
      <c r="R1282" s="3">
        <v>4.7890629999999996</v>
      </c>
      <c r="S1282" s="3">
        <v>0</v>
      </c>
      <c r="T1282" s="3">
        <v>459.75</v>
      </c>
      <c r="U1282" s="3">
        <v>459.75</v>
      </c>
      <c r="V1282" s="70" t="s">
        <v>592</v>
      </c>
      <c r="W1282" s="3" t="s">
        <v>343</v>
      </c>
      <c r="X1282" s="3" t="s">
        <v>508</v>
      </c>
      <c r="Y1282" s="3" t="s">
        <v>508</v>
      </c>
    </row>
    <row r="1283" spans="1:25" hidden="1" x14ac:dyDescent="0.2">
      <c r="A1283" s="83" t="str">
        <f t="shared" ref="A1283:A1346" si="20">V1283&amp;G1283</f>
        <v>华山龙源辣条风味半鸡</v>
      </c>
      <c r="B1283" s="3" t="s">
        <v>705</v>
      </c>
      <c r="C1283" s="3">
        <v>44377</v>
      </c>
      <c r="D1283" s="3" t="s">
        <v>719</v>
      </c>
      <c r="E1283" s="3" t="s">
        <v>508</v>
      </c>
      <c r="F1283" s="3" t="s">
        <v>508</v>
      </c>
      <c r="G1283" s="70" t="s">
        <v>827</v>
      </c>
      <c r="H1283" s="3" t="s">
        <v>828</v>
      </c>
      <c r="I1283" s="3" t="s">
        <v>511</v>
      </c>
      <c r="J1283" s="3">
        <v>0</v>
      </c>
      <c r="K1283" s="3">
        <v>96</v>
      </c>
      <c r="L1283" s="3">
        <v>0</v>
      </c>
      <c r="M1283" s="3">
        <v>0</v>
      </c>
      <c r="N1283" s="3">
        <v>96</v>
      </c>
      <c r="O1283" s="70">
        <v>-96</v>
      </c>
      <c r="P1283" s="3">
        <v>0</v>
      </c>
      <c r="Q1283" s="3">
        <v>0</v>
      </c>
      <c r="R1283" s="3">
        <v>4.7890629999999996</v>
      </c>
      <c r="S1283" s="3">
        <v>-459.75</v>
      </c>
      <c r="T1283" s="3">
        <v>0</v>
      </c>
      <c r="U1283" s="3">
        <v>459.75</v>
      </c>
      <c r="V1283" s="70" t="s">
        <v>643</v>
      </c>
      <c r="W1283" s="3" t="s">
        <v>343</v>
      </c>
      <c r="X1283" s="3" t="s">
        <v>508</v>
      </c>
      <c r="Y1283" s="3" t="s">
        <v>508</v>
      </c>
    </row>
    <row r="1284" spans="1:25" hidden="1" x14ac:dyDescent="0.2">
      <c r="A1284" s="83" t="str">
        <f t="shared" si="20"/>
        <v>郑州瀚海海尚辣条风味半鸡</v>
      </c>
      <c r="B1284" s="3" t="s">
        <v>706</v>
      </c>
      <c r="C1284" s="3">
        <v>44377</v>
      </c>
      <c r="D1284" s="3" t="s">
        <v>719</v>
      </c>
      <c r="E1284" s="3" t="s">
        <v>508</v>
      </c>
      <c r="F1284" s="3" t="s">
        <v>508</v>
      </c>
      <c r="G1284" s="70" t="s">
        <v>827</v>
      </c>
      <c r="H1284" s="3" t="s">
        <v>828</v>
      </c>
      <c r="I1284" s="3" t="s">
        <v>511</v>
      </c>
      <c r="J1284" s="3">
        <v>0</v>
      </c>
      <c r="K1284" s="3">
        <v>96</v>
      </c>
      <c r="L1284" s="3">
        <v>0</v>
      </c>
      <c r="M1284" s="3">
        <v>96</v>
      </c>
      <c r="N1284" s="3">
        <v>96</v>
      </c>
      <c r="O1284" s="70">
        <v>0</v>
      </c>
      <c r="P1284" s="3">
        <v>0</v>
      </c>
      <c r="Q1284" s="3">
        <v>0</v>
      </c>
      <c r="R1284" s="3">
        <v>4.7890629999999996</v>
      </c>
      <c r="S1284" s="3">
        <v>0</v>
      </c>
      <c r="T1284" s="3">
        <v>459.75</v>
      </c>
      <c r="U1284" s="3">
        <v>459.75</v>
      </c>
      <c r="V1284" s="70" t="s">
        <v>333</v>
      </c>
      <c r="W1284" s="3" t="s">
        <v>343</v>
      </c>
      <c r="X1284" s="3" t="s">
        <v>508</v>
      </c>
      <c r="Y1284" s="3" t="s">
        <v>508</v>
      </c>
    </row>
    <row r="1285" spans="1:25" hidden="1" x14ac:dyDescent="0.2">
      <c r="A1285" s="83" t="str">
        <f t="shared" si="20"/>
        <v>郑州康复中街辣条风味半鸡</v>
      </c>
      <c r="B1285" s="3" t="s">
        <v>704</v>
      </c>
      <c r="C1285" s="3">
        <v>44377</v>
      </c>
      <c r="D1285" s="3" t="s">
        <v>719</v>
      </c>
      <c r="E1285" s="3" t="s">
        <v>508</v>
      </c>
      <c r="F1285" s="3" t="s">
        <v>508</v>
      </c>
      <c r="G1285" s="70" t="s">
        <v>827</v>
      </c>
      <c r="H1285" s="3" t="s">
        <v>828</v>
      </c>
      <c r="I1285" s="3" t="s">
        <v>511</v>
      </c>
      <c r="J1285" s="3">
        <v>0</v>
      </c>
      <c r="K1285" s="3">
        <v>96</v>
      </c>
      <c r="L1285" s="3">
        <v>0</v>
      </c>
      <c r="M1285" s="3">
        <v>93</v>
      </c>
      <c r="N1285" s="3">
        <v>96</v>
      </c>
      <c r="O1285" s="70">
        <v>-3</v>
      </c>
      <c r="P1285" s="3">
        <v>0</v>
      </c>
      <c r="Q1285" s="3">
        <v>0</v>
      </c>
      <c r="R1285" s="3">
        <v>4.7890319999999997</v>
      </c>
      <c r="S1285" s="3">
        <v>-14.37</v>
      </c>
      <c r="T1285" s="3">
        <v>445.38</v>
      </c>
      <c r="U1285" s="3">
        <v>459.75</v>
      </c>
      <c r="V1285" s="70" t="s">
        <v>593</v>
      </c>
      <c r="W1285" s="3" t="s">
        <v>343</v>
      </c>
      <c r="X1285" s="3" t="s">
        <v>508</v>
      </c>
      <c r="Y1285" s="3" t="s">
        <v>508</v>
      </c>
    </row>
    <row r="1286" spans="1:25" hidden="1" x14ac:dyDescent="0.2">
      <c r="A1286" s="83" t="str">
        <f t="shared" si="20"/>
        <v>新蔡水韵天街辣条风味半鸡</v>
      </c>
      <c r="B1286" s="3" t="s">
        <v>703</v>
      </c>
      <c r="C1286" s="3">
        <v>44377</v>
      </c>
      <c r="D1286" s="3" t="s">
        <v>719</v>
      </c>
      <c r="E1286" s="3" t="s">
        <v>508</v>
      </c>
      <c r="F1286" s="3" t="s">
        <v>508</v>
      </c>
      <c r="G1286" s="70" t="s">
        <v>827</v>
      </c>
      <c r="H1286" s="3" t="s">
        <v>828</v>
      </c>
      <c r="I1286" s="3" t="s">
        <v>511</v>
      </c>
      <c r="J1286" s="3">
        <v>0</v>
      </c>
      <c r="K1286" s="3">
        <v>64</v>
      </c>
      <c r="L1286" s="3">
        <v>0</v>
      </c>
      <c r="M1286" s="3">
        <v>64</v>
      </c>
      <c r="N1286" s="3">
        <v>64</v>
      </c>
      <c r="O1286" s="70">
        <v>0</v>
      </c>
      <c r="P1286" s="3">
        <v>0</v>
      </c>
      <c r="Q1286" s="3">
        <v>0</v>
      </c>
      <c r="R1286" s="3">
        <v>4.7890629999999996</v>
      </c>
      <c r="S1286" s="3">
        <v>0</v>
      </c>
      <c r="T1286" s="3">
        <v>306.5</v>
      </c>
      <c r="U1286" s="3">
        <v>306.5</v>
      </c>
      <c r="V1286" s="70" t="s">
        <v>335</v>
      </c>
      <c r="W1286" s="3" t="s">
        <v>343</v>
      </c>
      <c r="X1286" s="3" t="s">
        <v>508</v>
      </c>
      <c r="Y1286" s="3" t="s">
        <v>508</v>
      </c>
    </row>
    <row r="1287" spans="1:25" hidden="1" x14ac:dyDescent="0.2">
      <c r="A1287" s="83" t="str">
        <f t="shared" si="20"/>
        <v>郑州政六街辣条风味半鸡</v>
      </c>
      <c r="B1287" s="3" t="s">
        <v>714</v>
      </c>
      <c r="C1287" s="3">
        <v>44377</v>
      </c>
      <c r="D1287" s="3" t="s">
        <v>719</v>
      </c>
      <c r="E1287" s="3" t="s">
        <v>508</v>
      </c>
      <c r="F1287" s="3" t="s">
        <v>508</v>
      </c>
      <c r="G1287" s="70" t="s">
        <v>827</v>
      </c>
      <c r="H1287" s="3" t="s">
        <v>828</v>
      </c>
      <c r="I1287" s="3" t="s">
        <v>511</v>
      </c>
      <c r="J1287" s="3">
        <v>0</v>
      </c>
      <c r="K1287" s="3">
        <v>96</v>
      </c>
      <c r="L1287" s="3">
        <v>0</v>
      </c>
      <c r="M1287" s="3">
        <v>96</v>
      </c>
      <c r="N1287" s="3">
        <v>96</v>
      </c>
      <c r="O1287" s="70">
        <v>0</v>
      </c>
      <c r="P1287" s="3">
        <v>0</v>
      </c>
      <c r="Q1287" s="3">
        <v>0</v>
      </c>
      <c r="R1287" s="3">
        <v>4.7890629999999996</v>
      </c>
      <c r="S1287" s="3">
        <v>0</v>
      </c>
      <c r="T1287" s="3">
        <v>459.75</v>
      </c>
      <c r="U1287" s="3">
        <v>459.75</v>
      </c>
      <c r="V1287" s="70" t="s">
        <v>591</v>
      </c>
      <c r="W1287" s="3" t="s">
        <v>343</v>
      </c>
      <c r="X1287" s="3" t="s">
        <v>508</v>
      </c>
      <c r="Y1287" s="3" t="s">
        <v>508</v>
      </c>
    </row>
    <row r="1288" spans="1:25" hidden="1" x14ac:dyDescent="0.2">
      <c r="A1288" s="83" t="str">
        <f t="shared" si="20"/>
        <v>郑州政六街奥尔良风味翅串</v>
      </c>
      <c r="B1288" s="3" t="s">
        <v>714</v>
      </c>
      <c r="C1288" s="3">
        <v>44377</v>
      </c>
      <c r="D1288" s="3" t="s">
        <v>720</v>
      </c>
      <c r="E1288" s="3" t="s">
        <v>508</v>
      </c>
      <c r="F1288" s="3" t="s">
        <v>508</v>
      </c>
      <c r="G1288" s="70" t="s">
        <v>829</v>
      </c>
      <c r="H1288" s="3" t="s">
        <v>830</v>
      </c>
      <c r="I1288" s="3" t="s">
        <v>577</v>
      </c>
      <c r="J1288" s="3">
        <v>0</v>
      </c>
      <c r="K1288" s="3">
        <v>240</v>
      </c>
      <c r="L1288" s="3">
        <v>0</v>
      </c>
      <c r="M1288" s="3">
        <v>240</v>
      </c>
      <c r="N1288" s="3">
        <v>240</v>
      </c>
      <c r="O1288" s="70">
        <v>0</v>
      </c>
      <c r="P1288" s="3">
        <v>0</v>
      </c>
      <c r="Q1288" s="3">
        <v>0</v>
      </c>
      <c r="R1288" s="3">
        <v>4.3143750000000001</v>
      </c>
      <c r="S1288" s="3">
        <v>0</v>
      </c>
      <c r="T1288" s="3">
        <v>1035.45</v>
      </c>
      <c r="U1288" s="3">
        <v>1035.45</v>
      </c>
      <c r="V1288" s="70" t="s">
        <v>591</v>
      </c>
      <c r="W1288" s="3" t="s">
        <v>343</v>
      </c>
      <c r="X1288" s="3" t="s">
        <v>508</v>
      </c>
      <c r="Y1288" s="3" t="s">
        <v>508</v>
      </c>
    </row>
    <row r="1289" spans="1:25" hidden="1" x14ac:dyDescent="0.2">
      <c r="A1289" s="83" t="str">
        <f t="shared" si="20"/>
        <v>新蔡水韵天街奥尔良风味翅串</v>
      </c>
      <c r="B1289" s="3" t="s">
        <v>703</v>
      </c>
      <c r="C1289" s="3">
        <v>44377</v>
      </c>
      <c r="D1289" s="3" t="s">
        <v>720</v>
      </c>
      <c r="E1289" s="3" t="s">
        <v>508</v>
      </c>
      <c r="F1289" s="3" t="s">
        <v>508</v>
      </c>
      <c r="G1289" s="70" t="s">
        <v>829</v>
      </c>
      <c r="H1289" s="3" t="s">
        <v>830</v>
      </c>
      <c r="I1289" s="3" t="s">
        <v>577</v>
      </c>
      <c r="J1289" s="3">
        <v>0</v>
      </c>
      <c r="K1289" s="3">
        <v>160</v>
      </c>
      <c r="L1289" s="3">
        <v>0</v>
      </c>
      <c r="M1289" s="3">
        <v>158</v>
      </c>
      <c r="N1289" s="3">
        <v>158</v>
      </c>
      <c r="O1289" s="70">
        <v>0</v>
      </c>
      <c r="P1289" s="3">
        <v>0</v>
      </c>
      <c r="Q1289" s="3">
        <v>2</v>
      </c>
      <c r="R1289" s="3">
        <v>4.3143669999999998</v>
      </c>
      <c r="S1289" s="3">
        <v>0</v>
      </c>
      <c r="T1289" s="3">
        <v>681.67</v>
      </c>
      <c r="U1289" s="3">
        <v>681.67</v>
      </c>
      <c r="V1289" s="70" t="s">
        <v>335</v>
      </c>
      <c r="W1289" s="3" t="s">
        <v>343</v>
      </c>
      <c r="X1289" s="3" t="s">
        <v>508</v>
      </c>
      <c r="Y1289" s="3" t="s">
        <v>508</v>
      </c>
    </row>
    <row r="1290" spans="1:25" hidden="1" x14ac:dyDescent="0.2">
      <c r="A1290" s="83" t="str">
        <f t="shared" si="20"/>
        <v>郑州康复中街奥尔良风味翅串</v>
      </c>
      <c r="B1290" s="3" t="s">
        <v>704</v>
      </c>
      <c r="C1290" s="3">
        <v>44377</v>
      </c>
      <c r="D1290" s="3" t="s">
        <v>720</v>
      </c>
      <c r="E1290" s="3" t="s">
        <v>508</v>
      </c>
      <c r="F1290" s="3" t="s">
        <v>508</v>
      </c>
      <c r="G1290" s="70" t="s">
        <v>829</v>
      </c>
      <c r="H1290" s="3" t="s">
        <v>830</v>
      </c>
      <c r="I1290" s="3" t="s">
        <v>577</v>
      </c>
      <c r="J1290" s="3">
        <v>0</v>
      </c>
      <c r="K1290" s="3">
        <v>240</v>
      </c>
      <c r="L1290" s="3">
        <v>0</v>
      </c>
      <c r="M1290" s="3">
        <v>240</v>
      </c>
      <c r="N1290" s="3">
        <v>240</v>
      </c>
      <c r="O1290" s="70">
        <v>0</v>
      </c>
      <c r="P1290" s="3">
        <v>0</v>
      </c>
      <c r="Q1290" s="3">
        <v>0</v>
      </c>
      <c r="R1290" s="3">
        <v>4.3143750000000001</v>
      </c>
      <c r="S1290" s="3">
        <v>0</v>
      </c>
      <c r="T1290" s="3">
        <v>1035.45</v>
      </c>
      <c r="U1290" s="3">
        <v>1035.45</v>
      </c>
      <c r="V1290" s="70" t="s">
        <v>593</v>
      </c>
      <c r="W1290" s="3" t="s">
        <v>343</v>
      </c>
      <c r="X1290" s="3" t="s">
        <v>508</v>
      </c>
      <c r="Y1290" s="3" t="s">
        <v>508</v>
      </c>
    </row>
    <row r="1291" spans="1:25" hidden="1" x14ac:dyDescent="0.2">
      <c r="A1291" s="83" t="str">
        <f t="shared" si="20"/>
        <v>华山龙源奥尔良风味翅串</v>
      </c>
      <c r="B1291" s="3" t="s">
        <v>705</v>
      </c>
      <c r="C1291" s="3">
        <v>44377</v>
      </c>
      <c r="D1291" s="3" t="s">
        <v>720</v>
      </c>
      <c r="E1291" s="3" t="s">
        <v>508</v>
      </c>
      <c r="F1291" s="3" t="s">
        <v>508</v>
      </c>
      <c r="G1291" s="70" t="s">
        <v>829</v>
      </c>
      <c r="H1291" s="3" t="s">
        <v>830</v>
      </c>
      <c r="I1291" s="3" t="s">
        <v>577</v>
      </c>
      <c r="J1291" s="3">
        <v>0</v>
      </c>
      <c r="K1291" s="3">
        <v>240</v>
      </c>
      <c r="L1291" s="3">
        <v>0</v>
      </c>
      <c r="M1291" s="3">
        <v>0</v>
      </c>
      <c r="N1291" s="3">
        <v>240</v>
      </c>
      <c r="O1291" s="70">
        <v>-240</v>
      </c>
      <c r="P1291" s="3">
        <v>0</v>
      </c>
      <c r="Q1291" s="3">
        <v>0</v>
      </c>
      <c r="R1291" s="3">
        <v>4.3143750000000001</v>
      </c>
      <c r="S1291" s="3">
        <v>-1035.45</v>
      </c>
      <c r="T1291" s="3">
        <v>0</v>
      </c>
      <c r="U1291" s="3">
        <v>1035.45</v>
      </c>
      <c r="V1291" s="70" t="s">
        <v>643</v>
      </c>
      <c r="W1291" s="3" t="s">
        <v>343</v>
      </c>
      <c r="X1291" s="3" t="s">
        <v>508</v>
      </c>
      <c r="Y1291" s="3" t="s">
        <v>508</v>
      </c>
    </row>
    <row r="1292" spans="1:25" hidden="1" x14ac:dyDescent="0.2">
      <c r="A1292" s="83" t="str">
        <f t="shared" si="20"/>
        <v>郑州瀚海海尚奥尔良风味翅串</v>
      </c>
      <c r="B1292" s="3" t="s">
        <v>706</v>
      </c>
      <c r="C1292" s="3">
        <v>44377</v>
      </c>
      <c r="D1292" s="3" t="s">
        <v>720</v>
      </c>
      <c r="E1292" s="3" t="s">
        <v>508</v>
      </c>
      <c r="F1292" s="3" t="s">
        <v>508</v>
      </c>
      <c r="G1292" s="70" t="s">
        <v>829</v>
      </c>
      <c r="H1292" s="3" t="s">
        <v>830</v>
      </c>
      <c r="I1292" s="3" t="s">
        <v>577</v>
      </c>
      <c r="J1292" s="3">
        <v>0</v>
      </c>
      <c r="K1292" s="3">
        <v>240</v>
      </c>
      <c r="L1292" s="3">
        <v>0</v>
      </c>
      <c r="M1292" s="3">
        <v>240</v>
      </c>
      <c r="N1292" s="3">
        <v>240</v>
      </c>
      <c r="O1292" s="70">
        <v>0</v>
      </c>
      <c r="P1292" s="3">
        <v>0</v>
      </c>
      <c r="Q1292" s="3">
        <v>0</v>
      </c>
      <c r="R1292" s="3">
        <v>4.3143750000000001</v>
      </c>
      <c r="S1292" s="3">
        <v>0</v>
      </c>
      <c r="T1292" s="3">
        <v>1035.45</v>
      </c>
      <c r="U1292" s="3">
        <v>1035.45</v>
      </c>
      <c r="V1292" s="70" t="s">
        <v>333</v>
      </c>
      <c r="W1292" s="3" t="s">
        <v>343</v>
      </c>
      <c r="X1292" s="3" t="s">
        <v>508</v>
      </c>
      <c r="Y1292" s="3" t="s">
        <v>508</v>
      </c>
    </row>
    <row r="1293" spans="1:25" hidden="1" x14ac:dyDescent="0.2">
      <c r="A1293" s="83" t="str">
        <f t="shared" si="20"/>
        <v>郑州铁英街奥尔良风味翅串</v>
      </c>
      <c r="B1293" s="3" t="s">
        <v>707</v>
      </c>
      <c r="C1293" s="3">
        <v>44377</v>
      </c>
      <c r="D1293" s="3" t="s">
        <v>720</v>
      </c>
      <c r="E1293" s="3" t="s">
        <v>508</v>
      </c>
      <c r="F1293" s="3" t="s">
        <v>508</v>
      </c>
      <c r="G1293" s="70" t="s">
        <v>829</v>
      </c>
      <c r="H1293" s="3" t="s">
        <v>830</v>
      </c>
      <c r="I1293" s="3" t="s">
        <v>577</v>
      </c>
      <c r="J1293" s="3">
        <v>0</v>
      </c>
      <c r="K1293" s="3">
        <v>240</v>
      </c>
      <c r="L1293" s="3">
        <v>0</v>
      </c>
      <c r="M1293" s="3">
        <v>240</v>
      </c>
      <c r="N1293" s="3">
        <v>240</v>
      </c>
      <c r="O1293" s="70">
        <v>0</v>
      </c>
      <c r="P1293" s="3">
        <v>0</v>
      </c>
      <c r="Q1293" s="3">
        <v>0</v>
      </c>
      <c r="R1293" s="3">
        <v>4.3143750000000001</v>
      </c>
      <c r="S1293" s="3">
        <v>0</v>
      </c>
      <c r="T1293" s="3">
        <v>1035.45</v>
      </c>
      <c r="U1293" s="3">
        <v>1035.45</v>
      </c>
      <c r="V1293" s="70" t="s">
        <v>592</v>
      </c>
      <c r="W1293" s="3" t="s">
        <v>343</v>
      </c>
      <c r="X1293" s="3" t="s">
        <v>508</v>
      </c>
      <c r="Y1293" s="3" t="s">
        <v>508</v>
      </c>
    </row>
    <row r="1294" spans="1:25" hidden="1" x14ac:dyDescent="0.2">
      <c r="A1294" s="83" t="str">
        <f t="shared" si="20"/>
        <v>郑州西悦城奥尔良风味翅串</v>
      </c>
      <c r="B1294" s="3" t="s">
        <v>708</v>
      </c>
      <c r="C1294" s="3">
        <v>44377</v>
      </c>
      <c r="D1294" s="3" t="s">
        <v>720</v>
      </c>
      <c r="E1294" s="3" t="s">
        <v>508</v>
      </c>
      <c r="F1294" s="3" t="s">
        <v>508</v>
      </c>
      <c r="G1294" s="70" t="s">
        <v>829</v>
      </c>
      <c r="H1294" s="3" t="s">
        <v>830</v>
      </c>
      <c r="I1294" s="3" t="s">
        <v>577</v>
      </c>
      <c r="J1294" s="3">
        <v>0</v>
      </c>
      <c r="K1294" s="3">
        <v>240</v>
      </c>
      <c r="L1294" s="3">
        <v>0</v>
      </c>
      <c r="M1294" s="3">
        <v>240</v>
      </c>
      <c r="N1294" s="3">
        <v>240</v>
      </c>
      <c r="O1294" s="70">
        <v>0</v>
      </c>
      <c r="P1294" s="3">
        <v>0</v>
      </c>
      <c r="Q1294" s="3">
        <v>0</v>
      </c>
      <c r="R1294" s="3">
        <v>4.3143750000000001</v>
      </c>
      <c r="S1294" s="3">
        <v>0</v>
      </c>
      <c r="T1294" s="3">
        <v>1035.45</v>
      </c>
      <c r="U1294" s="3">
        <v>1035.45</v>
      </c>
      <c r="V1294" s="70" t="s">
        <v>332</v>
      </c>
      <c r="W1294" s="3" t="s">
        <v>343</v>
      </c>
      <c r="X1294" s="3" t="s">
        <v>508</v>
      </c>
      <c r="Y1294" s="3" t="s">
        <v>508</v>
      </c>
    </row>
    <row r="1295" spans="1:25" hidden="1" x14ac:dyDescent="0.2">
      <c r="A1295" s="83" t="str">
        <f t="shared" si="20"/>
        <v>方城锦城国际奥尔良风味翅串</v>
      </c>
      <c r="B1295" s="3" t="s">
        <v>712</v>
      </c>
      <c r="C1295" s="3">
        <v>44377</v>
      </c>
      <c r="D1295" s="3" t="s">
        <v>720</v>
      </c>
      <c r="E1295" s="3" t="s">
        <v>508</v>
      </c>
      <c r="F1295" s="3" t="s">
        <v>508</v>
      </c>
      <c r="G1295" s="70" t="s">
        <v>829</v>
      </c>
      <c r="H1295" s="3" t="s">
        <v>830</v>
      </c>
      <c r="I1295" s="3" t="s">
        <v>577</v>
      </c>
      <c r="J1295" s="3">
        <v>0</v>
      </c>
      <c r="K1295" s="3">
        <v>160</v>
      </c>
      <c r="L1295" s="3">
        <v>0</v>
      </c>
      <c r="M1295" s="3">
        <v>160</v>
      </c>
      <c r="N1295" s="3">
        <v>160</v>
      </c>
      <c r="O1295" s="70">
        <v>0</v>
      </c>
      <c r="P1295" s="3">
        <v>0</v>
      </c>
      <c r="Q1295" s="3">
        <v>0</v>
      </c>
      <c r="R1295" s="3">
        <v>4.3143750000000001</v>
      </c>
      <c r="S1295" s="3">
        <v>0</v>
      </c>
      <c r="T1295" s="3">
        <v>690.3</v>
      </c>
      <c r="U1295" s="3">
        <v>690.3</v>
      </c>
      <c r="V1295" s="70" t="s">
        <v>594</v>
      </c>
      <c r="W1295" s="3" t="s">
        <v>343</v>
      </c>
      <c r="X1295" s="3" t="s">
        <v>508</v>
      </c>
      <c r="Y1295" s="3" t="s">
        <v>508</v>
      </c>
    </row>
    <row r="1296" spans="1:25" hidden="1" x14ac:dyDescent="0.2">
      <c r="A1296" s="83" t="str">
        <f t="shared" si="20"/>
        <v>清丰凤鸣奥尔良风味翅串</v>
      </c>
      <c r="B1296" s="3" t="s">
        <v>713</v>
      </c>
      <c r="C1296" s="3">
        <v>44377</v>
      </c>
      <c r="D1296" s="3" t="s">
        <v>720</v>
      </c>
      <c r="E1296" s="3" t="s">
        <v>508</v>
      </c>
      <c r="F1296" s="3" t="s">
        <v>508</v>
      </c>
      <c r="G1296" s="70" t="s">
        <v>829</v>
      </c>
      <c r="H1296" s="3" t="s">
        <v>830</v>
      </c>
      <c r="I1296" s="3" t="s">
        <v>577</v>
      </c>
      <c r="J1296" s="3">
        <v>0</v>
      </c>
      <c r="K1296" s="3">
        <v>240</v>
      </c>
      <c r="L1296" s="3">
        <v>0</v>
      </c>
      <c r="M1296" s="3">
        <v>240</v>
      </c>
      <c r="N1296" s="3">
        <v>240</v>
      </c>
      <c r="O1296" s="70">
        <v>0</v>
      </c>
      <c r="P1296" s="3">
        <v>0</v>
      </c>
      <c r="Q1296" s="3">
        <v>0</v>
      </c>
      <c r="R1296" s="3">
        <v>4.3143750000000001</v>
      </c>
      <c r="S1296" s="3">
        <v>0</v>
      </c>
      <c r="T1296" s="3">
        <v>1035.45</v>
      </c>
      <c r="U1296" s="3">
        <v>1035.45</v>
      </c>
      <c r="V1296" s="70" t="s">
        <v>334</v>
      </c>
      <c r="W1296" s="3" t="s">
        <v>343</v>
      </c>
      <c r="X1296" s="3" t="s">
        <v>508</v>
      </c>
      <c r="Y1296" s="3" t="s">
        <v>508</v>
      </c>
    </row>
    <row r="1297" spans="1:25" hidden="1" x14ac:dyDescent="0.2">
      <c r="A1297" s="83" t="str">
        <f t="shared" si="20"/>
        <v>郑州裕华奥尔良风味翅串</v>
      </c>
      <c r="B1297" s="3" t="s">
        <v>711</v>
      </c>
      <c r="C1297" s="3">
        <v>44377</v>
      </c>
      <c r="D1297" s="3" t="s">
        <v>720</v>
      </c>
      <c r="E1297" s="3" t="s">
        <v>508</v>
      </c>
      <c r="F1297" s="3" t="s">
        <v>508</v>
      </c>
      <c r="G1297" s="70" t="s">
        <v>829</v>
      </c>
      <c r="H1297" s="3" t="s">
        <v>830</v>
      </c>
      <c r="I1297" s="3" t="s">
        <v>577</v>
      </c>
      <c r="J1297" s="3">
        <v>0</v>
      </c>
      <c r="K1297" s="3">
        <v>240</v>
      </c>
      <c r="L1297" s="3">
        <v>0</v>
      </c>
      <c r="M1297" s="3">
        <v>240</v>
      </c>
      <c r="N1297" s="3">
        <v>240</v>
      </c>
      <c r="O1297" s="70">
        <v>0</v>
      </c>
      <c r="P1297" s="3">
        <v>0</v>
      </c>
      <c r="Q1297" s="3">
        <v>0</v>
      </c>
      <c r="R1297" s="3">
        <v>4.3143750000000001</v>
      </c>
      <c r="S1297" s="3">
        <v>0</v>
      </c>
      <c r="T1297" s="3">
        <v>1035.45</v>
      </c>
      <c r="U1297" s="3">
        <v>1035.45</v>
      </c>
      <c r="V1297" s="70" t="s">
        <v>641</v>
      </c>
      <c r="W1297" s="3" t="s">
        <v>343</v>
      </c>
      <c r="X1297" s="3" t="s">
        <v>508</v>
      </c>
      <c r="Y1297" s="3" t="s">
        <v>508</v>
      </c>
    </row>
    <row r="1298" spans="1:25" hidden="1" x14ac:dyDescent="0.2">
      <c r="A1298" s="83" t="str">
        <f t="shared" si="20"/>
        <v>滑县滑台奥尔良风味翅串</v>
      </c>
      <c r="B1298" s="3" t="s">
        <v>710</v>
      </c>
      <c r="C1298" s="3">
        <v>44377</v>
      </c>
      <c r="D1298" s="3" t="s">
        <v>720</v>
      </c>
      <c r="E1298" s="3" t="s">
        <v>508</v>
      </c>
      <c r="F1298" s="3" t="s">
        <v>508</v>
      </c>
      <c r="G1298" s="70" t="s">
        <v>829</v>
      </c>
      <c r="H1298" s="3" t="s">
        <v>830</v>
      </c>
      <c r="I1298" s="3" t="s">
        <v>577</v>
      </c>
      <c r="J1298" s="3">
        <v>0</v>
      </c>
      <c r="K1298" s="3">
        <v>240</v>
      </c>
      <c r="L1298" s="3">
        <v>0</v>
      </c>
      <c r="M1298" s="3">
        <v>240</v>
      </c>
      <c r="N1298" s="3">
        <v>240</v>
      </c>
      <c r="O1298" s="70">
        <v>0</v>
      </c>
      <c r="P1298" s="3">
        <v>0</v>
      </c>
      <c r="Q1298" s="3">
        <v>0</v>
      </c>
      <c r="R1298" s="3">
        <v>4.3143750000000001</v>
      </c>
      <c r="S1298" s="3">
        <v>0</v>
      </c>
      <c r="T1298" s="3">
        <v>1035.45</v>
      </c>
      <c r="U1298" s="3">
        <v>1035.45</v>
      </c>
      <c r="V1298" s="70" t="s">
        <v>639</v>
      </c>
      <c r="W1298" s="3" t="s">
        <v>343</v>
      </c>
      <c r="X1298" s="3" t="s">
        <v>508</v>
      </c>
      <c r="Y1298" s="3" t="s">
        <v>508</v>
      </c>
    </row>
    <row r="1299" spans="1:25" hidden="1" x14ac:dyDescent="0.2">
      <c r="A1299" s="83" t="str">
        <f t="shared" si="20"/>
        <v>郑州盛华里奥尔良风味翅串</v>
      </c>
      <c r="B1299" s="3" t="s">
        <v>709</v>
      </c>
      <c r="C1299" s="3">
        <v>44377</v>
      </c>
      <c r="D1299" s="3" t="s">
        <v>720</v>
      </c>
      <c r="E1299" s="3" t="s">
        <v>508</v>
      </c>
      <c r="F1299" s="3" t="s">
        <v>508</v>
      </c>
      <c r="G1299" s="70" t="s">
        <v>829</v>
      </c>
      <c r="H1299" s="3" t="s">
        <v>830</v>
      </c>
      <c r="I1299" s="3" t="s">
        <v>577</v>
      </c>
      <c r="J1299" s="3">
        <v>0</v>
      </c>
      <c r="K1299" s="3">
        <v>240</v>
      </c>
      <c r="L1299" s="3">
        <v>0</v>
      </c>
      <c r="M1299" s="3">
        <v>240</v>
      </c>
      <c r="N1299" s="3">
        <v>240</v>
      </c>
      <c r="O1299" s="70">
        <v>0</v>
      </c>
      <c r="P1299" s="3">
        <v>0</v>
      </c>
      <c r="Q1299" s="3">
        <v>0</v>
      </c>
      <c r="R1299" s="3">
        <v>4.3143750000000001</v>
      </c>
      <c r="S1299" s="3">
        <v>0</v>
      </c>
      <c r="T1299" s="3">
        <v>1035.45</v>
      </c>
      <c r="U1299" s="3">
        <v>1035.45</v>
      </c>
      <c r="V1299" s="70" t="s">
        <v>637</v>
      </c>
      <c r="W1299" s="3" t="s">
        <v>343</v>
      </c>
      <c r="X1299" s="3" t="s">
        <v>508</v>
      </c>
      <c r="Y1299" s="3" t="s">
        <v>508</v>
      </c>
    </row>
    <row r="1300" spans="1:25" hidden="1" x14ac:dyDescent="0.2">
      <c r="A1300" s="83" t="str">
        <f t="shared" si="20"/>
        <v>郑州铁英街套餐券</v>
      </c>
      <c r="B1300" s="3" t="s">
        <v>707</v>
      </c>
      <c r="C1300" s="3">
        <v>44377</v>
      </c>
      <c r="D1300" s="3" t="s">
        <v>583</v>
      </c>
      <c r="E1300" s="3" t="s">
        <v>584</v>
      </c>
      <c r="F1300" s="3" t="s">
        <v>337</v>
      </c>
      <c r="G1300" s="70" t="s">
        <v>585</v>
      </c>
      <c r="H1300" s="3" t="s">
        <v>343</v>
      </c>
      <c r="I1300" s="3" t="s">
        <v>339</v>
      </c>
      <c r="J1300" s="3">
        <v>58</v>
      </c>
      <c r="K1300" s="3">
        <v>0</v>
      </c>
      <c r="L1300" s="3">
        <v>0</v>
      </c>
      <c r="M1300" s="3">
        <v>58</v>
      </c>
      <c r="N1300" s="3">
        <v>58</v>
      </c>
      <c r="O1300" s="70">
        <v>0</v>
      </c>
      <c r="P1300" s="3">
        <v>0</v>
      </c>
      <c r="Q1300" s="3">
        <v>0</v>
      </c>
      <c r="R1300" s="3">
        <v>0.09</v>
      </c>
      <c r="S1300" s="3">
        <v>0</v>
      </c>
      <c r="T1300" s="3">
        <v>5.22</v>
      </c>
      <c r="U1300" s="3">
        <v>5.22</v>
      </c>
      <c r="V1300" s="70" t="s">
        <v>592</v>
      </c>
      <c r="W1300" s="3" t="s">
        <v>343</v>
      </c>
      <c r="X1300" s="3" t="s">
        <v>584</v>
      </c>
      <c r="Y1300" s="3" t="s">
        <v>337</v>
      </c>
    </row>
    <row r="1301" spans="1:25" hidden="1" x14ac:dyDescent="0.2">
      <c r="A1301" s="83" t="str">
        <f t="shared" si="20"/>
        <v>郑州瀚海海尚套餐券</v>
      </c>
      <c r="B1301" s="3" t="s">
        <v>706</v>
      </c>
      <c r="C1301" s="3">
        <v>44377</v>
      </c>
      <c r="D1301" s="3" t="s">
        <v>583</v>
      </c>
      <c r="E1301" s="3" t="s">
        <v>584</v>
      </c>
      <c r="F1301" s="3" t="s">
        <v>337</v>
      </c>
      <c r="G1301" s="70" t="s">
        <v>585</v>
      </c>
      <c r="H1301" s="3" t="s">
        <v>343</v>
      </c>
      <c r="I1301" s="3" t="s">
        <v>339</v>
      </c>
      <c r="J1301" s="3">
        <v>415</v>
      </c>
      <c r="K1301" s="3">
        <v>0</v>
      </c>
      <c r="L1301" s="3">
        <v>0</v>
      </c>
      <c r="M1301" s="3">
        <v>0</v>
      </c>
      <c r="N1301" s="3">
        <v>415</v>
      </c>
      <c r="O1301" s="70">
        <v>-415</v>
      </c>
      <c r="P1301" s="3">
        <v>0</v>
      </c>
      <c r="Q1301" s="3">
        <v>0</v>
      </c>
      <c r="R1301" s="3">
        <v>0.09</v>
      </c>
      <c r="S1301" s="3">
        <v>-37.35</v>
      </c>
      <c r="T1301" s="3">
        <v>0</v>
      </c>
      <c r="U1301" s="3">
        <v>37.35</v>
      </c>
      <c r="V1301" s="70" t="s">
        <v>333</v>
      </c>
      <c r="W1301" s="3" t="s">
        <v>343</v>
      </c>
      <c r="X1301" s="3" t="s">
        <v>584</v>
      </c>
      <c r="Y1301" s="3" t="s">
        <v>337</v>
      </c>
    </row>
    <row r="1302" spans="1:25" hidden="1" x14ac:dyDescent="0.2">
      <c r="A1302" s="83" t="str">
        <f t="shared" si="20"/>
        <v>华山龙源套餐券</v>
      </c>
      <c r="B1302" s="3" t="s">
        <v>705</v>
      </c>
      <c r="C1302" s="3">
        <v>44377</v>
      </c>
      <c r="D1302" s="3" t="s">
        <v>583</v>
      </c>
      <c r="E1302" s="3" t="s">
        <v>584</v>
      </c>
      <c r="F1302" s="3" t="s">
        <v>337</v>
      </c>
      <c r="G1302" s="70" t="s">
        <v>585</v>
      </c>
      <c r="H1302" s="3" t="s">
        <v>343</v>
      </c>
      <c r="I1302" s="3" t="s">
        <v>339</v>
      </c>
      <c r="J1302" s="3">
        <v>937</v>
      </c>
      <c r="K1302" s="3">
        <v>0</v>
      </c>
      <c r="L1302" s="3">
        <v>82</v>
      </c>
      <c r="M1302" s="3">
        <v>855</v>
      </c>
      <c r="N1302" s="3">
        <v>855</v>
      </c>
      <c r="O1302" s="70">
        <v>0</v>
      </c>
      <c r="P1302" s="3">
        <v>0</v>
      </c>
      <c r="Q1302" s="3">
        <v>0</v>
      </c>
      <c r="R1302" s="3">
        <v>0.09</v>
      </c>
      <c r="S1302" s="3">
        <v>0</v>
      </c>
      <c r="T1302" s="3">
        <v>76.95</v>
      </c>
      <c r="U1302" s="3">
        <v>76.95</v>
      </c>
      <c r="V1302" s="70" t="s">
        <v>643</v>
      </c>
      <c r="W1302" s="3" t="s">
        <v>343</v>
      </c>
      <c r="X1302" s="3" t="s">
        <v>584</v>
      </c>
      <c r="Y1302" s="3" t="s">
        <v>337</v>
      </c>
    </row>
    <row r="1303" spans="1:25" hidden="1" x14ac:dyDescent="0.2">
      <c r="A1303" s="83" t="str">
        <f t="shared" si="20"/>
        <v>郑州康复中街套餐券</v>
      </c>
      <c r="B1303" s="3" t="s">
        <v>704</v>
      </c>
      <c r="C1303" s="3">
        <v>44377</v>
      </c>
      <c r="D1303" s="3" t="s">
        <v>583</v>
      </c>
      <c r="E1303" s="3" t="s">
        <v>584</v>
      </c>
      <c r="F1303" s="3" t="s">
        <v>337</v>
      </c>
      <c r="G1303" s="70" t="s">
        <v>585</v>
      </c>
      <c r="H1303" s="3" t="s">
        <v>343</v>
      </c>
      <c r="I1303" s="3" t="s">
        <v>339</v>
      </c>
      <c r="J1303" s="3">
        <v>2</v>
      </c>
      <c r="K1303" s="3">
        <v>0</v>
      </c>
      <c r="L1303" s="3">
        <v>0</v>
      </c>
      <c r="M1303" s="3">
        <v>2</v>
      </c>
      <c r="N1303" s="3">
        <v>2</v>
      </c>
      <c r="O1303" s="70">
        <v>0</v>
      </c>
      <c r="P1303" s="3">
        <v>0</v>
      </c>
      <c r="Q1303" s="3">
        <v>0</v>
      </c>
      <c r="R1303" s="3">
        <v>0.09</v>
      </c>
      <c r="S1303" s="3">
        <v>0</v>
      </c>
      <c r="T1303" s="3">
        <v>0.18</v>
      </c>
      <c r="U1303" s="3">
        <v>0.18</v>
      </c>
      <c r="V1303" s="70" t="s">
        <v>593</v>
      </c>
      <c r="W1303" s="3" t="s">
        <v>343</v>
      </c>
      <c r="X1303" s="3" t="s">
        <v>584</v>
      </c>
      <c r="Y1303" s="3" t="s">
        <v>337</v>
      </c>
    </row>
    <row r="1304" spans="1:25" hidden="1" x14ac:dyDescent="0.2">
      <c r="A1304" s="83" t="str">
        <f t="shared" si="20"/>
        <v>郑州盛华里开心大礼盒（圣诞版）</v>
      </c>
      <c r="B1304" s="3" t="s">
        <v>709</v>
      </c>
      <c r="C1304" s="3">
        <v>44377</v>
      </c>
      <c r="D1304" s="3" t="s">
        <v>655</v>
      </c>
      <c r="E1304" s="3" t="s">
        <v>584</v>
      </c>
      <c r="F1304" s="3" t="s">
        <v>661</v>
      </c>
      <c r="G1304" s="70" t="s">
        <v>679</v>
      </c>
      <c r="H1304" s="3" t="s">
        <v>343</v>
      </c>
      <c r="I1304" s="3" t="s">
        <v>339</v>
      </c>
      <c r="J1304" s="3">
        <v>63</v>
      </c>
      <c r="K1304" s="3">
        <v>0</v>
      </c>
      <c r="L1304" s="3">
        <v>0</v>
      </c>
      <c r="M1304" s="3">
        <v>63</v>
      </c>
      <c r="N1304" s="3">
        <v>63</v>
      </c>
      <c r="O1304" s="70">
        <v>0</v>
      </c>
      <c r="P1304" s="3">
        <v>0</v>
      </c>
      <c r="Q1304" s="3">
        <v>0</v>
      </c>
      <c r="R1304" s="3">
        <v>0.46158700000000003</v>
      </c>
      <c r="S1304" s="3">
        <v>0</v>
      </c>
      <c r="T1304" s="3">
        <v>29.08</v>
      </c>
      <c r="U1304" s="3">
        <v>29.08</v>
      </c>
      <c r="V1304" s="70" t="s">
        <v>637</v>
      </c>
      <c r="W1304" s="3" t="s">
        <v>343</v>
      </c>
      <c r="X1304" s="3" t="s">
        <v>584</v>
      </c>
      <c r="Y1304" s="3" t="s">
        <v>661</v>
      </c>
    </row>
    <row r="1305" spans="1:25" hidden="1" x14ac:dyDescent="0.2">
      <c r="A1305" s="83" t="str">
        <f t="shared" si="20"/>
        <v>滑县滑台开心大礼盒（圣诞版）</v>
      </c>
      <c r="B1305" s="3" t="s">
        <v>710</v>
      </c>
      <c r="C1305" s="3">
        <v>44377</v>
      </c>
      <c r="D1305" s="3" t="s">
        <v>655</v>
      </c>
      <c r="E1305" s="3" t="s">
        <v>584</v>
      </c>
      <c r="F1305" s="3" t="s">
        <v>661</v>
      </c>
      <c r="G1305" s="70" t="s">
        <v>679</v>
      </c>
      <c r="H1305" s="3" t="s">
        <v>343</v>
      </c>
      <c r="I1305" s="3" t="s">
        <v>339</v>
      </c>
      <c r="J1305" s="3">
        <v>2</v>
      </c>
      <c r="K1305" s="3">
        <v>0</v>
      </c>
      <c r="L1305" s="3">
        <v>0</v>
      </c>
      <c r="M1305" s="3">
        <v>2</v>
      </c>
      <c r="N1305" s="3">
        <v>2</v>
      </c>
      <c r="O1305" s="70">
        <v>0</v>
      </c>
      <c r="P1305" s="3">
        <v>0</v>
      </c>
      <c r="Q1305" s="3">
        <v>0</v>
      </c>
      <c r="R1305" s="3">
        <v>0.66500000000000004</v>
      </c>
      <c r="S1305" s="3">
        <v>0</v>
      </c>
      <c r="T1305" s="3">
        <v>1.33</v>
      </c>
      <c r="U1305" s="3">
        <v>1.33</v>
      </c>
      <c r="V1305" s="70" t="s">
        <v>639</v>
      </c>
      <c r="W1305" s="3" t="s">
        <v>343</v>
      </c>
      <c r="X1305" s="3" t="s">
        <v>584</v>
      </c>
      <c r="Y1305" s="3" t="s">
        <v>661</v>
      </c>
    </row>
    <row r="1306" spans="1:25" hidden="1" x14ac:dyDescent="0.2">
      <c r="A1306" s="83" t="str">
        <f t="shared" si="20"/>
        <v>滑县滑台圣诞水晶球</v>
      </c>
      <c r="B1306" s="3" t="s">
        <v>710</v>
      </c>
      <c r="C1306" s="3">
        <v>44377</v>
      </c>
      <c r="D1306" s="3" t="s">
        <v>656</v>
      </c>
      <c r="E1306" s="3" t="s">
        <v>584</v>
      </c>
      <c r="F1306" s="3" t="s">
        <v>661</v>
      </c>
      <c r="G1306" s="70" t="s">
        <v>680</v>
      </c>
      <c r="H1306" s="3" t="s">
        <v>343</v>
      </c>
      <c r="I1306" s="3" t="s">
        <v>339</v>
      </c>
      <c r="J1306" s="3">
        <v>2</v>
      </c>
      <c r="K1306" s="3">
        <v>0</v>
      </c>
      <c r="L1306" s="3">
        <v>0</v>
      </c>
      <c r="M1306" s="3">
        <v>2</v>
      </c>
      <c r="N1306" s="3">
        <v>2</v>
      </c>
      <c r="O1306" s="70">
        <v>0</v>
      </c>
      <c r="P1306" s="3">
        <v>0</v>
      </c>
      <c r="Q1306" s="3">
        <v>0</v>
      </c>
      <c r="R1306" s="3">
        <v>5</v>
      </c>
      <c r="S1306" s="3">
        <v>0</v>
      </c>
      <c r="T1306" s="3">
        <v>10</v>
      </c>
      <c r="U1306" s="3">
        <v>10</v>
      </c>
      <c r="V1306" s="70" t="s">
        <v>639</v>
      </c>
      <c r="W1306" s="3" t="s">
        <v>343</v>
      </c>
      <c r="X1306" s="3" t="s">
        <v>584</v>
      </c>
      <c r="Y1306" s="3" t="s">
        <v>661</v>
      </c>
    </row>
    <row r="1307" spans="1:25" hidden="1" x14ac:dyDescent="0.2">
      <c r="A1307" s="83" t="str">
        <f t="shared" si="20"/>
        <v>郑州盛华里圣诞水晶球</v>
      </c>
      <c r="B1307" s="3" t="s">
        <v>709</v>
      </c>
      <c r="C1307" s="3">
        <v>44377</v>
      </c>
      <c r="D1307" s="3" t="s">
        <v>656</v>
      </c>
      <c r="E1307" s="3" t="s">
        <v>584</v>
      </c>
      <c r="F1307" s="3" t="s">
        <v>661</v>
      </c>
      <c r="G1307" s="70" t="s">
        <v>680</v>
      </c>
      <c r="H1307" s="3" t="s">
        <v>343</v>
      </c>
      <c r="I1307" s="3" t="s">
        <v>339</v>
      </c>
      <c r="J1307" s="3">
        <v>48</v>
      </c>
      <c r="K1307" s="3">
        <v>0</v>
      </c>
      <c r="L1307" s="3">
        <v>0</v>
      </c>
      <c r="M1307" s="3">
        <v>48</v>
      </c>
      <c r="N1307" s="3">
        <v>48</v>
      </c>
      <c r="O1307" s="70">
        <v>0</v>
      </c>
      <c r="P1307" s="3">
        <v>0</v>
      </c>
      <c r="Q1307" s="3">
        <v>0</v>
      </c>
      <c r="R1307" s="3">
        <v>4.9000000000000004</v>
      </c>
      <c r="S1307" s="3">
        <v>0</v>
      </c>
      <c r="T1307" s="3">
        <v>235.2</v>
      </c>
      <c r="U1307" s="3">
        <v>235.2</v>
      </c>
      <c r="V1307" s="70" t="s">
        <v>637</v>
      </c>
      <c r="W1307" s="3" t="s">
        <v>343</v>
      </c>
      <c r="X1307" s="3" t="s">
        <v>584</v>
      </c>
      <c r="Y1307" s="3" t="s">
        <v>661</v>
      </c>
    </row>
    <row r="1308" spans="1:25" hidden="1" x14ac:dyDescent="0.2">
      <c r="A1308" s="83" t="str">
        <f t="shared" si="20"/>
        <v>新蔡水韵天街2021新春IP盲盒</v>
      </c>
      <c r="B1308" s="3" t="s">
        <v>703</v>
      </c>
      <c r="C1308" s="3">
        <v>44377</v>
      </c>
      <c r="D1308" s="3" t="s">
        <v>721</v>
      </c>
      <c r="E1308" s="3" t="s">
        <v>584</v>
      </c>
      <c r="F1308" s="3" t="s">
        <v>661</v>
      </c>
      <c r="G1308" s="70" t="s">
        <v>831</v>
      </c>
      <c r="H1308" s="3" t="s">
        <v>832</v>
      </c>
      <c r="I1308" s="3" t="s">
        <v>339</v>
      </c>
      <c r="J1308" s="3">
        <v>0</v>
      </c>
      <c r="K1308" s="3">
        <v>4</v>
      </c>
      <c r="L1308" s="3">
        <v>0</v>
      </c>
      <c r="M1308" s="3">
        <v>0</v>
      </c>
      <c r="N1308" s="3">
        <v>4</v>
      </c>
      <c r="O1308" s="70">
        <v>-4</v>
      </c>
      <c r="P1308" s="3">
        <v>0</v>
      </c>
      <c r="Q1308" s="3">
        <v>0</v>
      </c>
      <c r="R1308" s="3">
        <v>12.5</v>
      </c>
      <c r="S1308" s="3">
        <v>-50</v>
      </c>
      <c r="T1308" s="3">
        <v>0</v>
      </c>
      <c r="U1308" s="3">
        <v>50</v>
      </c>
      <c r="V1308" s="70" t="s">
        <v>335</v>
      </c>
      <c r="W1308" s="3" t="s">
        <v>833</v>
      </c>
      <c r="X1308" s="3" t="s">
        <v>584</v>
      </c>
      <c r="Y1308" s="3" t="s">
        <v>661</v>
      </c>
    </row>
    <row r="1309" spans="1:25" hidden="1" x14ac:dyDescent="0.2">
      <c r="A1309" s="83" t="str">
        <f t="shared" si="20"/>
        <v>新蔡水韵天街六一吹龙口哨</v>
      </c>
      <c r="B1309" s="3" t="s">
        <v>703</v>
      </c>
      <c r="C1309" s="3">
        <v>44377</v>
      </c>
      <c r="D1309" s="3" t="s">
        <v>657</v>
      </c>
      <c r="E1309" s="3" t="s">
        <v>584</v>
      </c>
      <c r="F1309" s="3" t="s">
        <v>661</v>
      </c>
      <c r="G1309" s="70" t="s">
        <v>681</v>
      </c>
      <c r="H1309" s="3" t="s">
        <v>682</v>
      </c>
      <c r="I1309" s="3" t="s">
        <v>339</v>
      </c>
      <c r="J1309" s="3">
        <v>70</v>
      </c>
      <c r="K1309" s="3">
        <v>0</v>
      </c>
      <c r="L1309" s="3">
        <v>27</v>
      </c>
      <c r="M1309" s="3">
        <v>40</v>
      </c>
      <c r="N1309" s="3">
        <v>43</v>
      </c>
      <c r="O1309" s="70">
        <v>-3</v>
      </c>
      <c r="P1309" s="3">
        <v>0</v>
      </c>
      <c r="Q1309" s="3">
        <v>0</v>
      </c>
      <c r="R1309" s="3">
        <v>0.10299999999999999</v>
      </c>
      <c r="S1309" s="3">
        <v>-0.31</v>
      </c>
      <c r="T1309" s="3">
        <v>4.12</v>
      </c>
      <c r="U1309" s="3">
        <v>4.43</v>
      </c>
      <c r="V1309" s="70" t="s">
        <v>335</v>
      </c>
      <c r="W1309" s="3" t="s">
        <v>343</v>
      </c>
      <c r="X1309" s="3" t="s">
        <v>584</v>
      </c>
      <c r="Y1309" s="3" t="s">
        <v>661</v>
      </c>
    </row>
    <row r="1310" spans="1:25" hidden="1" x14ac:dyDescent="0.2">
      <c r="A1310" s="83" t="str">
        <f t="shared" si="20"/>
        <v>郑州康复中街六一吹龙口哨</v>
      </c>
      <c r="B1310" s="83" t="s">
        <v>704</v>
      </c>
      <c r="C1310" s="3">
        <v>44377</v>
      </c>
      <c r="D1310" s="3" t="s">
        <v>657</v>
      </c>
      <c r="E1310" s="3" t="s">
        <v>584</v>
      </c>
      <c r="F1310" s="3" t="s">
        <v>661</v>
      </c>
      <c r="G1310" s="70" t="s">
        <v>681</v>
      </c>
      <c r="H1310" s="3" t="s">
        <v>682</v>
      </c>
      <c r="I1310" s="3" t="s">
        <v>339</v>
      </c>
      <c r="J1310" s="3">
        <v>195</v>
      </c>
      <c r="K1310" s="3">
        <v>0</v>
      </c>
      <c r="L1310" s="3">
        <v>22</v>
      </c>
      <c r="M1310" s="3">
        <v>160</v>
      </c>
      <c r="N1310" s="3">
        <v>173</v>
      </c>
      <c r="O1310" s="70">
        <v>-13</v>
      </c>
      <c r="P1310" s="3">
        <v>0</v>
      </c>
      <c r="Q1310" s="3">
        <v>0</v>
      </c>
      <c r="R1310" s="3">
        <v>0.10299999999999999</v>
      </c>
      <c r="S1310" s="3">
        <v>-1.34</v>
      </c>
      <c r="T1310" s="3">
        <v>16.48</v>
      </c>
      <c r="U1310" s="3">
        <v>17.82</v>
      </c>
      <c r="V1310" s="70" t="s">
        <v>593</v>
      </c>
      <c r="W1310" s="3" t="s">
        <v>343</v>
      </c>
      <c r="X1310" s="3" t="s">
        <v>584</v>
      </c>
      <c r="Y1310" s="3" t="s">
        <v>661</v>
      </c>
    </row>
    <row r="1311" spans="1:25" hidden="1" x14ac:dyDescent="0.2">
      <c r="A1311" s="83" t="str">
        <f t="shared" si="20"/>
        <v>华山龙源六一吹龙口哨</v>
      </c>
      <c r="B1311" s="83" t="s">
        <v>705</v>
      </c>
      <c r="C1311" s="3">
        <v>44377</v>
      </c>
      <c r="D1311" s="3" t="s">
        <v>657</v>
      </c>
      <c r="E1311" s="3" t="s">
        <v>584</v>
      </c>
      <c r="F1311" s="3" t="s">
        <v>661</v>
      </c>
      <c r="G1311" s="70" t="s">
        <v>681</v>
      </c>
      <c r="H1311" s="3" t="s">
        <v>682</v>
      </c>
      <c r="I1311" s="3" t="s">
        <v>339</v>
      </c>
      <c r="J1311" s="3">
        <v>96</v>
      </c>
      <c r="K1311" s="3">
        <v>0</v>
      </c>
      <c r="L1311" s="3">
        <v>17</v>
      </c>
      <c r="M1311" s="3">
        <v>79</v>
      </c>
      <c r="N1311" s="3">
        <v>79</v>
      </c>
      <c r="O1311" s="70">
        <v>0</v>
      </c>
      <c r="P1311" s="3">
        <v>0</v>
      </c>
      <c r="Q1311" s="3">
        <v>0</v>
      </c>
      <c r="R1311" s="3">
        <v>0.10316500000000001</v>
      </c>
      <c r="S1311" s="3">
        <v>0</v>
      </c>
      <c r="T1311" s="3">
        <v>8.15</v>
      </c>
      <c r="U1311" s="3">
        <v>8.15</v>
      </c>
      <c r="V1311" s="70" t="s">
        <v>643</v>
      </c>
      <c r="W1311" s="3" t="s">
        <v>343</v>
      </c>
      <c r="X1311" s="3" t="s">
        <v>584</v>
      </c>
      <c r="Y1311" s="3" t="s">
        <v>661</v>
      </c>
    </row>
    <row r="1312" spans="1:25" hidden="1" x14ac:dyDescent="0.2">
      <c r="A1312" s="83" t="str">
        <f t="shared" si="20"/>
        <v>郑州瀚海海尚六一吹龙口哨</v>
      </c>
      <c r="B1312" s="83" t="s">
        <v>706</v>
      </c>
      <c r="C1312" s="3">
        <v>44377</v>
      </c>
      <c r="D1312" s="3" t="s">
        <v>657</v>
      </c>
      <c r="E1312" s="3" t="s">
        <v>584</v>
      </c>
      <c r="F1312" s="3" t="s">
        <v>661</v>
      </c>
      <c r="G1312" s="70" t="s">
        <v>681</v>
      </c>
      <c r="H1312" s="3" t="s">
        <v>682</v>
      </c>
      <c r="I1312" s="3" t="s">
        <v>339</v>
      </c>
      <c r="J1312" s="3">
        <v>189</v>
      </c>
      <c r="K1312" s="3">
        <v>0</v>
      </c>
      <c r="L1312" s="3">
        <v>17</v>
      </c>
      <c r="M1312" s="3">
        <v>172</v>
      </c>
      <c r="N1312" s="3">
        <v>172</v>
      </c>
      <c r="O1312" s="70">
        <v>0</v>
      </c>
      <c r="P1312" s="3">
        <v>0</v>
      </c>
      <c r="Q1312" s="3">
        <v>0</v>
      </c>
      <c r="R1312" s="3">
        <v>0.103023</v>
      </c>
      <c r="S1312" s="3">
        <v>0</v>
      </c>
      <c r="T1312" s="3">
        <v>17.72</v>
      </c>
      <c r="U1312" s="3">
        <v>17.72</v>
      </c>
      <c r="V1312" s="70" t="s">
        <v>333</v>
      </c>
      <c r="W1312" s="3" t="s">
        <v>343</v>
      </c>
      <c r="X1312" s="3" t="s">
        <v>584</v>
      </c>
      <c r="Y1312" s="3" t="s">
        <v>661</v>
      </c>
    </row>
    <row r="1313" spans="1:25" hidden="1" x14ac:dyDescent="0.2">
      <c r="A1313" s="83" t="str">
        <f t="shared" si="20"/>
        <v>郑州铁英街六一吹龙口哨</v>
      </c>
      <c r="B1313" s="83" t="s">
        <v>707</v>
      </c>
      <c r="C1313" s="3">
        <v>44377</v>
      </c>
      <c r="D1313" s="3" t="s">
        <v>657</v>
      </c>
      <c r="E1313" s="3" t="s">
        <v>584</v>
      </c>
      <c r="F1313" s="3" t="s">
        <v>661</v>
      </c>
      <c r="G1313" s="70" t="s">
        <v>681</v>
      </c>
      <c r="H1313" s="3" t="s">
        <v>682</v>
      </c>
      <c r="I1313" s="3" t="s">
        <v>339</v>
      </c>
      <c r="J1313" s="3">
        <v>190</v>
      </c>
      <c r="K1313" s="3">
        <v>0</v>
      </c>
      <c r="L1313" s="3">
        <v>15</v>
      </c>
      <c r="M1313" s="3">
        <v>175</v>
      </c>
      <c r="N1313" s="3">
        <v>175</v>
      </c>
      <c r="O1313" s="70">
        <v>0</v>
      </c>
      <c r="P1313" s="3">
        <v>0</v>
      </c>
      <c r="Q1313" s="3">
        <v>0</v>
      </c>
      <c r="R1313" s="3">
        <v>0.10297099999999999</v>
      </c>
      <c r="S1313" s="3">
        <v>0</v>
      </c>
      <c r="T1313" s="3">
        <v>18.02</v>
      </c>
      <c r="U1313" s="3">
        <v>18.02</v>
      </c>
      <c r="V1313" s="70" t="s">
        <v>592</v>
      </c>
      <c r="W1313" s="3" t="s">
        <v>343</v>
      </c>
      <c r="X1313" s="3" t="s">
        <v>584</v>
      </c>
      <c r="Y1313" s="3" t="s">
        <v>661</v>
      </c>
    </row>
    <row r="1314" spans="1:25" hidden="1" x14ac:dyDescent="0.2">
      <c r="A1314" s="83" t="str">
        <f t="shared" si="20"/>
        <v>郑州西悦城六一吹龙口哨</v>
      </c>
      <c r="B1314" s="83" t="s">
        <v>708</v>
      </c>
      <c r="C1314" s="3">
        <v>44377</v>
      </c>
      <c r="D1314" s="3" t="s">
        <v>657</v>
      </c>
      <c r="E1314" s="3" t="s">
        <v>584</v>
      </c>
      <c r="F1314" s="3" t="s">
        <v>661</v>
      </c>
      <c r="G1314" s="70" t="s">
        <v>681</v>
      </c>
      <c r="H1314" s="3" t="s">
        <v>682</v>
      </c>
      <c r="I1314" s="3" t="s">
        <v>339</v>
      </c>
      <c r="J1314" s="3">
        <v>182</v>
      </c>
      <c r="K1314" s="3">
        <v>0</v>
      </c>
      <c r="L1314" s="3">
        <v>32</v>
      </c>
      <c r="M1314" s="3">
        <v>150</v>
      </c>
      <c r="N1314" s="3">
        <v>150</v>
      </c>
      <c r="O1314" s="70">
        <v>0</v>
      </c>
      <c r="P1314" s="3">
        <v>0</v>
      </c>
      <c r="Q1314" s="3">
        <v>0</v>
      </c>
      <c r="R1314" s="3">
        <v>0.102933</v>
      </c>
      <c r="S1314" s="3">
        <v>0</v>
      </c>
      <c r="T1314" s="3">
        <v>15.44</v>
      </c>
      <c r="U1314" s="3">
        <v>15.44</v>
      </c>
      <c r="V1314" s="70" t="s">
        <v>332</v>
      </c>
      <c r="W1314" s="3" t="s">
        <v>343</v>
      </c>
      <c r="X1314" s="3" t="s">
        <v>584</v>
      </c>
      <c r="Y1314" s="3" t="s">
        <v>661</v>
      </c>
    </row>
    <row r="1315" spans="1:25" hidden="1" x14ac:dyDescent="0.2">
      <c r="A1315" s="83" t="str">
        <f t="shared" si="20"/>
        <v>郑州盛华里六一吹龙口哨</v>
      </c>
      <c r="B1315" s="83" t="s">
        <v>709</v>
      </c>
      <c r="C1315" s="3">
        <v>44377</v>
      </c>
      <c r="D1315" s="3" t="s">
        <v>657</v>
      </c>
      <c r="E1315" s="3" t="s">
        <v>584</v>
      </c>
      <c r="F1315" s="3" t="s">
        <v>661</v>
      </c>
      <c r="G1315" s="70" t="s">
        <v>681</v>
      </c>
      <c r="H1315" s="3" t="s">
        <v>682</v>
      </c>
      <c r="I1315" s="3" t="s">
        <v>339</v>
      </c>
      <c r="J1315" s="3">
        <v>89</v>
      </c>
      <c r="K1315" s="3">
        <v>0</v>
      </c>
      <c r="L1315" s="3">
        <v>5</v>
      </c>
      <c r="M1315" s="3">
        <v>82</v>
      </c>
      <c r="N1315" s="3">
        <v>84</v>
      </c>
      <c r="O1315" s="70">
        <v>-2</v>
      </c>
      <c r="P1315" s="3">
        <v>0</v>
      </c>
      <c r="Q1315" s="3">
        <v>0</v>
      </c>
      <c r="R1315" s="3">
        <v>0.103049</v>
      </c>
      <c r="S1315" s="3">
        <v>-0.21</v>
      </c>
      <c r="T1315" s="3">
        <v>8.4499999999999993</v>
      </c>
      <c r="U1315" s="3">
        <v>8.66</v>
      </c>
      <c r="V1315" s="70" t="s">
        <v>637</v>
      </c>
      <c r="W1315" s="3" t="s">
        <v>343</v>
      </c>
      <c r="X1315" s="3" t="s">
        <v>584</v>
      </c>
      <c r="Y1315" s="3" t="s">
        <v>661</v>
      </c>
    </row>
    <row r="1316" spans="1:25" hidden="1" x14ac:dyDescent="0.2">
      <c r="A1316" s="83" t="str">
        <f t="shared" si="20"/>
        <v>滑县滑台六一吹龙口哨</v>
      </c>
      <c r="B1316" s="83" t="s">
        <v>710</v>
      </c>
      <c r="C1316" s="3">
        <v>44377</v>
      </c>
      <c r="D1316" s="3" t="s">
        <v>657</v>
      </c>
      <c r="E1316" s="3" t="s">
        <v>584</v>
      </c>
      <c r="F1316" s="3" t="s">
        <v>661</v>
      </c>
      <c r="G1316" s="70" t="s">
        <v>681</v>
      </c>
      <c r="H1316" s="3" t="s">
        <v>682</v>
      </c>
      <c r="I1316" s="3" t="s">
        <v>339</v>
      </c>
      <c r="J1316" s="3">
        <v>194</v>
      </c>
      <c r="K1316" s="3">
        <v>0</v>
      </c>
      <c r="L1316" s="3">
        <v>6</v>
      </c>
      <c r="M1316" s="3">
        <v>188</v>
      </c>
      <c r="N1316" s="3">
        <v>188</v>
      </c>
      <c r="O1316" s="70">
        <v>0</v>
      </c>
      <c r="P1316" s="3">
        <v>0</v>
      </c>
      <c r="Q1316" s="3">
        <v>0</v>
      </c>
      <c r="R1316" s="3">
        <v>0.103085</v>
      </c>
      <c r="S1316" s="3">
        <v>0</v>
      </c>
      <c r="T1316" s="3">
        <v>19.38</v>
      </c>
      <c r="U1316" s="3">
        <v>19.38</v>
      </c>
      <c r="V1316" s="70" t="s">
        <v>639</v>
      </c>
      <c r="W1316" s="3" t="s">
        <v>343</v>
      </c>
      <c r="X1316" s="3" t="s">
        <v>584</v>
      </c>
      <c r="Y1316" s="3" t="s">
        <v>661</v>
      </c>
    </row>
    <row r="1317" spans="1:25" hidden="1" x14ac:dyDescent="0.2">
      <c r="A1317" s="83" t="str">
        <f t="shared" si="20"/>
        <v>郑州裕华六一吹龙口哨</v>
      </c>
      <c r="B1317" s="83" t="s">
        <v>711</v>
      </c>
      <c r="C1317" s="3">
        <v>44377</v>
      </c>
      <c r="D1317" s="3" t="s">
        <v>657</v>
      </c>
      <c r="E1317" s="3" t="s">
        <v>584</v>
      </c>
      <c r="F1317" s="3" t="s">
        <v>661</v>
      </c>
      <c r="G1317" s="70" t="s">
        <v>681</v>
      </c>
      <c r="H1317" s="3" t="s">
        <v>682</v>
      </c>
      <c r="I1317" s="3" t="s">
        <v>339</v>
      </c>
      <c r="J1317" s="3">
        <v>87</v>
      </c>
      <c r="K1317" s="3">
        <v>0</v>
      </c>
      <c r="L1317" s="3">
        <v>7</v>
      </c>
      <c r="M1317" s="3">
        <v>80</v>
      </c>
      <c r="N1317" s="3">
        <v>80</v>
      </c>
      <c r="O1317" s="70">
        <v>0</v>
      </c>
      <c r="P1317" s="3">
        <v>0</v>
      </c>
      <c r="Q1317" s="3">
        <v>0</v>
      </c>
      <c r="R1317" s="3">
        <v>0.10312499999999999</v>
      </c>
      <c r="S1317" s="3">
        <v>0</v>
      </c>
      <c r="T1317" s="3">
        <v>8.25</v>
      </c>
      <c r="U1317" s="3">
        <v>8.25</v>
      </c>
      <c r="V1317" s="70" t="s">
        <v>641</v>
      </c>
      <c r="W1317" s="3" t="s">
        <v>343</v>
      </c>
      <c r="X1317" s="3" t="s">
        <v>584</v>
      </c>
      <c r="Y1317" s="3" t="s">
        <v>661</v>
      </c>
    </row>
    <row r="1318" spans="1:25" hidden="1" x14ac:dyDescent="0.2">
      <c r="A1318" s="83" t="str">
        <f t="shared" si="20"/>
        <v>清丰凤鸣六一吹龙口哨</v>
      </c>
      <c r="B1318" s="83" t="s">
        <v>713</v>
      </c>
      <c r="C1318" s="3">
        <v>44377</v>
      </c>
      <c r="D1318" s="3" t="s">
        <v>657</v>
      </c>
      <c r="E1318" s="3" t="s">
        <v>584</v>
      </c>
      <c r="F1318" s="3" t="s">
        <v>661</v>
      </c>
      <c r="G1318" s="70" t="s">
        <v>681</v>
      </c>
      <c r="H1318" s="3" t="s">
        <v>682</v>
      </c>
      <c r="I1318" s="3" t="s">
        <v>339</v>
      </c>
      <c r="J1318" s="3">
        <v>195</v>
      </c>
      <c r="K1318" s="3">
        <v>0</v>
      </c>
      <c r="L1318" s="3">
        <v>9</v>
      </c>
      <c r="M1318" s="3">
        <v>186</v>
      </c>
      <c r="N1318" s="3">
        <v>186</v>
      </c>
      <c r="O1318" s="70">
        <v>0</v>
      </c>
      <c r="P1318" s="3">
        <v>0</v>
      </c>
      <c r="Q1318" s="3">
        <v>0</v>
      </c>
      <c r="R1318" s="3">
        <v>0.10301100000000001</v>
      </c>
      <c r="S1318" s="3">
        <v>0</v>
      </c>
      <c r="T1318" s="3">
        <v>19.16</v>
      </c>
      <c r="U1318" s="3">
        <v>19.16</v>
      </c>
      <c r="V1318" s="70" t="s">
        <v>334</v>
      </c>
      <c r="W1318" s="3" t="s">
        <v>343</v>
      </c>
      <c r="X1318" s="3" t="s">
        <v>584</v>
      </c>
      <c r="Y1318" s="3" t="s">
        <v>661</v>
      </c>
    </row>
    <row r="1319" spans="1:25" hidden="1" x14ac:dyDescent="0.2">
      <c r="A1319" s="83" t="str">
        <f t="shared" si="20"/>
        <v>方城锦城国际六一吹龙口哨</v>
      </c>
      <c r="B1319" s="83" t="s">
        <v>712</v>
      </c>
      <c r="C1319" s="3">
        <v>44377</v>
      </c>
      <c r="D1319" s="3" t="s">
        <v>657</v>
      </c>
      <c r="E1319" s="3" t="s">
        <v>584</v>
      </c>
      <c r="F1319" s="3" t="s">
        <v>661</v>
      </c>
      <c r="G1319" s="70" t="s">
        <v>681</v>
      </c>
      <c r="H1319" s="3" t="s">
        <v>682</v>
      </c>
      <c r="I1319" s="3" t="s">
        <v>339</v>
      </c>
      <c r="J1319" s="3">
        <v>87</v>
      </c>
      <c r="K1319" s="3">
        <v>0</v>
      </c>
      <c r="L1319" s="3">
        <v>20</v>
      </c>
      <c r="M1319" s="3">
        <v>49</v>
      </c>
      <c r="N1319" s="3">
        <v>67</v>
      </c>
      <c r="O1319" s="70">
        <v>-18</v>
      </c>
      <c r="P1319" s="3">
        <v>0</v>
      </c>
      <c r="Q1319" s="3">
        <v>0</v>
      </c>
      <c r="R1319" s="3">
        <v>0.103265</v>
      </c>
      <c r="S1319" s="3">
        <v>-1.86</v>
      </c>
      <c r="T1319" s="3">
        <v>5.0599999999999996</v>
      </c>
      <c r="U1319" s="3">
        <v>6.92</v>
      </c>
      <c r="V1319" s="70" t="s">
        <v>594</v>
      </c>
      <c r="W1319" s="3" t="s">
        <v>343</v>
      </c>
      <c r="X1319" s="3" t="s">
        <v>584</v>
      </c>
      <c r="Y1319" s="3" t="s">
        <v>661</v>
      </c>
    </row>
    <row r="1320" spans="1:25" hidden="1" x14ac:dyDescent="0.2">
      <c r="A1320" s="83" t="str">
        <f t="shared" si="20"/>
        <v>郑州政六街六一吹龙口哨</v>
      </c>
      <c r="B1320" s="83" t="s">
        <v>714</v>
      </c>
      <c r="C1320" s="3">
        <v>44377</v>
      </c>
      <c r="D1320" s="3" t="s">
        <v>657</v>
      </c>
      <c r="E1320" s="3" t="s">
        <v>584</v>
      </c>
      <c r="F1320" s="3" t="s">
        <v>661</v>
      </c>
      <c r="G1320" s="70" t="s">
        <v>681</v>
      </c>
      <c r="H1320" s="3" t="s">
        <v>682</v>
      </c>
      <c r="I1320" s="3" t="s">
        <v>339</v>
      </c>
      <c r="J1320" s="3">
        <v>95</v>
      </c>
      <c r="K1320" s="3">
        <v>0</v>
      </c>
      <c r="L1320" s="3">
        <v>19</v>
      </c>
      <c r="M1320" s="3">
        <v>75</v>
      </c>
      <c r="N1320" s="3">
        <v>76</v>
      </c>
      <c r="O1320" s="70">
        <v>-1</v>
      </c>
      <c r="P1320" s="3">
        <v>0</v>
      </c>
      <c r="Q1320" s="3">
        <v>0</v>
      </c>
      <c r="R1320" s="3">
        <v>0.10306700000000001</v>
      </c>
      <c r="S1320" s="3">
        <v>-0.1</v>
      </c>
      <c r="T1320" s="3">
        <v>7.73</v>
      </c>
      <c r="U1320" s="3">
        <v>7.83</v>
      </c>
      <c r="V1320" s="70" t="s">
        <v>591</v>
      </c>
      <c r="W1320" s="3" t="s">
        <v>343</v>
      </c>
      <c r="X1320" s="3" t="s">
        <v>584</v>
      </c>
      <c r="Y1320" s="3" t="s">
        <v>661</v>
      </c>
    </row>
    <row r="1321" spans="1:25" hidden="1" x14ac:dyDescent="0.2">
      <c r="A1321" s="83" t="str">
        <f t="shared" si="20"/>
        <v>郑州政六街六一吹龙纸卡</v>
      </c>
      <c r="B1321" s="83" t="s">
        <v>714</v>
      </c>
      <c r="C1321" s="3">
        <v>44377</v>
      </c>
      <c r="D1321" s="3" t="s">
        <v>658</v>
      </c>
      <c r="E1321" s="3" t="s">
        <v>584</v>
      </c>
      <c r="F1321" s="3" t="s">
        <v>661</v>
      </c>
      <c r="G1321" s="70" t="s">
        <v>683</v>
      </c>
      <c r="H1321" s="3" t="s">
        <v>682</v>
      </c>
      <c r="I1321" s="3" t="s">
        <v>339</v>
      </c>
      <c r="J1321" s="3">
        <v>95</v>
      </c>
      <c r="K1321" s="3">
        <v>0</v>
      </c>
      <c r="L1321" s="3">
        <v>19</v>
      </c>
      <c r="M1321" s="3">
        <v>75</v>
      </c>
      <c r="N1321" s="3">
        <v>76</v>
      </c>
      <c r="O1321" s="70">
        <v>-1</v>
      </c>
      <c r="P1321" s="3">
        <v>0</v>
      </c>
      <c r="Q1321" s="3">
        <v>0</v>
      </c>
      <c r="R1321" s="3">
        <v>5.5199999999999999E-2</v>
      </c>
      <c r="S1321" s="3">
        <v>-0.06</v>
      </c>
      <c r="T1321" s="3">
        <v>4.1399999999999997</v>
      </c>
      <c r="U1321" s="3">
        <v>4.2</v>
      </c>
      <c r="V1321" s="70" t="s">
        <v>591</v>
      </c>
      <c r="W1321" s="3" t="s">
        <v>343</v>
      </c>
      <c r="X1321" s="3" t="s">
        <v>584</v>
      </c>
      <c r="Y1321" s="3" t="s">
        <v>661</v>
      </c>
    </row>
    <row r="1322" spans="1:25" hidden="1" x14ac:dyDescent="0.2">
      <c r="A1322" s="83" t="str">
        <f t="shared" si="20"/>
        <v>方城锦城国际六一吹龙纸卡</v>
      </c>
      <c r="B1322" s="3" t="s">
        <v>712</v>
      </c>
      <c r="C1322" s="3">
        <v>44377</v>
      </c>
      <c r="D1322" s="3" t="s">
        <v>658</v>
      </c>
      <c r="E1322" s="3" t="s">
        <v>584</v>
      </c>
      <c r="F1322" s="3" t="s">
        <v>661</v>
      </c>
      <c r="G1322" s="70" t="s">
        <v>683</v>
      </c>
      <c r="H1322" s="3" t="s">
        <v>682</v>
      </c>
      <c r="I1322" s="3" t="s">
        <v>339</v>
      </c>
      <c r="J1322" s="3">
        <v>87</v>
      </c>
      <c r="K1322" s="3">
        <v>0</v>
      </c>
      <c r="L1322" s="3">
        <v>20</v>
      </c>
      <c r="M1322" s="3">
        <v>49</v>
      </c>
      <c r="N1322" s="3">
        <v>67</v>
      </c>
      <c r="O1322" s="70">
        <v>-18</v>
      </c>
      <c r="P1322" s="3">
        <v>0</v>
      </c>
      <c r="Q1322" s="3">
        <v>0</v>
      </c>
      <c r="R1322" s="3">
        <v>5.5101999999999998E-2</v>
      </c>
      <c r="S1322" s="3">
        <v>-0.99</v>
      </c>
      <c r="T1322" s="3">
        <v>2.7</v>
      </c>
      <c r="U1322" s="3">
        <v>3.69</v>
      </c>
      <c r="V1322" s="70" t="s">
        <v>594</v>
      </c>
      <c r="W1322" s="3" t="s">
        <v>343</v>
      </c>
      <c r="X1322" s="3" t="s">
        <v>584</v>
      </c>
      <c r="Y1322" s="3" t="s">
        <v>661</v>
      </c>
    </row>
    <row r="1323" spans="1:25" hidden="1" x14ac:dyDescent="0.2">
      <c r="A1323" s="83" t="str">
        <f t="shared" si="20"/>
        <v>清丰凤鸣六一吹龙纸卡</v>
      </c>
      <c r="B1323" s="3" t="s">
        <v>713</v>
      </c>
      <c r="C1323" s="3">
        <v>44377</v>
      </c>
      <c r="D1323" s="3" t="s">
        <v>658</v>
      </c>
      <c r="E1323" s="3" t="s">
        <v>584</v>
      </c>
      <c r="F1323" s="3" t="s">
        <v>661</v>
      </c>
      <c r="G1323" s="70" t="s">
        <v>683</v>
      </c>
      <c r="H1323" s="3" t="s">
        <v>682</v>
      </c>
      <c r="I1323" s="3" t="s">
        <v>339</v>
      </c>
      <c r="J1323" s="3">
        <v>195</v>
      </c>
      <c r="K1323" s="3">
        <v>0</v>
      </c>
      <c r="L1323" s="3">
        <v>9</v>
      </c>
      <c r="M1323" s="3">
        <v>186</v>
      </c>
      <c r="N1323" s="3">
        <v>186</v>
      </c>
      <c r="O1323" s="70">
        <v>0</v>
      </c>
      <c r="P1323" s="3">
        <v>0</v>
      </c>
      <c r="Q1323" s="3">
        <v>0</v>
      </c>
      <c r="R1323" s="3">
        <v>5.4946000000000002E-2</v>
      </c>
      <c r="S1323" s="3">
        <v>0</v>
      </c>
      <c r="T1323" s="3">
        <v>10.220000000000001</v>
      </c>
      <c r="U1323" s="3">
        <v>10.220000000000001</v>
      </c>
      <c r="V1323" s="70" t="s">
        <v>334</v>
      </c>
      <c r="W1323" s="3" t="s">
        <v>343</v>
      </c>
      <c r="X1323" s="3" t="s">
        <v>584</v>
      </c>
      <c r="Y1323" s="3" t="s">
        <v>661</v>
      </c>
    </row>
    <row r="1324" spans="1:25" hidden="1" x14ac:dyDescent="0.2">
      <c r="A1324" s="83" t="str">
        <f t="shared" si="20"/>
        <v>郑州裕华六一吹龙纸卡</v>
      </c>
      <c r="B1324" s="3" t="s">
        <v>711</v>
      </c>
      <c r="C1324" s="3">
        <v>44377</v>
      </c>
      <c r="D1324" s="3" t="s">
        <v>658</v>
      </c>
      <c r="E1324" s="3" t="s">
        <v>584</v>
      </c>
      <c r="F1324" s="3" t="s">
        <v>661</v>
      </c>
      <c r="G1324" s="70" t="s">
        <v>683</v>
      </c>
      <c r="H1324" s="3" t="s">
        <v>682</v>
      </c>
      <c r="I1324" s="3" t="s">
        <v>339</v>
      </c>
      <c r="J1324" s="3">
        <v>87</v>
      </c>
      <c r="K1324" s="3">
        <v>0</v>
      </c>
      <c r="L1324" s="3">
        <v>7</v>
      </c>
      <c r="M1324" s="3">
        <v>80</v>
      </c>
      <c r="N1324" s="3">
        <v>80</v>
      </c>
      <c r="O1324" s="70">
        <v>0</v>
      </c>
      <c r="P1324" s="3">
        <v>0</v>
      </c>
      <c r="Q1324" s="3">
        <v>0</v>
      </c>
      <c r="R1324" s="3">
        <v>5.5125E-2</v>
      </c>
      <c r="S1324" s="3">
        <v>0</v>
      </c>
      <c r="T1324" s="3">
        <v>4.41</v>
      </c>
      <c r="U1324" s="3">
        <v>4.41</v>
      </c>
      <c r="V1324" s="70" t="s">
        <v>641</v>
      </c>
      <c r="W1324" s="3" t="s">
        <v>343</v>
      </c>
      <c r="X1324" s="3" t="s">
        <v>584</v>
      </c>
      <c r="Y1324" s="3" t="s">
        <v>661</v>
      </c>
    </row>
    <row r="1325" spans="1:25" hidden="1" x14ac:dyDescent="0.2">
      <c r="A1325" s="83" t="str">
        <f t="shared" si="20"/>
        <v>滑县滑台六一吹龙纸卡</v>
      </c>
      <c r="B1325" s="3" t="s">
        <v>710</v>
      </c>
      <c r="C1325" s="3">
        <v>44377</v>
      </c>
      <c r="D1325" s="3" t="s">
        <v>658</v>
      </c>
      <c r="E1325" s="3" t="s">
        <v>584</v>
      </c>
      <c r="F1325" s="3" t="s">
        <v>661</v>
      </c>
      <c r="G1325" s="70" t="s">
        <v>683</v>
      </c>
      <c r="H1325" s="3" t="s">
        <v>682</v>
      </c>
      <c r="I1325" s="3" t="s">
        <v>339</v>
      </c>
      <c r="J1325" s="3">
        <v>194</v>
      </c>
      <c r="K1325" s="3">
        <v>0</v>
      </c>
      <c r="L1325" s="3">
        <v>6</v>
      </c>
      <c r="M1325" s="3">
        <v>188</v>
      </c>
      <c r="N1325" s="3">
        <v>188</v>
      </c>
      <c r="O1325" s="70">
        <v>0</v>
      </c>
      <c r="P1325" s="3">
        <v>0</v>
      </c>
      <c r="Q1325" s="3">
        <v>0</v>
      </c>
      <c r="R1325" s="3">
        <v>5.5052999999999998E-2</v>
      </c>
      <c r="S1325" s="3">
        <v>0</v>
      </c>
      <c r="T1325" s="3">
        <v>10.35</v>
      </c>
      <c r="U1325" s="3">
        <v>10.35</v>
      </c>
      <c r="V1325" s="70" t="s">
        <v>639</v>
      </c>
      <c r="W1325" s="3" t="s">
        <v>343</v>
      </c>
      <c r="X1325" s="3" t="s">
        <v>584</v>
      </c>
      <c r="Y1325" s="3" t="s">
        <v>661</v>
      </c>
    </row>
    <row r="1326" spans="1:25" hidden="1" x14ac:dyDescent="0.2">
      <c r="A1326" s="83" t="str">
        <f t="shared" si="20"/>
        <v>郑州盛华里六一吹龙纸卡</v>
      </c>
      <c r="B1326" s="3" t="s">
        <v>709</v>
      </c>
      <c r="C1326" s="3">
        <v>44377</v>
      </c>
      <c r="D1326" s="3" t="s">
        <v>658</v>
      </c>
      <c r="E1326" s="3" t="s">
        <v>584</v>
      </c>
      <c r="F1326" s="3" t="s">
        <v>661</v>
      </c>
      <c r="G1326" s="70" t="s">
        <v>683</v>
      </c>
      <c r="H1326" s="3" t="s">
        <v>682</v>
      </c>
      <c r="I1326" s="3" t="s">
        <v>339</v>
      </c>
      <c r="J1326" s="3">
        <v>89</v>
      </c>
      <c r="K1326" s="3">
        <v>0</v>
      </c>
      <c r="L1326" s="3">
        <v>5</v>
      </c>
      <c r="M1326" s="3">
        <v>82</v>
      </c>
      <c r="N1326" s="3">
        <v>84</v>
      </c>
      <c r="O1326" s="70">
        <v>-2</v>
      </c>
      <c r="P1326" s="3">
        <v>0</v>
      </c>
      <c r="Q1326" s="3">
        <v>0</v>
      </c>
      <c r="R1326" s="3">
        <v>5.5E-2</v>
      </c>
      <c r="S1326" s="3">
        <v>-0.11</v>
      </c>
      <c r="T1326" s="3">
        <v>4.51</v>
      </c>
      <c r="U1326" s="3">
        <v>4.62</v>
      </c>
      <c r="V1326" s="70" t="s">
        <v>637</v>
      </c>
      <c r="W1326" s="3" t="s">
        <v>343</v>
      </c>
      <c r="X1326" s="3" t="s">
        <v>584</v>
      </c>
      <c r="Y1326" s="3" t="s">
        <v>661</v>
      </c>
    </row>
    <row r="1327" spans="1:25" hidden="1" x14ac:dyDescent="0.2">
      <c r="A1327" s="83" t="str">
        <f t="shared" si="20"/>
        <v>郑州西悦城六一吹龙纸卡</v>
      </c>
      <c r="B1327" s="3" t="s">
        <v>708</v>
      </c>
      <c r="C1327" s="3">
        <v>44377</v>
      </c>
      <c r="D1327" s="3" t="s">
        <v>658</v>
      </c>
      <c r="E1327" s="3" t="s">
        <v>584</v>
      </c>
      <c r="F1327" s="3" t="s">
        <v>661</v>
      </c>
      <c r="G1327" s="70" t="s">
        <v>683</v>
      </c>
      <c r="H1327" s="3" t="s">
        <v>682</v>
      </c>
      <c r="I1327" s="3" t="s">
        <v>339</v>
      </c>
      <c r="J1327" s="3">
        <v>182</v>
      </c>
      <c r="K1327" s="3">
        <v>0</v>
      </c>
      <c r="L1327" s="3">
        <v>32</v>
      </c>
      <c r="M1327" s="3">
        <v>150</v>
      </c>
      <c r="N1327" s="3">
        <v>150</v>
      </c>
      <c r="O1327" s="70">
        <v>0</v>
      </c>
      <c r="P1327" s="3">
        <v>0</v>
      </c>
      <c r="Q1327" s="3">
        <v>0</v>
      </c>
      <c r="R1327" s="3">
        <v>5.4933000000000003E-2</v>
      </c>
      <c r="S1327" s="3">
        <v>0</v>
      </c>
      <c r="T1327" s="3">
        <v>8.24</v>
      </c>
      <c r="U1327" s="3">
        <v>8.24</v>
      </c>
      <c r="V1327" s="70" t="s">
        <v>332</v>
      </c>
      <c r="W1327" s="3" t="s">
        <v>343</v>
      </c>
      <c r="X1327" s="3" t="s">
        <v>584</v>
      </c>
      <c r="Y1327" s="3" t="s">
        <v>661</v>
      </c>
    </row>
    <row r="1328" spans="1:25" hidden="1" x14ac:dyDescent="0.2">
      <c r="A1328" s="83" t="str">
        <f t="shared" si="20"/>
        <v>郑州铁英街六一吹龙纸卡</v>
      </c>
      <c r="B1328" s="3" t="s">
        <v>707</v>
      </c>
      <c r="C1328" s="3">
        <v>44377</v>
      </c>
      <c r="D1328" s="3" t="s">
        <v>658</v>
      </c>
      <c r="E1328" s="3" t="s">
        <v>584</v>
      </c>
      <c r="F1328" s="3" t="s">
        <v>661</v>
      </c>
      <c r="G1328" s="70" t="s">
        <v>683</v>
      </c>
      <c r="H1328" s="3" t="s">
        <v>682</v>
      </c>
      <c r="I1328" s="3" t="s">
        <v>339</v>
      </c>
      <c r="J1328" s="3">
        <v>190</v>
      </c>
      <c r="K1328" s="3">
        <v>0</v>
      </c>
      <c r="L1328" s="3">
        <v>15</v>
      </c>
      <c r="M1328" s="3">
        <v>175</v>
      </c>
      <c r="N1328" s="3">
        <v>175</v>
      </c>
      <c r="O1328" s="70">
        <v>0</v>
      </c>
      <c r="P1328" s="3">
        <v>0</v>
      </c>
      <c r="Q1328" s="3">
        <v>0</v>
      </c>
      <c r="R1328" s="3">
        <v>5.5029000000000002E-2</v>
      </c>
      <c r="S1328" s="3">
        <v>0</v>
      </c>
      <c r="T1328" s="3">
        <v>9.6300000000000008</v>
      </c>
      <c r="U1328" s="3">
        <v>9.6300000000000008</v>
      </c>
      <c r="V1328" s="70" t="s">
        <v>592</v>
      </c>
      <c r="W1328" s="3" t="s">
        <v>343</v>
      </c>
      <c r="X1328" s="3" t="s">
        <v>584</v>
      </c>
      <c r="Y1328" s="3" t="s">
        <v>661</v>
      </c>
    </row>
    <row r="1329" spans="1:25" hidden="1" x14ac:dyDescent="0.2">
      <c r="A1329" s="83" t="str">
        <f t="shared" si="20"/>
        <v>郑州瀚海海尚六一吹龙纸卡</v>
      </c>
      <c r="B1329" s="3" t="s">
        <v>706</v>
      </c>
      <c r="C1329" s="3">
        <v>44377</v>
      </c>
      <c r="D1329" s="3" t="s">
        <v>658</v>
      </c>
      <c r="E1329" s="3" t="s">
        <v>584</v>
      </c>
      <c r="F1329" s="3" t="s">
        <v>661</v>
      </c>
      <c r="G1329" s="70" t="s">
        <v>683</v>
      </c>
      <c r="H1329" s="3" t="s">
        <v>682</v>
      </c>
      <c r="I1329" s="3" t="s">
        <v>339</v>
      </c>
      <c r="J1329" s="3">
        <v>189</v>
      </c>
      <c r="K1329" s="3">
        <v>0</v>
      </c>
      <c r="L1329" s="3">
        <v>17</v>
      </c>
      <c r="M1329" s="3">
        <v>172</v>
      </c>
      <c r="N1329" s="3">
        <v>172</v>
      </c>
      <c r="O1329" s="70">
        <v>0</v>
      </c>
      <c r="P1329" s="3">
        <v>0</v>
      </c>
      <c r="Q1329" s="3">
        <v>0</v>
      </c>
      <c r="R1329" s="3">
        <v>5.4941999999999998E-2</v>
      </c>
      <c r="S1329" s="3">
        <v>0</v>
      </c>
      <c r="T1329" s="3">
        <v>9.4499999999999993</v>
      </c>
      <c r="U1329" s="3">
        <v>9.4499999999999993</v>
      </c>
      <c r="V1329" s="70" t="s">
        <v>333</v>
      </c>
      <c r="W1329" s="3" t="s">
        <v>343</v>
      </c>
      <c r="X1329" s="3" t="s">
        <v>584</v>
      </c>
      <c r="Y1329" s="3" t="s">
        <v>661</v>
      </c>
    </row>
    <row r="1330" spans="1:25" hidden="1" x14ac:dyDescent="0.2">
      <c r="A1330" s="83" t="str">
        <f t="shared" si="20"/>
        <v>华山龙源六一吹龙纸卡</v>
      </c>
      <c r="B1330" s="3" t="s">
        <v>705</v>
      </c>
      <c r="C1330" s="3">
        <v>44377</v>
      </c>
      <c r="D1330" s="3" t="s">
        <v>658</v>
      </c>
      <c r="E1330" s="3" t="s">
        <v>584</v>
      </c>
      <c r="F1330" s="3" t="s">
        <v>661</v>
      </c>
      <c r="G1330" s="70" t="s">
        <v>683</v>
      </c>
      <c r="H1330" s="3" t="s">
        <v>682</v>
      </c>
      <c r="I1330" s="3" t="s">
        <v>339</v>
      </c>
      <c r="J1330" s="3">
        <v>96</v>
      </c>
      <c r="K1330" s="3">
        <v>0</v>
      </c>
      <c r="L1330" s="3">
        <v>17</v>
      </c>
      <c r="M1330" s="3">
        <v>0</v>
      </c>
      <c r="N1330" s="3">
        <v>79</v>
      </c>
      <c r="O1330" s="70">
        <v>-79</v>
      </c>
      <c r="P1330" s="3">
        <v>0</v>
      </c>
      <c r="Q1330" s="3">
        <v>0</v>
      </c>
      <c r="R1330" s="3">
        <v>5.4792E-2</v>
      </c>
      <c r="S1330" s="3">
        <v>-4.33</v>
      </c>
      <c r="T1330" s="3">
        <v>0</v>
      </c>
      <c r="U1330" s="3">
        <v>4.33</v>
      </c>
      <c r="V1330" s="70" t="s">
        <v>643</v>
      </c>
      <c r="W1330" s="3" t="s">
        <v>343</v>
      </c>
      <c r="X1330" s="3" t="s">
        <v>584</v>
      </c>
      <c r="Y1330" s="3" t="s">
        <v>661</v>
      </c>
    </row>
    <row r="1331" spans="1:25" hidden="1" x14ac:dyDescent="0.2">
      <c r="A1331" s="83" t="str">
        <f t="shared" si="20"/>
        <v>郑州康复中街六一吹龙纸卡</v>
      </c>
      <c r="B1331" s="3" t="s">
        <v>704</v>
      </c>
      <c r="C1331" s="3">
        <v>44377</v>
      </c>
      <c r="D1331" s="3" t="s">
        <v>658</v>
      </c>
      <c r="E1331" s="3" t="s">
        <v>584</v>
      </c>
      <c r="F1331" s="3" t="s">
        <v>661</v>
      </c>
      <c r="G1331" s="70" t="s">
        <v>683</v>
      </c>
      <c r="H1331" s="3" t="s">
        <v>682</v>
      </c>
      <c r="I1331" s="3" t="s">
        <v>339</v>
      </c>
      <c r="J1331" s="3">
        <v>195</v>
      </c>
      <c r="K1331" s="3">
        <v>0</v>
      </c>
      <c r="L1331" s="3">
        <v>22</v>
      </c>
      <c r="M1331" s="3">
        <v>173</v>
      </c>
      <c r="N1331" s="3">
        <v>173</v>
      </c>
      <c r="O1331" s="70">
        <v>0</v>
      </c>
      <c r="P1331" s="3">
        <v>0</v>
      </c>
      <c r="Q1331" s="3">
        <v>0</v>
      </c>
      <c r="R1331" s="3">
        <v>5.4970999999999999E-2</v>
      </c>
      <c r="S1331" s="3">
        <v>0</v>
      </c>
      <c r="T1331" s="3">
        <v>9.51</v>
      </c>
      <c r="U1331" s="3">
        <v>9.51</v>
      </c>
      <c r="V1331" s="70" t="s">
        <v>593</v>
      </c>
      <c r="W1331" s="3" t="s">
        <v>343</v>
      </c>
      <c r="X1331" s="3" t="s">
        <v>584</v>
      </c>
      <c r="Y1331" s="3" t="s">
        <v>661</v>
      </c>
    </row>
    <row r="1332" spans="1:25" hidden="1" x14ac:dyDescent="0.2">
      <c r="A1332" s="83" t="str">
        <f t="shared" si="20"/>
        <v>新蔡水韵天街六一吹龙纸卡</v>
      </c>
      <c r="B1332" s="3" t="s">
        <v>703</v>
      </c>
      <c r="C1332" s="3">
        <v>44377</v>
      </c>
      <c r="D1332" s="3" t="s">
        <v>658</v>
      </c>
      <c r="E1332" s="3" t="s">
        <v>584</v>
      </c>
      <c r="F1332" s="3" t="s">
        <v>661</v>
      </c>
      <c r="G1332" s="70" t="s">
        <v>683</v>
      </c>
      <c r="H1332" s="3" t="s">
        <v>682</v>
      </c>
      <c r="I1332" s="3" t="s">
        <v>339</v>
      </c>
      <c r="J1332" s="3">
        <v>70</v>
      </c>
      <c r="K1332" s="3">
        <v>0</v>
      </c>
      <c r="L1332" s="3">
        <v>27</v>
      </c>
      <c r="M1332" s="3">
        <v>40</v>
      </c>
      <c r="N1332" s="3">
        <v>43</v>
      </c>
      <c r="O1332" s="70">
        <v>-3</v>
      </c>
      <c r="P1332" s="3">
        <v>0</v>
      </c>
      <c r="Q1332" s="3">
        <v>0</v>
      </c>
      <c r="R1332" s="3">
        <v>5.5E-2</v>
      </c>
      <c r="S1332" s="3">
        <v>-0.17</v>
      </c>
      <c r="T1332" s="3">
        <v>2.2000000000000002</v>
      </c>
      <c r="U1332" s="3">
        <v>2.37</v>
      </c>
      <c r="V1332" s="70" t="s">
        <v>335</v>
      </c>
      <c r="W1332" s="3" t="s">
        <v>343</v>
      </c>
      <c r="X1332" s="3" t="s">
        <v>584</v>
      </c>
      <c r="Y1332" s="3" t="s">
        <v>661</v>
      </c>
    </row>
    <row r="1333" spans="1:25" hidden="1" x14ac:dyDescent="0.2">
      <c r="A1333" s="83" t="str">
        <f t="shared" si="20"/>
        <v>新蔡水韵天街六一涂鸦本</v>
      </c>
      <c r="B1333" s="3" t="s">
        <v>703</v>
      </c>
      <c r="C1333" s="3">
        <v>44377</v>
      </c>
      <c r="D1333" s="3" t="s">
        <v>659</v>
      </c>
      <c r="E1333" s="3" t="s">
        <v>584</v>
      </c>
      <c r="F1333" s="3" t="s">
        <v>661</v>
      </c>
      <c r="G1333" s="70" t="s">
        <v>684</v>
      </c>
      <c r="H1333" s="3" t="s">
        <v>685</v>
      </c>
      <c r="I1333" s="3" t="s">
        <v>686</v>
      </c>
      <c r="J1333" s="3">
        <v>70</v>
      </c>
      <c r="K1333" s="3">
        <v>0</v>
      </c>
      <c r="L1333" s="3">
        <v>27</v>
      </c>
      <c r="M1333" s="3">
        <v>40</v>
      </c>
      <c r="N1333" s="3">
        <v>43</v>
      </c>
      <c r="O1333" s="70">
        <v>-3</v>
      </c>
      <c r="P1333" s="3">
        <v>0</v>
      </c>
      <c r="Q1333" s="3">
        <v>0</v>
      </c>
      <c r="R1333" s="3">
        <v>0.31</v>
      </c>
      <c r="S1333" s="3">
        <v>-0.93</v>
      </c>
      <c r="T1333" s="3">
        <v>12.4</v>
      </c>
      <c r="U1333" s="3">
        <v>13.33</v>
      </c>
      <c r="V1333" s="70" t="s">
        <v>335</v>
      </c>
      <c r="W1333" s="3" t="s">
        <v>343</v>
      </c>
      <c r="X1333" s="3" t="s">
        <v>584</v>
      </c>
      <c r="Y1333" s="3" t="s">
        <v>661</v>
      </c>
    </row>
    <row r="1334" spans="1:25" hidden="1" x14ac:dyDescent="0.2">
      <c r="A1334" s="83" t="str">
        <f t="shared" si="20"/>
        <v>郑州康复中街六一涂鸦本</v>
      </c>
      <c r="B1334" s="3" t="s">
        <v>704</v>
      </c>
      <c r="C1334" s="3">
        <v>44377</v>
      </c>
      <c r="D1334" s="3" t="s">
        <v>659</v>
      </c>
      <c r="E1334" s="3" t="s">
        <v>584</v>
      </c>
      <c r="F1334" s="3" t="s">
        <v>661</v>
      </c>
      <c r="G1334" s="70" t="s">
        <v>684</v>
      </c>
      <c r="H1334" s="3" t="s">
        <v>685</v>
      </c>
      <c r="I1334" s="3" t="s">
        <v>686</v>
      </c>
      <c r="J1334" s="3">
        <v>200</v>
      </c>
      <c r="K1334" s="3">
        <v>125</v>
      </c>
      <c r="L1334" s="3">
        <v>22</v>
      </c>
      <c r="M1334" s="3">
        <v>300</v>
      </c>
      <c r="N1334" s="3">
        <v>303</v>
      </c>
      <c r="O1334" s="70">
        <v>-3</v>
      </c>
      <c r="P1334" s="3">
        <v>0</v>
      </c>
      <c r="Q1334" s="3">
        <v>0</v>
      </c>
      <c r="R1334" s="3">
        <v>0.31</v>
      </c>
      <c r="S1334" s="3">
        <v>-0.93</v>
      </c>
      <c r="T1334" s="3">
        <v>93</v>
      </c>
      <c r="U1334" s="3">
        <v>93.93</v>
      </c>
      <c r="V1334" s="70" t="s">
        <v>593</v>
      </c>
      <c r="W1334" s="3" t="s">
        <v>343</v>
      </c>
      <c r="X1334" s="3" t="s">
        <v>584</v>
      </c>
      <c r="Y1334" s="3" t="s">
        <v>661</v>
      </c>
    </row>
    <row r="1335" spans="1:25" hidden="1" x14ac:dyDescent="0.2">
      <c r="A1335" s="83" t="str">
        <f t="shared" si="20"/>
        <v>华山龙源六一涂鸦本</v>
      </c>
      <c r="B1335" s="3" t="s">
        <v>705</v>
      </c>
      <c r="C1335" s="3">
        <v>44377</v>
      </c>
      <c r="D1335" s="3" t="s">
        <v>659</v>
      </c>
      <c r="E1335" s="3" t="s">
        <v>584</v>
      </c>
      <c r="F1335" s="3" t="s">
        <v>661</v>
      </c>
      <c r="G1335" s="70" t="s">
        <v>684</v>
      </c>
      <c r="H1335" s="3" t="s">
        <v>685</v>
      </c>
      <c r="I1335" s="3" t="s">
        <v>686</v>
      </c>
      <c r="J1335" s="3">
        <v>21</v>
      </c>
      <c r="K1335" s="3">
        <v>150</v>
      </c>
      <c r="L1335" s="3">
        <v>17</v>
      </c>
      <c r="M1335" s="3">
        <v>154</v>
      </c>
      <c r="N1335" s="3">
        <v>154</v>
      </c>
      <c r="O1335" s="70">
        <v>0</v>
      </c>
      <c r="P1335" s="3">
        <v>0</v>
      </c>
      <c r="Q1335" s="3">
        <v>0</v>
      </c>
      <c r="R1335" s="3">
        <v>0.31</v>
      </c>
      <c r="S1335" s="3">
        <v>0</v>
      </c>
      <c r="T1335" s="3">
        <v>47.74</v>
      </c>
      <c r="U1335" s="3">
        <v>47.74</v>
      </c>
      <c r="V1335" s="70" t="s">
        <v>643</v>
      </c>
      <c r="W1335" s="3" t="s">
        <v>343</v>
      </c>
      <c r="X1335" s="3" t="s">
        <v>584</v>
      </c>
      <c r="Y1335" s="3" t="s">
        <v>661</v>
      </c>
    </row>
    <row r="1336" spans="1:25" hidden="1" x14ac:dyDescent="0.2">
      <c r="A1336" s="83" t="str">
        <f t="shared" si="20"/>
        <v>郑州瀚海海尚六一涂鸦本</v>
      </c>
      <c r="B1336" s="3" t="s">
        <v>706</v>
      </c>
      <c r="C1336" s="3">
        <v>44377</v>
      </c>
      <c r="D1336" s="3" t="s">
        <v>659</v>
      </c>
      <c r="E1336" s="3" t="s">
        <v>584</v>
      </c>
      <c r="F1336" s="3" t="s">
        <v>661</v>
      </c>
      <c r="G1336" s="70" t="s">
        <v>684</v>
      </c>
      <c r="H1336" s="3" t="s">
        <v>685</v>
      </c>
      <c r="I1336" s="3" t="s">
        <v>686</v>
      </c>
      <c r="J1336" s="3">
        <v>185</v>
      </c>
      <c r="K1336" s="3">
        <v>125</v>
      </c>
      <c r="L1336" s="3">
        <v>17</v>
      </c>
      <c r="M1336" s="3">
        <v>275</v>
      </c>
      <c r="N1336" s="3">
        <v>293</v>
      </c>
      <c r="O1336" s="70">
        <v>-18</v>
      </c>
      <c r="P1336" s="3">
        <v>0</v>
      </c>
      <c r="Q1336" s="3">
        <v>0</v>
      </c>
      <c r="R1336" s="3">
        <v>0.31</v>
      </c>
      <c r="S1336" s="3">
        <v>-5.58</v>
      </c>
      <c r="T1336" s="3">
        <v>85.25</v>
      </c>
      <c r="U1336" s="3">
        <v>90.83</v>
      </c>
      <c r="V1336" s="70" t="s">
        <v>333</v>
      </c>
      <c r="W1336" s="3" t="s">
        <v>343</v>
      </c>
      <c r="X1336" s="3" t="s">
        <v>584</v>
      </c>
      <c r="Y1336" s="3" t="s">
        <v>661</v>
      </c>
    </row>
    <row r="1337" spans="1:25" hidden="1" x14ac:dyDescent="0.2">
      <c r="A1337" s="83" t="str">
        <f t="shared" si="20"/>
        <v>郑州铁英街六一涂鸦本</v>
      </c>
      <c r="B1337" s="3" t="s">
        <v>707</v>
      </c>
      <c r="C1337" s="3">
        <v>44377</v>
      </c>
      <c r="D1337" s="3" t="s">
        <v>659</v>
      </c>
      <c r="E1337" s="3" t="s">
        <v>584</v>
      </c>
      <c r="F1337" s="3" t="s">
        <v>661</v>
      </c>
      <c r="G1337" s="70" t="s">
        <v>684</v>
      </c>
      <c r="H1337" s="3" t="s">
        <v>685</v>
      </c>
      <c r="I1337" s="3" t="s">
        <v>686</v>
      </c>
      <c r="J1337" s="3">
        <v>15</v>
      </c>
      <c r="K1337" s="3">
        <v>125</v>
      </c>
      <c r="L1337" s="3">
        <v>15</v>
      </c>
      <c r="M1337" s="3">
        <v>125</v>
      </c>
      <c r="N1337" s="3">
        <v>125</v>
      </c>
      <c r="O1337" s="70">
        <v>0</v>
      </c>
      <c r="P1337" s="3">
        <v>0</v>
      </c>
      <c r="Q1337" s="3">
        <v>0</v>
      </c>
      <c r="R1337" s="3">
        <v>0.31</v>
      </c>
      <c r="S1337" s="3">
        <v>0</v>
      </c>
      <c r="T1337" s="3">
        <v>38.75</v>
      </c>
      <c r="U1337" s="3">
        <v>38.75</v>
      </c>
      <c r="V1337" s="70" t="s">
        <v>592</v>
      </c>
      <c r="W1337" s="3" t="s">
        <v>343</v>
      </c>
      <c r="X1337" s="3" t="s">
        <v>584</v>
      </c>
      <c r="Y1337" s="3" t="s">
        <v>661</v>
      </c>
    </row>
    <row r="1338" spans="1:25" hidden="1" x14ac:dyDescent="0.2">
      <c r="A1338" s="83" t="str">
        <f t="shared" si="20"/>
        <v>郑州西悦城六一涂鸦本</v>
      </c>
      <c r="B1338" s="3" t="s">
        <v>708</v>
      </c>
      <c r="C1338" s="3">
        <v>44377</v>
      </c>
      <c r="D1338" s="3" t="s">
        <v>659</v>
      </c>
      <c r="E1338" s="3" t="s">
        <v>584</v>
      </c>
      <c r="F1338" s="3" t="s">
        <v>661</v>
      </c>
      <c r="G1338" s="70" t="s">
        <v>684</v>
      </c>
      <c r="H1338" s="3" t="s">
        <v>685</v>
      </c>
      <c r="I1338" s="3" t="s">
        <v>686</v>
      </c>
      <c r="J1338" s="3">
        <v>157</v>
      </c>
      <c r="K1338" s="3">
        <v>125</v>
      </c>
      <c r="L1338" s="3">
        <v>32</v>
      </c>
      <c r="M1338" s="3">
        <v>250</v>
      </c>
      <c r="N1338" s="3">
        <v>250</v>
      </c>
      <c r="O1338" s="70">
        <v>0</v>
      </c>
      <c r="P1338" s="3">
        <v>0</v>
      </c>
      <c r="Q1338" s="3">
        <v>0</v>
      </c>
      <c r="R1338" s="3">
        <v>0.31</v>
      </c>
      <c r="S1338" s="3">
        <v>0</v>
      </c>
      <c r="T1338" s="3">
        <v>77.5</v>
      </c>
      <c r="U1338" s="3">
        <v>77.5</v>
      </c>
      <c r="V1338" s="70" t="s">
        <v>332</v>
      </c>
      <c r="W1338" s="3" t="s">
        <v>343</v>
      </c>
      <c r="X1338" s="3" t="s">
        <v>584</v>
      </c>
      <c r="Y1338" s="3" t="s">
        <v>661</v>
      </c>
    </row>
    <row r="1339" spans="1:25" hidden="1" x14ac:dyDescent="0.2">
      <c r="A1339" s="83" t="str">
        <f t="shared" si="20"/>
        <v>郑州盛华里六一涂鸦本</v>
      </c>
      <c r="B1339" s="3" t="s">
        <v>709</v>
      </c>
      <c r="C1339" s="3">
        <v>44377</v>
      </c>
      <c r="D1339" s="3" t="s">
        <v>659</v>
      </c>
      <c r="E1339" s="3" t="s">
        <v>584</v>
      </c>
      <c r="F1339" s="3" t="s">
        <v>661</v>
      </c>
      <c r="G1339" s="70" t="s">
        <v>684</v>
      </c>
      <c r="H1339" s="3" t="s">
        <v>685</v>
      </c>
      <c r="I1339" s="3" t="s">
        <v>686</v>
      </c>
      <c r="J1339" s="3">
        <v>14</v>
      </c>
      <c r="K1339" s="3">
        <v>125</v>
      </c>
      <c r="L1339" s="3">
        <v>5</v>
      </c>
      <c r="M1339" s="3">
        <v>130</v>
      </c>
      <c r="N1339" s="3">
        <v>134</v>
      </c>
      <c r="O1339" s="70">
        <v>-4</v>
      </c>
      <c r="P1339" s="3">
        <v>0</v>
      </c>
      <c r="Q1339" s="3">
        <v>0</v>
      </c>
      <c r="R1339" s="3">
        <v>0.31</v>
      </c>
      <c r="S1339" s="3">
        <v>-1.24</v>
      </c>
      <c r="T1339" s="3">
        <v>40.299999999999997</v>
      </c>
      <c r="U1339" s="3">
        <v>41.54</v>
      </c>
      <c r="V1339" s="70" t="s">
        <v>637</v>
      </c>
      <c r="W1339" s="3" t="s">
        <v>343</v>
      </c>
      <c r="X1339" s="3" t="s">
        <v>584</v>
      </c>
      <c r="Y1339" s="3" t="s">
        <v>661</v>
      </c>
    </row>
    <row r="1340" spans="1:25" hidden="1" x14ac:dyDescent="0.2">
      <c r="A1340" s="83" t="str">
        <f t="shared" si="20"/>
        <v>滑县滑台六一涂鸦本</v>
      </c>
      <c r="B1340" s="3" t="s">
        <v>710</v>
      </c>
      <c r="C1340" s="3">
        <v>44377</v>
      </c>
      <c r="D1340" s="3" t="s">
        <v>659</v>
      </c>
      <c r="E1340" s="3" t="s">
        <v>584</v>
      </c>
      <c r="F1340" s="3" t="s">
        <v>661</v>
      </c>
      <c r="G1340" s="70" t="s">
        <v>684</v>
      </c>
      <c r="H1340" s="3" t="s">
        <v>685</v>
      </c>
      <c r="I1340" s="3" t="s">
        <v>686</v>
      </c>
      <c r="J1340" s="3">
        <v>19</v>
      </c>
      <c r="K1340" s="3">
        <v>125</v>
      </c>
      <c r="L1340" s="3">
        <v>6</v>
      </c>
      <c r="M1340" s="3">
        <v>138</v>
      </c>
      <c r="N1340" s="3">
        <v>138</v>
      </c>
      <c r="O1340" s="70">
        <v>0</v>
      </c>
      <c r="P1340" s="3">
        <v>0</v>
      </c>
      <c r="Q1340" s="3">
        <v>0</v>
      </c>
      <c r="R1340" s="3">
        <v>0.31</v>
      </c>
      <c r="S1340" s="3">
        <v>0</v>
      </c>
      <c r="T1340" s="3">
        <v>42.78</v>
      </c>
      <c r="U1340" s="3">
        <v>42.78</v>
      </c>
      <c r="V1340" s="70" t="s">
        <v>639</v>
      </c>
      <c r="W1340" s="3" t="s">
        <v>343</v>
      </c>
      <c r="X1340" s="3" t="s">
        <v>584</v>
      </c>
      <c r="Y1340" s="3" t="s">
        <v>661</v>
      </c>
    </row>
    <row r="1341" spans="1:25" hidden="1" x14ac:dyDescent="0.2">
      <c r="A1341" s="83" t="str">
        <f t="shared" si="20"/>
        <v>郑州裕华六一涂鸦本</v>
      </c>
      <c r="B1341" s="3" t="s">
        <v>711</v>
      </c>
      <c r="C1341" s="3">
        <v>44377</v>
      </c>
      <c r="D1341" s="3" t="s">
        <v>659</v>
      </c>
      <c r="E1341" s="3" t="s">
        <v>584</v>
      </c>
      <c r="F1341" s="3" t="s">
        <v>661</v>
      </c>
      <c r="G1341" s="70" t="s">
        <v>684</v>
      </c>
      <c r="H1341" s="3" t="s">
        <v>685</v>
      </c>
      <c r="I1341" s="3" t="s">
        <v>686</v>
      </c>
      <c r="J1341" s="3">
        <v>112</v>
      </c>
      <c r="K1341" s="3">
        <v>125</v>
      </c>
      <c r="L1341" s="3">
        <v>7</v>
      </c>
      <c r="M1341" s="3">
        <v>230</v>
      </c>
      <c r="N1341" s="3">
        <v>230</v>
      </c>
      <c r="O1341" s="70">
        <v>0</v>
      </c>
      <c r="P1341" s="3">
        <v>0</v>
      </c>
      <c r="Q1341" s="3">
        <v>0</v>
      </c>
      <c r="R1341" s="3">
        <v>0.31382599999999999</v>
      </c>
      <c r="S1341" s="3">
        <v>0</v>
      </c>
      <c r="T1341" s="3">
        <v>72.180000000000007</v>
      </c>
      <c r="U1341" s="3">
        <v>72.180000000000007</v>
      </c>
      <c r="V1341" s="70" t="s">
        <v>641</v>
      </c>
      <c r="W1341" s="3" t="s">
        <v>343</v>
      </c>
      <c r="X1341" s="3" t="s">
        <v>584</v>
      </c>
      <c r="Y1341" s="3" t="s">
        <v>661</v>
      </c>
    </row>
    <row r="1342" spans="1:25" hidden="1" x14ac:dyDescent="0.2">
      <c r="A1342" s="83" t="str">
        <f t="shared" si="20"/>
        <v>方城锦城国际六一涂鸦本</v>
      </c>
      <c r="B1342" s="3" t="s">
        <v>712</v>
      </c>
      <c r="C1342" s="3">
        <v>44377</v>
      </c>
      <c r="D1342" s="3" t="s">
        <v>659</v>
      </c>
      <c r="E1342" s="3" t="s">
        <v>584</v>
      </c>
      <c r="F1342" s="3" t="s">
        <v>661</v>
      </c>
      <c r="G1342" s="70" t="s">
        <v>684</v>
      </c>
      <c r="H1342" s="3" t="s">
        <v>685</v>
      </c>
      <c r="I1342" s="3" t="s">
        <v>686</v>
      </c>
      <c r="J1342" s="3">
        <v>87</v>
      </c>
      <c r="K1342" s="3">
        <v>0</v>
      </c>
      <c r="L1342" s="3">
        <v>20</v>
      </c>
      <c r="M1342" s="3">
        <v>49</v>
      </c>
      <c r="N1342" s="3">
        <v>67</v>
      </c>
      <c r="O1342" s="70">
        <v>-18</v>
      </c>
      <c r="P1342" s="3">
        <v>0</v>
      </c>
      <c r="Q1342" s="3">
        <v>0</v>
      </c>
      <c r="R1342" s="3">
        <v>0.31</v>
      </c>
      <c r="S1342" s="3">
        <v>-5.58</v>
      </c>
      <c r="T1342" s="3">
        <v>15.19</v>
      </c>
      <c r="U1342" s="3">
        <v>20.77</v>
      </c>
      <c r="V1342" s="70" t="s">
        <v>594</v>
      </c>
      <c r="W1342" s="3" t="s">
        <v>343</v>
      </c>
      <c r="X1342" s="3" t="s">
        <v>584</v>
      </c>
      <c r="Y1342" s="3" t="s">
        <v>661</v>
      </c>
    </row>
    <row r="1343" spans="1:25" hidden="1" x14ac:dyDescent="0.2">
      <c r="A1343" s="83" t="str">
        <f t="shared" si="20"/>
        <v>清丰凤鸣六一涂鸦本</v>
      </c>
      <c r="B1343" s="3" t="s">
        <v>713</v>
      </c>
      <c r="C1343" s="3">
        <v>44377</v>
      </c>
      <c r="D1343" s="3" t="s">
        <v>659</v>
      </c>
      <c r="E1343" s="3" t="s">
        <v>584</v>
      </c>
      <c r="F1343" s="3" t="s">
        <v>661</v>
      </c>
      <c r="G1343" s="70" t="s">
        <v>684</v>
      </c>
      <c r="H1343" s="3" t="s">
        <v>685</v>
      </c>
      <c r="I1343" s="3" t="s">
        <v>686</v>
      </c>
      <c r="J1343" s="3">
        <v>20</v>
      </c>
      <c r="K1343" s="3">
        <v>125</v>
      </c>
      <c r="L1343" s="3">
        <v>9</v>
      </c>
      <c r="M1343" s="3">
        <v>136</v>
      </c>
      <c r="N1343" s="3">
        <v>136</v>
      </c>
      <c r="O1343" s="70">
        <v>0</v>
      </c>
      <c r="P1343" s="3">
        <v>0</v>
      </c>
      <c r="Q1343" s="3">
        <v>0</v>
      </c>
      <c r="R1343" s="3">
        <v>0.31</v>
      </c>
      <c r="S1343" s="3">
        <v>0</v>
      </c>
      <c r="T1343" s="3">
        <v>42.16</v>
      </c>
      <c r="U1343" s="3">
        <v>42.16</v>
      </c>
      <c r="V1343" s="70" t="s">
        <v>334</v>
      </c>
      <c r="W1343" s="3" t="s">
        <v>343</v>
      </c>
      <c r="X1343" s="3" t="s">
        <v>584</v>
      </c>
      <c r="Y1343" s="3" t="s">
        <v>661</v>
      </c>
    </row>
    <row r="1344" spans="1:25" hidden="1" x14ac:dyDescent="0.2">
      <c r="A1344" s="83" t="str">
        <f t="shared" si="20"/>
        <v>郑州政六街六一涂鸦本</v>
      </c>
      <c r="B1344" s="3" t="s">
        <v>714</v>
      </c>
      <c r="C1344" s="3">
        <v>44377</v>
      </c>
      <c r="D1344" s="3" t="s">
        <v>659</v>
      </c>
      <c r="E1344" s="3" t="s">
        <v>584</v>
      </c>
      <c r="F1344" s="3" t="s">
        <v>661</v>
      </c>
      <c r="G1344" s="70" t="s">
        <v>684</v>
      </c>
      <c r="H1344" s="3" t="s">
        <v>685</v>
      </c>
      <c r="I1344" s="3" t="s">
        <v>686</v>
      </c>
      <c r="J1344" s="3">
        <v>18</v>
      </c>
      <c r="K1344" s="3">
        <v>125</v>
      </c>
      <c r="L1344" s="3">
        <v>19</v>
      </c>
      <c r="M1344" s="3">
        <v>123</v>
      </c>
      <c r="N1344" s="3">
        <v>124</v>
      </c>
      <c r="O1344" s="70">
        <v>-1</v>
      </c>
      <c r="P1344" s="3">
        <v>0</v>
      </c>
      <c r="Q1344" s="3">
        <v>0</v>
      </c>
      <c r="R1344" s="3">
        <v>0.31</v>
      </c>
      <c r="S1344" s="3">
        <v>-0.31</v>
      </c>
      <c r="T1344" s="3">
        <v>38.130000000000003</v>
      </c>
      <c r="U1344" s="3">
        <v>38.44</v>
      </c>
      <c r="V1344" s="70" t="s">
        <v>591</v>
      </c>
      <c r="W1344" s="3" t="s">
        <v>343</v>
      </c>
      <c r="X1344" s="3" t="s">
        <v>584</v>
      </c>
      <c r="Y1344" s="3" t="s">
        <v>661</v>
      </c>
    </row>
    <row r="1345" spans="1:25" hidden="1" x14ac:dyDescent="0.2">
      <c r="A1345" s="83" t="str">
        <f t="shared" si="20"/>
        <v>郑州政六街2021六一IP盲盒</v>
      </c>
      <c r="B1345" s="3" t="s">
        <v>714</v>
      </c>
      <c r="C1345" s="3">
        <v>44377</v>
      </c>
      <c r="D1345" s="3" t="s">
        <v>660</v>
      </c>
      <c r="E1345" s="3" t="s">
        <v>584</v>
      </c>
      <c r="F1345" s="3" t="s">
        <v>661</v>
      </c>
      <c r="G1345" s="70" t="s">
        <v>687</v>
      </c>
      <c r="H1345" s="3" t="s">
        <v>688</v>
      </c>
      <c r="I1345" s="3" t="s">
        <v>339</v>
      </c>
      <c r="J1345" s="3">
        <v>44</v>
      </c>
      <c r="K1345" s="3">
        <v>50</v>
      </c>
      <c r="L1345" s="3">
        <v>20</v>
      </c>
      <c r="M1345" s="3">
        <v>74</v>
      </c>
      <c r="N1345" s="3">
        <v>74</v>
      </c>
      <c r="O1345" s="70">
        <v>0</v>
      </c>
      <c r="P1345" s="3">
        <v>0</v>
      </c>
      <c r="Q1345" s="3">
        <v>0</v>
      </c>
      <c r="R1345" s="3">
        <v>13</v>
      </c>
      <c r="S1345" s="3">
        <v>0</v>
      </c>
      <c r="T1345" s="3">
        <v>962</v>
      </c>
      <c r="U1345" s="3">
        <v>962</v>
      </c>
      <c r="V1345" s="70" t="s">
        <v>591</v>
      </c>
      <c r="W1345" s="3" t="s">
        <v>343</v>
      </c>
      <c r="X1345" s="3" t="s">
        <v>584</v>
      </c>
      <c r="Y1345" s="3" t="s">
        <v>661</v>
      </c>
    </row>
    <row r="1346" spans="1:25" hidden="1" x14ac:dyDescent="0.2">
      <c r="A1346" s="83" t="str">
        <f t="shared" si="20"/>
        <v>清丰凤鸣2021六一IP盲盒</v>
      </c>
      <c r="B1346" s="3" t="s">
        <v>713</v>
      </c>
      <c r="C1346" s="3">
        <v>44377</v>
      </c>
      <c r="D1346" s="3" t="s">
        <v>660</v>
      </c>
      <c r="E1346" s="3" t="s">
        <v>584</v>
      </c>
      <c r="F1346" s="3" t="s">
        <v>661</v>
      </c>
      <c r="G1346" s="70" t="s">
        <v>687</v>
      </c>
      <c r="H1346" s="3" t="s">
        <v>688</v>
      </c>
      <c r="I1346" s="3" t="s">
        <v>339</v>
      </c>
      <c r="J1346" s="3">
        <v>45</v>
      </c>
      <c r="K1346" s="3">
        <v>100</v>
      </c>
      <c r="L1346" s="3">
        <v>10</v>
      </c>
      <c r="M1346" s="3">
        <v>135</v>
      </c>
      <c r="N1346" s="3">
        <v>135</v>
      </c>
      <c r="O1346" s="70">
        <v>0</v>
      </c>
      <c r="P1346" s="3">
        <v>0</v>
      </c>
      <c r="Q1346" s="3">
        <v>0</v>
      </c>
      <c r="R1346" s="3">
        <v>13</v>
      </c>
      <c r="S1346" s="3">
        <v>0</v>
      </c>
      <c r="T1346" s="3">
        <v>1755</v>
      </c>
      <c r="U1346" s="3">
        <v>1755</v>
      </c>
      <c r="V1346" s="70" t="s">
        <v>334</v>
      </c>
      <c r="W1346" s="3" t="s">
        <v>343</v>
      </c>
      <c r="X1346" s="3" t="s">
        <v>584</v>
      </c>
      <c r="Y1346" s="3" t="s">
        <v>661</v>
      </c>
    </row>
    <row r="1347" spans="1:25" hidden="1" x14ac:dyDescent="0.2">
      <c r="A1347" s="83" t="str">
        <f t="shared" ref="A1347:A1356" si="21">V1347&amp;G1347</f>
        <v>方城锦城国际2021六一IP盲盒</v>
      </c>
      <c r="B1347" s="3" t="s">
        <v>712</v>
      </c>
      <c r="C1347" s="3">
        <v>44377</v>
      </c>
      <c r="D1347" s="3" t="s">
        <v>660</v>
      </c>
      <c r="E1347" s="3" t="s">
        <v>584</v>
      </c>
      <c r="F1347" s="3" t="s">
        <v>661</v>
      </c>
      <c r="G1347" s="70" t="s">
        <v>687</v>
      </c>
      <c r="H1347" s="3" t="s">
        <v>688</v>
      </c>
      <c r="I1347" s="3" t="s">
        <v>339</v>
      </c>
      <c r="J1347" s="3">
        <v>37</v>
      </c>
      <c r="K1347" s="3">
        <v>5</v>
      </c>
      <c r="L1347" s="3">
        <v>38</v>
      </c>
      <c r="M1347" s="3">
        <v>4</v>
      </c>
      <c r="N1347" s="3">
        <v>4</v>
      </c>
      <c r="O1347" s="70">
        <v>0</v>
      </c>
      <c r="P1347" s="3">
        <v>0</v>
      </c>
      <c r="Q1347" s="3">
        <v>0</v>
      </c>
      <c r="R1347" s="3">
        <v>13.092499999999999</v>
      </c>
      <c r="S1347" s="3">
        <v>0</v>
      </c>
      <c r="T1347" s="3">
        <v>52.37</v>
      </c>
      <c r="U1347" s="3">
        <v>52.37</v>
      </c>
      <c r="V1347" s="70" t="s">
        <v>594</v>
      </c>
      <c r="W1347" s="3" t="s">
        <v>343</v>
      </c>
      <c r="X1347" s="3" t="s">
        <v>584</v>
      </c>
      <c r="Y1347" s="3" t="s">
        <v>661</v>
      </c>
    </row>
    <row r="1348" spans="1:25" hidden="1" x14ac:dyDescent="0.2">
      <c r="A1348" s="83" t="str">
        <f t="shared" si="21"/>
        <v>郑州裕华2021六一IP盲盒</v>
      </c>
      <c r="B1348" s="3" t="s">
        <v>711</v>
      </c>
      <c r="C1348" s="3">
        <v>44377</v>
      </c>
      <c r="D1348" s="3" t="s">
        <v>660</v>
      </c>
      <c r="E1348" s="3" t="s">
        <v>584</v>
      </c>
      <c r="F1348" s="3" t="s">
        <v>661</v>
      </c>
      <c r="G1348" s="70" t="s">
        <v>687</v>
      </c>
      <c r="H1348" s="3" t="s">
        <v>688</v>
      </c>
      <c r="I1348" s="3" t="s">
        <v>339</v>
      </c>
      <c r="J1348" s="3">
        <v>137</v>
      </c>
      <c r="K1348" s="3">
        <v>100</v>
      </c>
      <c r="L1348" s="3">
        <v>13</v>
      </c>
      <c r="M1348" s="3">
        <v>224</v>
      </c>
      <c r="N1348" s="3">
        <v>224</v>
      </c>
      <c r="O1348" s="70">
        <v>0</v>
      </c>
      <c r="P1348" s="3">
        <v>0</v>
      </c>
      <c r="Q1348" s="3">
        <v>0</v>
      </c>
      <c r="R1348" s="3">
        <v>13.150313000000001</v>
      </c>
      <c r="S1348" s="3">
        <v>0</v>
      </c>
      <c r="T1348" s="3">
        <v>2945.67</v>
      </c>
      <c r="U1348" s="3">
        <v>2945.67</v>
      </c>
      <c r="V1348" s="70" t="s">
        <v>641</v>
      </c>
      <c r="W1348" s="3" t="s">
        <v>343</v>
      </c>
      <c r="X1348" s="3" t="s">
        <v>584</v>
      </c>
      <c r="Y1348" s="3" t="s">
        <v>661</v>
      </c>
    </row>
    <row r="1349" spans="1:25" hidden="1" x14ac:dyDescent="0.2">
      <c r="A1349" s="83" t="str">
        <f t="shared" si="21"/>
        <v>滑县滑台2021六一IP盲盒</v>
      </c>
      <c r="B1349" s="3" t="s">
        <v>710</v>
      </c>
      <c r="C1349" s="3">
        <v>44377</v>
      </c>
      <c r="D1349" s="3" t="s">
        <v>660</v>
      </c>
      <c r="E1349" s="3" t="s">
        <v>584</v>
      </c>
      <c r="F1349" s="3" t="s">
        <v>661</v>
      </c>
      <c r="G1349" s="70" t="s">
        <v>687</v>
      </c>
      <c r="H1349" s="3" t="s">
        <v>688</v>
      </c>
      <c r="I1349" s="3" t="s">
        <v>339</v>
      </c>
      <c r="J1349" s="3">
        <v>44</v>
      </c>
      <c r="K1349" s="3">
        <v>50</v>
      </c>
      <c r="L1349" s="3">
        <v>7</v>
      </c>
      <c r="M1349" s="3">
        <v>87</v>
      </c>
      <c r="N1349" s="3">
        <v>87</v>
      </c>
      <c r="O1349" s="70">
        <v>0</v>
      </c>
      <c r="P1349" s="3">
        <v>0</v>
      </c>
      <c r="Q1349" s="3">
        <v>0</v>
      </c>
      <c r="R1349" s="3">
        <v>13</v>
      </c>
      <c r="S1349" s="3">
        <v>0</v>
      </c>
      <c r="T1349" s="3">
        <v>1131</v>
      </c>
      <c r="U1349" s="3">
        <v>1131</v>
      </c>
      <c r="V1349" s="70" t="s">
        <v>639</v>
      </c>
      <c r="W1349" s="3" t="s">
        <v>343</v>
      </c>
      <c r="X1349" s="3" t="s">
        <v>584</v>
      </c>
      <c r="Y1349" s="3" t="s">
        <v>661</v>
      </c>
    </row>
    <row r="1350" spans="1:25" hidden="1" x14ac:dyDescent="0.2">
      <c r="A1350" s="83" t="str">
        <f t="shared" si="21"/>
        <v>郑州盛华里2021六一IP盲盒</v>
      </c>
      <c r="B1350" s="3" t="s">
        <v>709</v>
      </c>
      <c r="C1350" s="3">
        <v>44377</v>
      </c>
      <c r="D1350" s="3" t="s">
        <v>660</v>
      </c>
      <c r="E1350" s="3" t="s">
        <v>584</v>
      </c>
      <c r="F1350" s="3" t="s">
        <v>661</v>
      </c>
      <c r="G1350" s="70" t="s">
        <v>687</v>
      </c>
      <c r="H1350" s="3" t="s">
        <v>688</v>
      </c>
      <c r="I1350" s="3" t="s">
        <v>339</v>
      </c>
      <c r="J1350" s="3">
        <v>39</v>
      </c>
      <c r="K1350" s="3">
        <v>50</v>
      </c>
      <c r="L1350" s="3">
        <v>8</v>
      </c>
      <c r="M1350" s="3">
        <v>81</v>
      </c>
      <c r="N1350" s="3">
        <v>81</v>
      </c>
      <c r="O1350" s="70">
        <v>0</v>
      </c>
      <c r="P1350" s="3">
        <v>0</v>
      </c>
      <c r="Q1350" s="3">
        <v>0</v>
      </c>
      <c r="R1350" s="3">
        <v>13</v>
      </c>
      <c r="S1350" s="3">
        <v>0</v>
      </c>
      <c r="T1350" s="3">
        <v>1053</v>
      </c>
      <c r="U1350" s="3">
        <v>1053</v>
      </c>
      <c r="V1350" s="70" t="s">
        <v>637</v>
      </c>
      <c r="W1350" s="3" t="s">
        <v>343</v>
      </c>
      <c r="X1350" s="3" t="s">
        <v>584</v>
      </c>
      <c r="Y1350" s="3" t="s">
        <v>661</v>
      </c>
    </row>
    <row r="1351" spans="1:25" hidden="1" x14ac:dyDescent="0.2">
      <c r="A1351" s="83" t="str">
        <f t="shared" si="21"/>
        <v>郑州西悦城2021六一IP盲盒</v>
      </c>
      <c r="B1351" s="3" t="s">
        <v>708</v>
      </c>
      <c r="C1351" s="3">
        <v>44377</v>
      </c>
      <c r="D1351" s="3" t="s">
        <v>660</v>
      </c>
      <c r="E1351" s="3" t="s">
        <v>584</v>
      </c>
      <c r="F1351" s="3" t="s">
        <v>661</v>
      </c>
      <c r="G1351" s="70" t="s">
        <v>687</v>
      </c>
      <c r="H1351" s="3" t="s">
        <v>688</v>
      </c>
      <c r="I1351" s="3" t="s">
        <v>339</v>
      </c>
      <c r="J1351" s="3">
        <v>131</v>
      </c>
      <c r="K1351" s="3">
        <v>150</v>
      </c>
      <c r="L1351" s="3">
        <v>34</v>
      </c>
      <c r="M1351" s="3">
        <v>247</v>
      </c>
      <c r="N1351" s="3">
        <v>247</v>
      </c>
      <c r="O1351" s="70">
        <v>0</v>
      </c>
      <c r="P1351" s="3">
        <v>0</v>
      </c>
      <c r="Q1351" s="3">
        <v>0</v>
      </c>
      <c r="R1351" s="3">
        <v>13</v>
      </c>
      <c r="S1351" s="3">
        <v>0</v>
      </c>
      <c r="T1351" s="3">
        <v>3211</v>
      </c>
      <c r="U1351" s="3">
        <v>3211</v>
      </c>
      <c r="V1351" s="70" t="s">
        <v>332</v>
      </c>
      <c r="W1351" s="3" t="s">
        <v>343</v>
      </c>
      <c r="X1351" s="3" t="s">
        <v>584</v>
      </c>
      <c r="Y1351" s="3" t="s">
        <v>661</v>
      </c>
    </row>
    <row r="1352" spans="1:25" hidden="1" x14ac:dyDescent="0.2">
      <c r="A1352" s="83" t="str">
        <f t="shared" si="21"/>
        <v>郑州铁英街2021六一IP盲盒</v>
      </c>
      <c r="B1352" s="3" t="s">
        <v>707</v>
      </c>
      <c r="C1352" s="3">
        <v>44377</v>
      </c>
      <c r="D1352" s="3" t="s">
        <v>660</v>
      </c>
      <c r="E1352" s="3" t="s">
        <v>584</v>
      </c>
      <c r="F1352" s="3" t="s">
        <v>661</v>
      </c>
      <c r="G1352" s="70" t="s">
        <v>687</v>
      </c>
      <c r="H1352" s="3" t="s">
        <v>688</v>
      </c>
      <c r="I1352" s="3" t="s">
        <v>339</v>
      </c>
      <c r="J1352" s="3">
        <v>40</v>
      </c>
      <c r="K1352" s="3">
        <v>50</v>
      </c>
      <c r="L1352" s="3">
        <v>22</v>
      </c>
      <c r="M1352" s="3">
        <v>68</v>
      </c>
      <c r="N1352" s="3">
        <v>68</v>
      </c>
      <c r="O1352" s="70">
        <v>0</v>
      </c>
      <c r="P1352" s="3">
        <v>0</v>
      </c>
      <c r="Q1352" s="3">
        <v>0</v>
      </c>
      <c r="R1352" s="3">
        <v>13</v>
      </c>
      <c r="S1352" s="3">
        <v>0</v>
      </c>
      <c r="T1352" s="3">
        <v>884</v>
      </c>
      <c r="U1352" s="3">
        <v>884</v>
      </c>
      <c r="V1352" s="70" t="s">
        <v>592</v>
      </c>
      <c r="W1352" s="3" t="s">
        <v>343</v>
      </c>
      <c r="X1352" s="3" t="s">
        <v>584</v>
      </c>
      <c r="Y1352" s="3" t="s">
        <v>661</v>
      </c>
    </row>
    <row r="1353" spans="1:25" hidden="1" x14ac:dyDescent="0.2">
      <c r="A1353" s="83" t="str">
        <f t="shared" si="21"/>
        <v>郑州瀚海海尚2021六一IP盲盒</v>
      </c>
      <c r="B1353" s="3" t="s">
        <v>706</v>
      </c>
      <c r="C1353" s="3">
        <v>44377</v>
      </c>
      <c r="D1353" s="3" t="s">
        <v>660</v>
      </c>
      <c r="E1353" s="3" t="s">
        <v>584</v>
      </c>
      <c r="F1353" s="3" t="s">
        <v>661</v>
      </c>
      <c r="G1353" s="70" t="s">
        <v>687</v>
      </c>
      <c r="H1353" s="3" t="s">
        <v>688</v>
      </c>
      <c r="I1353" s="3" t="s">
        <v>339</v>
      </c>
      <c r="J1353" s="3">
        <v>189</v>
      </c>
      <c r="K1353" s="3">
        <v>0</v>
      </c>
      <c r="L1353" s="3">
        <v>21</v>
      </c>
      <c r="M1353" s="3">
        <v>170</v>
      </c>
      <c r="N1353" s="3">
        <v>168</v>
      </c>
      <c r="O1353" s="70">
        <v>2</v>
      </c>
      <c r="P1353" s="3">
        <v>0</v>
      </c>
      <c r="Q1353" s="3">
        <v>0</v>
      </c>
      <c r="R1353" s="3">
        <v>13</v>
      </c>
      <c r="S1353" s="3">
        <v>26</v>
      </c>
      <c r="T1353" s="3">
        <v>2210</v>
      </c>
      <c r="U1353" s="3">
        <v>2184</v>
      </c>
      <c r="V1353" s="70" t="s">
        <v>333</v>
      </c>
      <c r="W1353" s="3" t="s">
        <v>343</v>
      </c>
      <c r="X1353" s="3" t="s">
        <v>584</v>
      </c>
      <c r="Y1353" s="3" t="s">
        <v>661</v>
      </c>
    </row>
    <row r="1354" spans="1:25" hidden="1" x14ac:dyDescent="0.2">
      <c r="A1354" s="83" t="str">
        <f t="shared" si="21"/>
        <v>华山龙源2021六一IP盲盒</v>
      </c>
      <c r="B1354" s="3" t="s">
        <v>705</v>
      </c>
      <c r="C1354" s="3">
        <v>44377</v>
      </c>
      <c r="D1354" s="3" t="s">
        <v>660</v>
      </c>
      <c r="E1354" s="3" t="s">
        <v>584</v>
      </c>
      <c r="F1354" s="3" t="s">
        <v>661</v>
      </c>
      <c r="G1354" s="70" t="s">
        <v>687</v>
      </c>
      <c r="H1354" s="3" t="s">
        <v>688</v>
      </c>
      <c r="I1354" s="3" t="s">
        <v>339</v>
      </c>
      <c r="J1354" s="3">
        <v>46</v>
      </c>
      <c r="K1354" s="3">
        <v>0</v>
      </c>
      <c r="L1354" s="3">
        <v>22</v>
      </c>
      <c r="M1354" s="3">
        <v>24</v>
      </c>
      <c r="N1354" s="3">
        <v>24</v>
      </c>
      <c r="O1354" s="70">
        <v>0</v>
      </c>
      <c r="P1354" s="3">
        <v>0</v>
      </c>
      <c r="Q1354" s="3">
        <v>0</v>
      </c>
      <c r="R1354" s="3">
        <v>13</v>
      </c>
      <c r="S1354" s="3">
        <v>0</v>
      </c>
      <c r="T1354" s="3">
        <v>312</v>
      </c>
      <c r="U1354" s="3">
        <v>312</v>
      </c>
      <c r="V1354" s="70" t="s">
        <v>643</v>
      </c>
      <c r="W1354" s="3" t="s">
        <v>343</v>
      </c>
      <c r="X1354" s="3" t="s">
        <v>584</v>
      </c>
      <c r="Y1354" s="3" t="s">
        <v>661</v>
      </c>
    </row>
    <row r="1355" spans="1:25" hidden="1" x14ac:dyDescent="0.2">
      <c r="A1355" s="83" t="str">
        <f t="shared" si="21"/>
        <v>郑州康复中街2021六一IP盲盒</v>
      </c>
      <c r="B1355" s="3" t="s">
        <v>704</v>
      </c>
      <c r="C1355" s="3">
        <v>44377</v>
      </c>
      <c r="D1355" s="3" t="s">
        <v>660</v>
      </c>
      <c r="E1355" s="3" t="s">
        <v>584</v>
      </c>
      <c r="F1355" s="3" t="s">
        <v>661</v>
      </c>
      <c r="G1355" s="70" t="s">
        <v>687</v>
      </c>
      <c r="H1355" s="3" t="s">
        <v>688</v>
      </c>
      <c r="I1355" s="3" t="s">
        <v>339</v>
      </c>
      <c r="J1355" s="3">
        <v>45</v>
      </c>
      <c r="K1355" s="3">
        <v>100</v>
      </c>
      <c r="L1355" s="3">
        <v>26</v>
      </c>
      <c r="M1355" s="3">
        <v>119</v>
      </c>
      <c r="N1355" s="3">
        <v>119</v>
      </c>
      <c r="O1355" s="70">
        <v>0</v>
      </c>
      <c r="P1355" s="3">
        <v>0</v>
      </c>
      <c r="Q1355" s="3">
        <v>0</v>
      </c>
      <c r="R1355" s="3">
        <v>13</v>
      </c>
      <c r="S1355" s="3">
        <v>0</v>
      </c>
      <c r="T1355" s="3">
        <v>1547</v>
      </c>
      <c r="U1355" s="3">
        <v>1547</v>
      </c>
      <c r="V1355" s="70" t="s">
        <v>593</v>
      </c>
      <c r="W1355" s="3" t="s">
        <v>343</v>
      </c>
      <c r="X1355" s="3" t="s">
        <v>584</v>
      </c>
      <c r="Y1355" s="3" t="s">
        <v>661</v>
      </c>
    </row>
    <row r="1356" spans="1:25" hidden="1" x14ac:dyDescent="0.2">
      <c r="A1356" s="83" t="str">
        <f t="shared" si="21"/>
        <v>新蔡水韵天街2021六一IP盲盒</v>
      </c>
      <c r="B1356" s="3" t="s">
        <v>703</v>
      </c>
      <c r="C1356" s="3">
        <v>44377</v>
      </c>
      <c r="D1356" s="3" t="s">
        <v>660</v>
      </c>
      <c r="E1356" s="3" t="s">
        <v>584</v>
      </c>
      <c r="F1356" s="3" t="s">
        <v>661</v>
      </c>
      <c r="G1356" s="70" t="s">
        <v>687</v>
      </c>
      <c r="H1356" s="3" t="s">
        <v>688</v>
      </c>
      <c r="I1356" s="3" t="s">
        <v>339</v>
      </c>
      <c r="J1356" s="3">
        <v>26</v>
      </c>
      <c r="K1356" s="3">
        <v>0</v>
      </c>
      <c r="L1356" s="3">
        <v>30</v>
      </c>
      <c r="M1356" s="3">
        <v>0</v>
      </c>
      <c r="N1356" s="3">
        <v>-4</v>
      </c>
      <c r="O1356" s="70">
        <v>4</v>
      </c>
      <c r="P1356" s="3">
        <v>0</v>
      </c>
      <c r="Q1356" s="3">
        <v>0</v>
      </c>
      <c r="R1356" s="3">
        <v>13</v>
      </c>
      <c r="S1356" s="3">
        <v>52</v>
      </c>
      <c r="T1356" s="3">
        <v>0</v>
      </c>
      <c r="U1356" s="3">
        <v>-52</v>
      </c>
      <c r="V1356" s="70" t="s">
        <v>335</v>
      </c>
      <c r="W1356" s="3" t="s">
        <v>834</v>
      </c>
      <c r="X1356" s="3" t="s">
        <v>584</v>
      </c>
      <c r="Y1356" s="3" t="s">
        <v>661</v>
      </c>
    </row>
    <row r="1357" spans="1:25" hidden="1" x14ac:dyDescent="0.2">
      <c r="B1357" s="3" t="s">
        <v>710</v>
      </c>
      <c r="C1357" s="3">
        <v>44377</v>
      </c>
      <c r="D1357" s="3" t="s">
        <v>201</v>
      </c>
      <c r="E1357" s="3" t="s">
        <v>343</v>
      </c>
      <c r="F1357" s="3" t="s">
        <v>343</v>
      </c>
      <c r="G1357" s="70" t="s">
        <v>343</v>
      </c>
      <c r="H1357" s="3" t="s">
        <v>343</v>
      </c>
      <c r="I1357" s="3" t="s">
        <v>343</v>
      </c>
      <c r="J1357" s="3">
        <v>358968.5</v>
      </c>
      <c r="K1357" s="3">
        <v>1067611</v>
      </c>
      <c r="L1357" s="3">
        <v>1203257.67</v>
      </c>
      <c r="M1357" s="3">
        <v>357958.7</v>
      </c>
      <c r="N1357" s="3">
        <v>223321.83</v>
      </c>
      <c r="O1357" s="70">
        <v>134636.87</v>
      </c>
      <c r="P1357" s="3">
        <v>34334.85</v>
      </c>
      <c r="Q1357" s="3">
        <v>0</v>
      </c>
      <c r="R1357" s="3">
        <v>0</v>
      </c>
      <c r="S1357" s="3">
        <v>-2417.56</v>
      </c>
      <c r="T1357" s="3">
        <v>16677.830000000002</v>
      </c>
      <c r="U1357" s="3">
        <v>19095.48</v>
      </c>
      <c r="V1357" s="70" t="s">
        <v>343</v>
      </c>
      <c r="W1357" s="3" t="s">
        <v>343</v>
      </c>
      <c r="X1357" s="3" t="s">
        <v>343</v>
      </c>
      <c r="Y1357" s="3" t="s">
        <v>343</v>
      </c>
    </row>
    <row r="1358" spans="1:25" hidden="1" x14ac:dyDescent="0.2">
      <c r="B1358" s="3" t="s">
        <v>714</v>
      </c>
      <c r="C1358" s="3">
        <v>44377</v>
      </c>
      <c r="D1358" s="3" t="s">
        <v>201</v>
      </c>
      <c r="E1358" s="3" t="s">
        <v>343</v>
      </c>
      <c r="F1358" s="3" t="s">
        <v>343</v>
      </c>
      <c r="G1358" s="70" t="s">
        <v>343</v>
      </c>
      <c r="H1358" s="3" t="s">
        <v>343</v>
      </c>
      <c r="I1358" s="3" t="s">
        <v>343</v>
      </c>
      <c r="J1358" s="3">
        <v>232848.5</v>
      </c>
      <c r="K1358" s="3">
        <v>1384289.84</v>
      </c>
      <c r="L1358" s="3">
        <v>1551519.56</v>
      </c>
      <c r="M1358" s="3">
        <v>164475</v>
      </c>
      <c r="N1358" s="3">
        <v>65582.78</v>
      </c>
      <c r="O1358" s="70">
        <v>98892.22</v>
      </c>
      <c r="P1358" s="3">
        <v>49281.75</v>
      </c>
      <c r="Q1358" s="3">
        <v>36</v>
      </c>
      <c r="R1358" s="3">
        <v>0</v>
      </c>
      <c r="S1358" s="3">
        <v>-3613.92</v>
      </c>
      <c r="T1358" s="3">
        <v>11607.34</v>
      </c>
      <c r="U1358" s="3">
        <v>15221.26</v>
      </c>
      <c r="V1358" s="70" t="s">
        <v>343</v>
      </c>
      <c r="W1358" s="3" t="s">
        <v>343</v>
      </c>
      <c r="X1358" s="3" t="s">
        <v>343</v>
      </c>
      <c r="Y1358" s="3" t="s">
        <v>343</v>
      </c>
    </row>
    <row r="1359" spans="1:25" hidden="1" x14ac:dyDescent="0.2">
      <c r="B1359" s="3" t="s">
        <v>704</v>
      </c>
      <c r="C1359" s="3">
        <v>44377</v>
      </c>
      <c r="D1359" s="3" t="s">
        <v>201</v>
      </c>
      <c r="E1359" s="3" t="s">
        <v>343</v>
      </c>
      <c r="F1359" s="3" t="s">
        <v>343</v>
      </c>
      <c r="G1359" s="70" t="s">
        <v>343</v>
      </c>
      <c r="H1359" s="3" t="s">
        <v>343</v>
      </c>
      <c r="I1359" s="3" t="s">
        <v>343</v>
      </c>
      <c r="J1359" s="3">
        <v>186964.9</v>
      </c>
      <c r="K1359" s="3">
        <v>1551170</v>
      </c>
      <c r="L1359" s="3">
        <v>1518621.43</v>
      </c>
      <c r="M1359" s="3">
        <v>329359.3</v>
      </c>
      <c r="N1359" s="3">
        <v>219411.47</v>
      </c>
      <c r="O1359" s="70">
        <v>109947.83</v>
      </c>
      <c r="P1359" s="3">
        <v>47594.45</v>
      </c>
      <c r="Q1359" s="3">
        <v>102</v>
      </c>
      <c r="R1359" s="3">
        <v>0</v>
      </c>
      <c r="S1359" s="3">
        <v>-3309.11</v>
      </c>
      <c r="T1359" s="3">
        <v>16629.39</v>
      </c>
      <c r="U1359" s="3">
        <v>19938.54</v>
      </c>
      <c r="V1359" s="70" t="s">
        <v>343</v>
      </c>
      <c r="W1359" s="3" t="s">
        <v>343</v>
      </c>
      <c r="X1359" s="3" t="s">
        <v>343</v>
      </c>
      <c r="Y1359" s="3" t="s">
        <v>343</v>
      </c>
    </row>
    <row r="1360" spans="1:25" hidden="1" x14ac:dyDescent="0.2">
      <c r="B1360" s="3" t="s">
        <v>712</v>
      </c>
      <c r="C1360" s="3">
        <v>44377</v>
      </c>
      <c r="D1360" s="3" t="s">
        <v>201</v>
      </c>
      <c r="E1360" s="3" t="s">
        <v>343</v>
      </c>
      <c r="F1360" s="3" t="s">
        <v>343</v>
      </c>
      <c r="G1360" s="70" t="s">
        <v>343</v>
      </c>
      <c r="H1360" s="3" t="s">
        <v>343</v>
      </c>
      <c r="I1360" s="3" t="s">
        <v>343</v>
      </c>
      <c r="J1360" s="3">
        <v>157530</v>
      </c>
      <c r="K1360" s="3">
        <v>1160980</v>
      </c>
      <c r="L1360" s="3">
        <v>1171125.54</v>
      </c>
      <c r="M1360" s="3">
        <v>238420.7</v>
      </c>
      <c r="N1360" s="3">
        <v>147384.46</v>
      </c>
      <c r="O1360" s="70">
        <v>91036.24</v>
      </c>
      <c r="P1360" s="3">
        <v>30077.4</v>
      </c>
      <c r="Q1360" s="3">
        <v>0</v>
      </c>
      <c r="R1360" s="3">
        <v>0</v>
      </c>
      <c r="S1360" s="3">
        <v>-2529.56</v>
      </c>
      <c r="T1360" s="3">
        <v>12839.51</v>
      </c>
      <c r="U1360" s="3">
        <v>15369.03</v>
      </c>
      <c r="V1360" s="70" t="s">
        <v>343</v>
      </c>
      <c r="W1360" s="3" t="s">
        <v>343</v>
      </c>
      <c r="X1360" s="3" t="s">
        <v>343</v>
      </c>
      <c r="Y1360" s="3" t="s">
        <v>343</v>
      </c>
    </row>
    <row r="1361" spans="2:25" hidden="1" x14ac:dyDescent="0.2">
      <c r="B1361" s="3" t="s">
        <v>703</v>
      </c>
      <c r="C1361" s="3">
        <v>44377</v>
      </c>
      <c r="D1361" s="3" t="s">
        <v>201</v>
      </c>
      <c r="E1361" s="3" t="s">
        <v>343</v>
      </c>
      <c r="F1361" s="3" t="s">
        <v>343</v>
      </c>
      <c r="G1361" s="70" t="s">
        <v>343</v>
      </c>
      <c r="H1361" s="3" t="s">
        <v>343</v>
      </c>
      <c r="I1361" s="3" t="s">
        <v>343</v>
      </c>
      <c r="J1361" s="3">
        <v>254734.4</v>
      </c>
      <c r="K1361" s="3">
        <v>836305</v>
      </c>
      <c r="L1361" s="3">
        <v>841979.33</v>
      </c>
      <c r="M1361" s="3">
        <v>262675</v>
      </c>
      <c r="N1361" s="3">
        <v>248986.07</v>
      </c>
      <c r="O1361" s="70">
        <v>13688.93</v>
      </c>
      <c r="P1361" s="3">
        <v>25140.85</v>
      </c>
      <c r="Q1361" s="3">
        <v>74</v>
      </c>
      <c r="R1361" s="3">
        <v>0</v>
      </c>
      <c r="S1361" s="3">
        <v>-2845.94</v>
      </c>
      <c r="T1361" s="3">
        <v>10849.65</v>
      </c>
      <c r="U1361" s="3">
        <v>13695.56</v>
      </c>
      <c r="V1361" s="70" t="s">
        <v>343</v>
      </c>
      <c r="W1361" s="3" t="s">
        <v>343</v>
      </c>
      <c r="X1361" s="3" t="s">
        <v>343</v>
      </c>
      <c r="Y1361" s="3" t="s">
        <v>343</v>
      </c>
    </row>
    <row r="1362" spans="2:25" hidden="1" x14ac:dyDescent="0.2">
      <c r="B1362" s="3" t="s">
        <v>705</v>
      </c>
      <c r="C1362" s="3">
        <v>44377</v>
      </c>
      <c r="D1362" s="3" t="s">
        <v>201</v>
      </c>
      <c r="E1362" s="3" t="s">
        <v>343</v>
      </c>
      <c r="F1362" s="3" t="s">
        <v>343</v>
      </c>
      <c r="G1362" s="70" t="s">
        <v>343</v>
      </c>
      <c r="H1362" s="3" t="s">
        <v>343</v>
      </c>
      <c r="I1362" s="3" t="s">
        <v>343</v>
      </c>
      <c r="J1362" s="3">
        <v>205649</v>
      </c>
      <c r="K1362" s="3">
        <v>579051</v>
      </c>
      <c r="L1362" s="3">
        <v>613377.24</v>
      </c>
      <c r="M1362" s="3">
        <v>177985.5</v>
      </c>
      <c r="N1362" s="3">
        <v>171286.76</v>
      </c>
      <c r="O1362" s="70">
        <v>6698.74</v>
      </c>
      <c r="P1362" s="3">
        <v>15969.95</v>
      </c>
      <c r="Q1362" s="3">
        <v>36</v>
      </c>
      <c r="R1362" s="3">
        <v>0</v>
      </c>
      <c r="S1362" s="3">
        <v>-4262.4799999999996</v>
      </c>
      <c r="T1362" s="3">
        <v>8484.26</v>
      </c>
      <c r="U1362" s="3">
        <v>12746.73</v>
      </c>
      <c r="V1362" s="70" t="s">
        <v>343</v>
      </c>
      <c r="W1362" s="3" t="s">
        <v>343</v>
      </c>
      <c r="X1362" s="3" t="s">
        <v>343</v>
      </c>
      <c r="Y1362" s="3" t="s">
        <v>343</v>
      </c>
    </row>
    <row r="1363" spans="2:25" hidden="1" x14ac:dyDescent="0.2">
      <c r="B1363" s="3" t="s">
        <v>708</v>
      </c>
      <c r="C1363" s="3">
        <v>44377</v>
      </c>
      <c r="D1363" s="3" t="s">
        <v>201</v>
      </c>
      <c r="E1363" s="3" t="s">
        <v>343</v>
      </c>
      <c r="F1363" s="3" t="s">
        <v>343</v>
      </c>
      <c r="G1363" s="70" t="s">
        <v>343</v>
      </c>
      <c r="H1363" s="3" t="s">
        <v>343</v>
      </c>
      <c r="I1363" s="3" t="s">
        <v>343</v>
      </c>
      <c r="J1363" s="3">
        <v>285575.5</v>
      </c>
      <c r="K1363" s="3">
        <v>1474225</v>
      </c>
      <c r="L1363" s="3">
        <v>1713845.47</v>
      </c>
      <c r="M1363" s="3">
        <v>212860.3</v>
      </c>
      <c r="N1363" s="3">
        <v>45955.03</v>
      </c>
      <c r="O1363" s="70">
        <v>166905.26999999999</v>
      </c>
      <c r="P1363" s="3">
        <v>45160.6</v>
      </c>
      <c r="Q1363" s="3">
        <v>0</v>
      </c>
      <c r="R1363" s="3">
        <v>0</v>
      </c>
      <c r="S1363" s="3">
        <v>-3810.49</v>
      </c>
      <c r="T1363" s="3">
        <v>13547</v>
      </c>
      <c r="U1363" s="3">
        <v>17357.509999999998</v>
      </c>
      <c r="V1363" s="70" t="s">
        <v>343</v>
      </c>
      <c r="W1363" s="3" t="s">
        <v>343</v>
      </c>
      <c r="X1363" s="3" t="s">
        <v>343</v>
      </c>
      <c r="Y1363" s="3" t="s">
        <v>343</v>
      </c>
    </row>
    <row r="1364" spans="2:25" hidden="1" x14ac:dyDescent="0.2">
      <c r="B1364" s="3" t="s">
        <v>709</v>
      </c>
      <c r="C1364" s="3">
        <v>44377</v>
      </c>
      <c r="D1364" s="3" t="s">
        <v>201</v>
      </c>
      <c r="E1364" s="3" t="s">
        <v>343</v>
      </c>
      <c r="F1364" s="3" t="s">
        <v>343</v>
      </c>
      <c r="G1364" s="70" t="s">
        <v>343</v>
      </c>
      <c r="H1364" s="3" t="s">
        <v>343</v>
      </c>
      <c r="I1364" s="3" t="s">
        <v>343</v>
      </c>
      <c r="J1364" s="3">
        <v>458749.5</v>
      </c>
      <c r="K1364" s="3">
        <v>489687</v>
      </c>
      <c r="L1364" s="3">
        <v>556020.37</v>
      </c>
      <c r="M1364" s="3">
        <v>397066</v>
      </c>
      <c r="N1364" s="3">
        <v>392416.13</v>
      </c>
      <c r="O1364" s="70">
        <v>4649.87</v>
      </c>
      <c r="P1364" s="3">
        <v>16634</v>
      </c>
      <c r="Q1364" s="3">
        <v>0</v>
      </c>
      <c r="R1364" s="3">
        <v>0</v>
      </c>
      <c r="S1364" s="3">
        <v>-1547.45</v>
      </c>
      <c r="T1364" s="3">
        <v>19111.45</v>
      </c>
      <c r="U1364" s="3">
        <v>20658.87</v>
      </c>
      <c r="V1364" s="70" t="s">
        <v>343</v>
      </c>
      <c r="W1364" s="3" t="s">
        <v>343</v>
      </c>
      <c r="X1364" s="3" t="s">
        <v>343</v>
      </c>
      <c r="Y1364" s="3" t="s">
        <v>343</v>
      </c>
    </row>
    <row r="1365" spans="2:25" hidden="1" x14ac:dyDescent="0.2">
      <c r="B1365" s="3" t="s">
        <v>707</v>
      </c>
      <c r="C1365" s="3">
        <v>44377</v>
      </c>
      <c r="D1365" s="3" t="s">
        <v>201</v>
      </c>
      <c r="E1365" s="3" t="s">
        <v>343</v>
      </c>
      <c r="F1365" s="3" t="s">
        <v>343</v>
      </c>
      <c r="G1365" s="70" t="s">
        <v>343</v>
      </c>
      <c r="H1365" s="3" t="s">
        <v>343</v>
      </c>
      <c r="I1365" s="3" t="s">
        <v>343</v>
      </c>
      <c r="J1365" s="3">
        <v>160467</v>
      </c>
      <c r="K1365" s="3">
        <v>928431</v>
      </c>
      <c r="L1365" s="3">
        <v>944360.95999999996</v>
      </c>
      <c r="M1365" s="3">
        <v>221615</v>
      </c>
      <c r="N1365" s="3">
        <v>144527.04000000001</v>
      </c>
      <c r="O1365" s="70">
        <v>77087.960000000006</v>
      </c>
      <c r="P1365" s="3">
        <v>26266.6</v>
      </c>
      <c r="Q1365" s="3">
        <v>10</v>
      </c>
      <c r="R1365" s="3">
        <v>0</v>
      </c>
      <c r="S1365" s="3">
        <v>-2804.77</v>
      </c>
      <c r="T1365" s="3">
        <v>12645.72</v>
      </c>
      <c r="U1365" s="3">
        <v>15450.49</v>
      </c>
      <c r="V1365" s="70" t="s">
        <v>343</v>
      </c>
      <c r="W1365" s="3" t="s">
        <v>343</v>
      </c>
      <c r="X1365" s="3" t="s">
        <v>343</v>
      </c>
      <c r="Y1365" s="3" t="s">
        <v>343</v>
      </c>
    </row>
    <row r="1366" spans="2:25" hidden="1" x14ac:dyDescent="0.2">
      <c r="B1366" s="3" t="s">
        <v>711</v>
      </c>
      <c r="C1366" s="3">
        <v>44377</v>
      </c>
      <c r="D1366" s="3" t="s">
        <v>201</v>
      </c>
      <c r="E1366" s="3" t="s">
        <v>343</v>
      </c>
      <c r="F1366" s="3" t="s">
        <v>343</v>
      </c>
      <c r="G1366" s="70" t="s">
        <v>343</v>
      </c>
      <c r="H1366" s="3" t="s">
        <v>343</v>
      </c>
      <c r="I1366" s="3" t="s">
        <v>343</v>
      </c>
      <c r="J1366" s="3">
        <v>342040.5</v>
      </c>
      <c r="K1366" s="3">
        <v>651375</v>
      </c>
      <c r="L1366" s="3">
        <v>718965.9</v>
      </c>
      <c r="M1366" s="3">
        <v>260620</v>
      </c>
      <c r="N1366" s="3">
        <v>274449.59999999998</v>
      </c>
      <c r="O1366" s="70">
        <v>-13829.6</v>
      </c>
      <c r="P1366" s="3">
        <v>21634.9</v>
      </c>
      <c r="Q1366" s="3">
        <v>0</v>
      </c>
      <c r="R1366" s="3">
        <v>0</v>
      </c>
      <c r="S1366" s="3">
        <v>-4429.28</v>
      </c>
      <c r="T1366" s="3">
        <v>15691.19</v>
      </c>
      <c r="U1366" s="3">
        <v>20120.45</v>
      </c>
      <c r="V1366" s="70" t="s">
        <v>343</v>
      </c>
      <c r="W1366" s="3" t="s">
        <v>343</v>
      </c>
      <c r="X1366" s="3" t="s">
        <v>343</v>
      </c>
      <c r="Y1366" s="3" t="s">
        <v>343</v>
      </c>
    </row>
    <row r="1367" spans="2:25" hidden="1" x14ac:dyDescent="0.2">
      <c r="B1367" s="3" t="s">
        <v>706</v>
      </c>
      <c r="C1367" s="3">
        <v>44377</v>
      </c>
      <c r="D1367" s="3" t="s">
        <v>201</v>
      </c>
      <c r="E1367" s="3" t="s">
        <v>343</v>
      </c>
      <c r="F1367" s="3" t="s">
        <v>343</v>
      </c>
      <c r="G1367" s="70" t="s">
        <v>343</v>
      </c>
      <c r="H1367" s="3" t="s">
        <v>343</v>
      </c>
      <c r="I1367" s="3" t="s">
        <v>343</v>
      </c>
      <c r="J1367" s="3">
        <v>320191.5</v>
      </c>
      <c r="K1367" s="3">
        <v>1024202</v>
      </c>
      <c r="L1367" s="3">
        <v>1194719.99</v>
      </c>
      <c r="M1367" s="3">
        <v>211806</v>
      </c>
      <c r="N1367" s="3">
        <v>149660.51</v>
      </c>
      <c r="O1367" s="70">
        <v>62145.49</v>
      </c>
      <c r="P1367" s="3">
        <v>34151.300000000003</v>
      </c>
      <c r="Q1367" s="3">
        <v>13</v>
      </c>
      <c r="R1367" s="3">
        <v>0</v>
      </c>
      <c r="S1367" s="3">
        <v>-2923.2</v>
      </c>
      <c r="T1367" s="3">
        <v>16148.69</v>
      </c>
      <c r="U1367" s="3">
        <v>19071.89</v>
      </c>
      <c r="V1367" s="70" t="s">
        <v>343</v>
      </c>
      <c r="W1367" s="3" t="s">
        <v>343</v>
      </c>
      <c r="X1367" s="3" t="s">
        <v>343</v>
      </c>
      <c r="Y1367" s="3" t="s">
        <v>343</v>
      </c>
    </row>
    <row r="1368" spans="2:25" hidden="1" x14ac:dyDescent="0.2">
      <c r="B1368" s="3" t="s">
        <v>713</v>
      </c>
      <c r="C1368" s="3">
        <v>44377</v>
      </c>
      <c r="D1368" s="3" t="s">
        <v>201</v>
      </c>
      <c r="E1368" s="3" t="s">
        <v>343</v>
      </c>
      <c r="F1368" s="3" t="s">
        <v>343</v>
      </c>
      <c r="G1368" s="70" t="s">
        <v>343</v>
      </c>
      <c r="H1368" s="3" t="s">
        <v>343</v>
      </c>
      <c r="I1368" s="3" t="s">
        <v>343</v>
      </c>
      <c r="J1368" s="3">
        <v>381398.8</v>
      </c>
      <c r="K1368" s="3">
        <v>559494</v>
      </c>
      <c r="L1368" s="3">
        <v>644322.6</v>
      </c>
      <c r="M1368" s="3">
        <v>301778.59999999998</v>
      </c>
      <c r="N1368" s="3">
        <v>296570.2</v>
      </c>
      <c r="O1368" s="70">
        <v>5208.3999999999996</v>
      </c>
      <c r="P1368" s="3">
        <v>18249.400000000001</v>
      </c>
      <c r="Q1368" s="3">
        <v>0</v>
      </c>
      <c r="R1368" s="3">
        <v>0</v>
      </c>
      <c r="S1368" s="3">
        <v>-2213.81</v>
      </c>
      <c r="T1368" s="3">
        <v>13875.14</v>
      </c>
      <c r="U1368" s="3">
        <v>16088.94</v>
      </c>
      <c r="V1368" s="70" t="s">
        <v>343</v>
      </c>
      <c r="W1368" s="3" t="s">
        <v>343</v>
      </c>
      <c r="X1368" s="3" t="s">
        <v>343</v>
      </c>
      <c r="Y1368" s="3" t="s">
        <v>343</v>
      </c>
    </row>
    <row r="1369" spans="2:25" x14ac:dyDescent="0.2">
      <c r="X1369" s="3"/>
      <c r="Y1369" s="3"/>
    </row>
    <row r="1370" spans="2:25" x14ac:dyDescent="0.2">
      <c r="X1370" s="3"/>
      <c r="Y1370" s="3"/>
    </row>
    <row r="1371" spans="2:25" x14ac:dyDescent="0.2">
      <c r="X1371" s="3"/>
      <c r="Y1371" s="3"/>
    </row>
    <row r="1372" spans="2:25" x14ac:dyDescent="0.2">
      <c r="X1372" s="3"/>
      <c r="Y1372" s="3"/>
    </row>
    <row r="1373" spans="2:25" x14ac:dyDescent="0.2">
      <c r="X1373" s="3"/>
      <c r="Y1373" s="3"/>
    </row>
    <row r="1374" spans="2:25" x14ac:dyDescent="0.2">
      <c r="X1374" s="3"/>
      <c r="Y1374" s="3"/>
    </row>
    <row r="1375" spans="2:25" x14ac:dyDescent="0.2">
      <c r="X1375" s="3"/>
      <c r="Y1375" s="3"/>
    </row>
    <row r="1376" spans="2:25" x14ac:dyDescent="0.2">
      <c r="X1376" s="3"/>
      <c r="Y1376" s="3"/>
    </row>
    <row r="1377" spans="24:25" x14ac:dyDescent="0.2">
      <c r="X1377" s="3"/>
      <c r="Y1377" s="3"/>
    </row>
    <row r="1378" spans="24:25" x14ac:dyDescent="0.2">
      <c r="X1378" s="3"/>
      <c r="Y1378" s="3"/>
    </row>
    <row r="1379" spans="24:25" x14ac:dyDescent="0.2">
      <c r="X1379" s="3"/>
      <c r="Y1379" s="3"/>
    </row>
    <row r="1380" spans="24:25" x14ac:dyDescent="0.2">
      <c r="X1380" s="3"/>
      <c r="Y1380" s="3"/>
    </row>
    <row r="1381" spans="24:25" x14ac:dyDescent="0.2">
      <c r="X1381" s="3"/>
      <c r="Y1381" s="3"/>
    </row>
    <row r="1382" spans="24:25" x14ac:dyDescent="0.2">
      <c r="X1382" s="3"/>
      <c r="Y1382" s="3"/>
    </row>
    <row r="1383" spans="24:25" x14ac:dyDescent="0.2">
      <c r="X1383" s="3"/>
      <c r="Y1383" s="3"/>
    </row>
    <row r="1384" spans="24:25" x14ac:dyDescent="0.2">
      <c r="X1384" s="3"/>
      <c r="Y1384" s="3"/>
    </row>
    <row r="1385" spans="24:25" x14ac:dyDescent="0.2">
      <c r="X1385" s="3"/>
      <c r="Y1385" s="3"/>
    </row>
    <row r="1386" spans="24:25" x14ac:dyDescent="0.2">
      <c r="X1386" s="3"/>
      <c r="Y1386" s="3"/>
    </row>
    <row r="1387" spans="24:25" x14ac:dyDescent="0.2">
      <c r="X1387" s="3"/>
      <c r="Y1387" s="3"/>
    </row>
    <row r="1388" spans="24:25" x14ac:dyDescent="0.2">
      <c r="X1388" s="3"/>
      <c r="Y1388" s="3"/>
    </row>
    <row r="1389" spans="24:25" x14ac:dyDescent="0.2">
      <c r="X1389" s="3"/>
      <c r="Y1389" s="3"/>
    </row>
    <row r="1390" spans="24:25" x14ac:dyDescent="0.2">
      <c r="X1390" s="3"/>
      <c r="Y1390" s="3"/>
    </row>
    <row r="1391" spans="24:25" x14ac:dyDescent="0.2">
      <c r="X1391" s="3"/>
      <c r="Y1391" s="3"/>
    </row>
    <row r="1392" spans="24:25" x14ac:dyDescent="0.2">
      <c r="X1392" s="3"/>
      <c r="Y1392" s="3"/>
    </row>
    <row r="1393" spans="24:25" x14ac:dyDescent="0.2">
      <c r="X1393" s="3"/>
      <c r="Y1393" s="3"/>
    </row>
    <row r="1394" spans="24:25" x14ac:dyDescent="0.2">
      <c r="X1394" s="3"/>
      <c r="Y1394" s="3"/>
    </row>
    <row r="1395" spans="24:25" x14ac:dyDescent="0.2">
      <c r="X1395" s="3"/>
      <c r="Y1395" s="3"/>
    </row>
    <row r="1396" spans="24:25" x14ac:dyDescent="0.2">
      <c r="X1396" s="3"/>
      <c r="Y1396" s="3"/>
    </row>
    <row r="1397" spans="24:25" x14ac:dyDescent="0.2">
      <c r="X1397" s="3"/>
      <c r="Y1397" s="3"/>
    </row>
    <row r="1398" spans="24:25" x14ac:dyDescent="0.2">
      <c r="X1398" s="3"/>
      <c r="Y1398" s="3"/>
    </row>
    <row r="1399" spans="24:25" x14ac:dyDescent="0.2">
      <c r="X1399" s="3"/>
      <c r="Y1399" s="3"/>
    </row>
    <row r="1400" spans="24:25" x14ac:dyDescent="0.2">
      <c r="X1400" s="3"/>
      <c r="Y1400" s="3"/>
    </row>
    <row r="1401" spans="24:25" x14ac:dyDescent="0.2">
      <c r="X1401" s="3"/>
      <c r="Y1401" s="3"/>
    </row>
    <row r="1402" spans="24:25" x14ac:dyDescent="0.2">
      <c r="X1402" s="3"/>
      <c r="Y1402" s="3"/>
    </row>
    <row r="1403" spans="24:25" x14ac:dyDescent="0.2">
      <c r="X1403" s="3"/>
      <c r="Y1403" s="3"/>
    </row>
    <row r="1404" spans="24:25" x14ac:dyDescent="0.2">
      <c r="X1404" s="3"/>
      <c r="Y1404" s="3"/>
    </row>
    <row r="1405" spans="24:25" x14ac:dyDescent="0.2">
      <c r="X1405" s="3"/>
      <c r="Y1405" s="3"/>
    </row>
    <row r="1406" spans="24:25" x14ac:dyDescent="0.2">
      <c r="X1406" s="3"/>
      <c r="Y1406" s="3"/>
    </row>
    <row r="1407" spans="24:25" x14ac:dyDescent="0.2">
      <c r="X1407" s="3"/>
      <c r="Y1407" s="3"/>
    </row>
    <row r="1408" spans="24:25" x14ac:dyDescent="0.2">
      <c r="X1408" s="3"/>
      <c r="Y1408" s="3"/>
    </row>
    <row r="1409" spans="24:25" x14ac:dyDescent="0.2">
      <c r="X1409" s="3"/>
      <c r="Y1409" s="3"/>
    </row>
    <row r="1410" spans="24:25" x14ac:dyDescent="0.2">
      <c r="X1410" s="3"/>
      <c r="Y1410" s="3"/>
    </row>
    <row r="1411" spans="24:25" x14ac:dyDescent="0.2">
      <c r="X1411" s="3"/>
      <c r="Y1411" s="3"/>
    </row>
    <row r="1412" spans="24:25" x14ac:dyDescent="0.2">
      <c r="X1412" s="3"/>
      <c r="Y1412" s="3"/>
    </row>
    <row r="1413" spans="24:25" x14ac:dyDescent="0.2">
      <c r="X1413" s="3"/>
      <c r="Y1413" s="3"/>
    </row>
    <row r="1414" spans="24:25" x14ac:dyDescent="0.2">
      <c r="X1414" s="3"/>
      <c r="Y1414" s="3"/>
    </row>
    <row r="1415" spans="24:25" x14ac:dyDescent="0.2">
      <c r="X1415" s="3"/>
      <c r="Y1415" s="3"/>
    </row>
    <row r="1416" spans="24:25" x14ac:dyDescent="0.2">
      <c r="X1416" s="3"/>
      <c r="Y1416" s="3"/>
    </row>
    <row r="1417" spans="24:25" x14ac:dyDescent="0.2">
      <c r="X1417" s="3"/>
      <c r="Y1417" s="3"/>
    </row>
    <row r="1418" spans="24:25" x14ac:dyDescent="0.2">
      <c r="X1418" s="3"/>
      <c r="Y1418" s="3"/>
    </row>
    <row r="1419" spans="24:25" x14ac:dyDescent="0.2">
      <c r="X1419" s="3"/>
      <c r="Y1419" s="3"/>
    </row>
    <row r="1420" spans="24:25" x14ac:dyDescent="0.2">
      <c r="X1420" s="3"/>
      <c r="Y1420" s="3"/>
    </row>
    <row r="1421" spans="24:25" x14ac:dyDescent="0.2">
      <c r="X1421" s="3"/>
      <c r="Y1421" s="3"/>
    </row>
    <row r="1422" spans="24:25" x14ac:dyDescent="0.2">
      <c r="X1422" s="3"/>
      <c r="Y1422" s="3"/>
    </row>
    <row r="1423" spans="24:25" x14ac:dyDescent="0.2">
      <c r="X1423" s="3"/>
      <c r="Y1423" s="3"/>
    </row>
    <row r="1424" spans="24:25" x14ac:dyDescent="0.2">
      <c r="X1424" s="3"/>
      <c r="Y1424" s="3"/>
    </row>
    <row r="1425" spans="24:25" x14ac:dyDescent="0.2">
      <c r="X1425" s="3"/>
      <c r="Y1425" s="3"/>
    </row>
    <row r="1426" spans="24:25" x14ac:dyDescent="0.2">
      <c r="X1426" s="3"/>
      <c r="Y1426" s="3"/>
    </row>
    <row r="1427" spans="24:25" x14ac:dyDescent="0.2">
      <c r="X1427" s="3"/>
      <c r="Y1427" s="3"/>
    </row>
    <row r="1428" spans="24:25" x14ac:dyDescent="0.2">
      <c r="X1428" s="3"/>
      <c r="Y1428" s="3"/>
    </row>
    <row r="1429" spans="24:25" x14ac:dyDescent="0.2">
      <c r="X1429" s="3"/>
      <c r="Y1429" s="3"/>
    </row>
    <row r="1430" spans="24:25" x14ac:dyDescent="0.2">
      <c r="X1430" s="3"/>
      <c r="Y1430" s="3"/>
    </row>
    <row r="1431" spans="24:25" x14ac:dyDescent="0.2">
      <c r="X1431" s="3"/>
      <c r="Y1431" s="3"/>
    </row>
    <row r="1432" spans="24:25" x14ac:dyDescent="0.2">
      <c r="X1432" s="3"/>
      <c r="Y1432" s="3"/>
    </row>
    <row r="1433" spans="24:25" x14ac:dyDescent="0.2">
      <c r="X1433" s="3"/>
      <c r="Y1433" s="3"/>
    </row>
    <row r="1434" spans="24:25" x14ac:dyDescent="0.2">
      <c r="X1434" s="3"/>
      <c r="Y1434" s="3"/>
    </row>
    <row r="1435" spans="24:25" x14ac:dyDescent="0.2">
      <c r="X1435" s="3"/>
      <c r="Y1435" s="3"/>
    </row>
    <row r="1436" spans="24:25" x14ac:dyDescent="0.2">
      <c r="X1436" s="3"/>
      <c r="Y1436" s="3"/>
    </row>
    <row r="1437" spans="24:25" x14ac:dyDescent="0.2">
      <c r="X1437" s="3"/>
      <c r="Y1437" s="3"/>
    </row>
    <row r="1438" spans="24:25" x14ac:dyDescent="0.2">
      <c r="X1438" s="3"/>
      <c r="Y1438" s="3"/>
    </row>
    <row r="1439" spans="24:25" x14ac:dyDescent="0.2">
      <c r="X1439" s="3"/>
      <c r="Y1439" s="3"/>
    </row>
    <row r="1440" spans="24:25" x14ac:dyDescent="0.2">
      <c r="X1440" s="3"/>
      <c r="Y1440" s="3"/>
    </row>
    <row r="1441" spans="24:25" x14ac:dyDescent="0.2">
      <c r="X1441" s="3"/>
      <c r="Y1441" s="3"/>
    </row>
    <row r="1442" spans="24:25" x14ac:dyDescent="0.2">
      <c r="X1442" s="3"/>
      <c r="Y1442" s="3"/>
    </row>
    <row r="1443" spans="24:25" x14ac:dyDescent="0.2">
      <c r="X1443" s="3"/>
      <c r="Y1443" s="3"/>
    </row>
    <row r="1444" spans="24:25" x14ac:dyDescent="0.2">
      <c r="X1444" s="3"/>
      <c r="Y1444" s="3"/>
    </row>
    <row r="1445" spans="24:25" x14ac:dyDescent="0.2">
      <c r="X1445" s="3"/>
      <c r="Y1445" s="3"/>
    </row>
    <row r="1446" spans="24:25" x14ac:dyDescent="0.2">
      <c r="X1446" s="3"/>
      <c r="Y1446" s="3"/>
    </row>
    <row r="1447" spans="24:25" x14ac:dyDescent="0.2">
      <c r="X1447" s="3"/>
      <c r="Y1447" s="3"/>
    </row>
    <row r="1448" spans="24:25" x14ac:dyDescent="0.2">
      <c r="X1448" s="3"/>
      <c r="Y1448" s="3"/>
    </row>
    <row r="1449" spans="24:25" x14ac:dyDescent="0.2">
      <c r="X1449" s="3"/>
      <c r="Y1449" s="3"/>
    </row>
    <row r="1450" spans="24:25" x14ac:dyDescent="0.2">
      <c r="X1450" s="3"/>
      <c r="Y1450" s="3"/>
    </row>
    <row r="1451" spans="24:25" x14ac:dyDescent="0.2">
      <c r="X1451" s="3"/>
      <c r="Y1451" s="3"/>
    </row>
    <row r="1452" spans="24:25" x14ac:dyDescent="0.2">
      <c r="X1452" s="3"/>
      <c r="Y1452" s="3"/>
    </row>
    <row r="1453" spans="24:25" x14ac:dyDescent="0.2">
      <c r="X1453" s="3"/>
      <c r="Y1453" s="3"/>
    </row>
    <row r="1454" spans="24:25" x14ac:dyDescent="0.2">
      <c r="X1454" s="3"/>
      <c r="Y1454" s="3"/>
    </row>
    <row r="1455" spans="24:25" x14ac:dyDescent="0.2">
      <c r="X1455" s="3"/>
      <c r="Y1455" s="3"/>
    </row>
    <row r="1456" spans="24:25" x14ac:dyDescent="0.2">
      <c r="X1456" s="3"/>
      <c r="Y1456" s="3"/>
    </row>
    <row r="1457" spans="24:25" x14ac:dyDescent="0.2">
      <c r="X1457" s="3"/>
      <c r="Y1457" s="3"/>
    </row>
    <row r="1458" spans="24:25" x14ac:dyDescent="0.2">
      <c r="X1458" s="3"/>
      <c r="Y1458" s="3"/>
    </row>
    <row r="1459" spans="24:25" x14ac:dyDescent="0.2">
      <c r="X1459" s="3"/>
      <c r="Y1459" s="3"/>
    </row>
    <row r="1460" spans="24:25" x14ac:dyDescent="0.2">
      <c r="X1460" s="3"/>
      <c r="Y1460" s="3"/>
    </row>
    <row r="1461" spans="24:25" x14ac:dyDescent="0.2">
      <c r="X1461" s="3"/>
      <c r="Y1461" s="3"/>
    </row>
    <row r="1462" spans="24:25" x14ac:dyDescent="0.2">
      <c r="X1462" s="3"/>
      <c r="Y1462" s="3"/>
    </row>
    <row r="1463" spans="24:25" x14ac:dyDescent="0.2">
      <c r="X1463" s="3"/>
      <c r="Y1463" s="3"/>
    </row>
    <row r="1464" spans="24:25" x14ac:dyDescent="0.2">
      <c r="X1464" s="3"/>
      <c r="Y1464" s="3"/>
    </row>
    <row r="1465" spans="24:25" x14ac:dyDescent="0.2">
      <c r="X1465" s="3"/>
      <c r="Y1465" s="3"/>
    </row>
    <row r="1466" spans="24:25" x14ac:dyDescent="0.2">
      <c r="X1466" s="3"/>
      <c r="Y1466" s="3"/>
    </row>
    <row r="1467" spans="24:25" x14ac:dyDescent="0.2">
      <c r="X1467" s="3"/>
      <c r="Y1467" s="3"/>
    </row>
    <row r="1468" spans="24:25" x14ac:dyDescent="0.2">
      <c r="X1468" s="3"/>
      <c r="Y1468" s="3"/>
    </row>
    <row r="1469" spans="24:25" x14ac:dyDescent="0.2">
      <c r="X1469" s="3"/>
      <c r="Y1469" s="3"/>
    </row>
    <row r="1470" spans="24:25" x14ac:dyDescent="0.2">
      <c r="X1470" s="3"/>
      <c r="Y1470" s="3"/>
    </row>
    <row r="1471" spans="24:25" x14ac:dyDescent="0.2">
      <c r="X1471" s="3"/>
      <c r="Y1471" s="3"/>
    </row>
    <row r="1472" spans="24:25" x14ac:dyDescent="0.2">
      <c r="X1472" s="3"/>
      <c r="Y1472" s="3"/>
    </row>
    <row r="1473" spans="24:25" x14ac:dyDescent="0.2">
      <c r="X1473" s="3"/>
      <c r="Y1473" s="3"/>
    </row>
    <row r="1474" spans="24:25" x14ac:dyDescent="0.2">
      <c r="X1474" s="3"/>
      <c r="Y1474" s="3"/>
    </row>
    <row r="1475" spans="24:25" x14ac:dyDescent="0.2">
      <c r="X1475" s="3"/>
      <c r="Y1475" s="3"/>
    </row>
    <row r="1476" spans="24:25" x14ac:dyDescent="0.2">
      <c r="X1476" s="3"/>
      <c r="Y1476" s="3"/>
    </row>
    <row r="1477" spans="24:25" x14ac:dyDescent="0.2">
      <c r="X1477" s="3"/>
      <c r="Y1477" s="3"/>
    </row>
    <row r="1478" spans="24:25" x14ac:dyDescent="0.2">
      <c r="X1478" s="3"/>
      <c r="Y1478" s="3"/>
    </row>
    <row r="1479" spans="24:25" x14ac:dyDescent="0.2">
      <c r="X1479" s="3"/>
      <c r="Y1479" s="3"/>
    </row>
    <row r="1480" spans="24:25" x14ac:dyDescent="0.2">
      <c r="X1480" s="3"/>
      <c r="Y1480" s="3"/>
    </row>
    <row r="1481" spans="24:25" x14ac:dyDescent="0.2">
      <c r="X1481" s="3"/>
      <c r="Y1481" s="3"/>
    </row>
    <row r="1482" spans="24:25" x14ac:dyDescent="0.2">
      <c r="X1482" s="3"/>
      <c r="Y1482" s="3"/>
    </row>
    <row r="1483" spans="24:25" x14ac:dyDescent="0.2">
      <c r="X1483" s="3"/>
      <c r="Y1483" s="3"/>
    </row>
    <row r="1484" spans="24:25" x14ac:dyDescent="0.2">
      <c r="X1484" s="3"/>
      <c r="Y1484" s="3"/>
    </row>
    <row r="1485" spans="24:25" x14ac:dyDescent="0.2">
      <c r="X1485" s="3"/>
      <c r="Y1485" s="3"/>
    </row>
    <row r="1486" spans="24:25" x14ac:dyDescent="0.2">
      <c r="X1486" s="3"/>
      <c r="Y1486" s="3"/>
    </row>
    <row r="1487" spans="24:25" x14ac:dyDescent="0.2">
      <c r="X1487" s="3"/>
      <c r="Y1487" s="3"/>
    </row>
    <row r="1488" spans="24:25" x14ac:dyDescent="0.2">
      <c r="X1488" s="3"/>
      <c r="Y1488" s="3"/>
    </row>
    <row r="1489" spans="24:25" x14ac:dyDescent="0.2">
      <c r="X1489" s="3"/>
      <c r="Y1489" s="3"/>
    </row>
    <row r="1490" spans="24:25" x14ac:dyDescent="0.2">
      <c r="X1490" s="3"/>
      <c r="Y1490" s="3"/>
    </row>
    <row r="1491" spans="24:25" x14ac:dyDescent="0.2">
      <c r="X1491" s="3"/>
      <c r="Y1491" s="3"/>
    </row>
    <row r="1492" spans="24:25" x14ac:dyDescent="0.2">
      <c r="X1492" s="3"/>
      <c r="Y1492" s="3"/>
    </row>
    <row r="1493" spans="24:25" x14ac:dyDescent="0.2">
      <c r="X1493" s="3"/>
      <c r="Y1493" s="3"/>
    </row>
    <row r="1494" spans="24:25" x14ac:dyDescent="0.2">
      <c r="X1494" s="3"/>
      <c r="Y1494" s="3"/>
    </row>
    <row r="1495" spans="24:25" x14ac:dyDescent="0.2">
      <c r="X1495" s="3"/>
      <c r="Y1495" s="3"/>
    </row>
    <row r="1496" spans="24:25" x14ac:dyDescent="0.2">
      <c r="X1496" s="3"/>
      <c r="Y1496" s="3"/>
    </row>
    <row r="1497" spans="24:25" x14ac:dyDescent="0.2">
      <c r="X1497" s="3"/>
      <c r="Y1497" s="3"/>
    </row>
    <row r="1498" spans="24:25" x14ac:dyDescent="0.2">
      <c r="X1498" s="3"/>
      <c r="Y1498" s="3"/>
    </row>
    <row r="1499" spans="24:25" x14ac:dyDescent="0.2">
      <c r="X1499" s="3"/>
      <c r="Y1499" s="3"/>
    </row>
    <row r="1500" spans="24:25" x14ac:dyDescent="0.2">
      <c r="X1500" s="3"/>
      <c r="Y1500" s="3"/>
    </row>
    <row r="1501" spans="24:25" x14ac:dyDescent="0.2">
      <c r="X1501" s="3"/>
      <c r="Y1501" s="3"/>
    </row>
    <row r="1502" spans="24:25" x14ac:dyDescent="0.2">
      <c r="X1502" s="3"/>
      <c r="Y1502" s="3"/>
    </row>
    <row r="1503" spans="24:25" x14ac:dyDescent="0.2">
      <c r="X1503" s="3"/>
      <c r="Y1503" s="3"/>
    </row>
    <row r="1504" spans="24:25" x14ac:dyDescent="0.2">
      <c r="X1504" s="3"/>
      <c r="Y1504" s="3"/>
    </row>
    <row r="1505" spans="24:25" x14ac:dyDescent="0.2">
      <c r="X1505" s="3"/>
      <c r="Y1505" s="3"/>
    </row>
    <row r="1506" spans="24:25" x14ac:dyDescent="0.2">
      <c r="X1506" s="3"/>
      <c r="Y1506" s="3"/>
    </row>
    <row r="1507" spans="24:25" x14ac:dyDescent="0.2">
      <c r="X1507" s="3"/>
      <c r="Y1507" s="3"/>
    </row>
    <row r="1508" spans="24:25" x14ac:dyDescent="0.2">
      <c r="X1508" s="3"/>
      <c r="Y1508" s="3"/>
    </row>
    <row r="1509" spans="24:25" x14ac:dyDescent="0.2">
      <c r="X1509" s="3"/>
      <c r="Y1509" s="3"/>
    </row>
    <row r="1510" spans="24:25" x14ac:dyDescent="0.2">
      <c r="X1510" s="3"/>
      <c r="Y1510" s="3"/>
    </row>
    <row r="1511" spans="24:25" x14ac:dyDescent="0.2">
      <c r="X1511" s="3"/>
      <c r="Y1511" s="3"/>
    </row>
    <row r="1512" spans="24:25" x14ac:dyDescent="0.2">
      <c r="X1512" s="3"/>
      <c r="Y1512" s="3"/>
    </row>
    <row r="1513" spans="24:25" x14ac:dyDescent="0.2">
      <c r="X1513" s="3"/>
      <c r="Y1513" s="3"/>
    </row>
    <row r="1514" spans="24:25" x14ac:dyDescent="0.2">
      <c r="X1514" s="3"/>
      <c r="Y1514" s="3"/>
    </row>
    <row r="1515" spans="24:25" x14ac:dyDescent="0.2">
      <c r="X1515" s="3"/>
      <c r="Y1515" s="3"/>
    </row>
    <row r="1516" spans="24:25" x14ac:dyDescent="0.2">
      <c r="X1516" s="3"/>
      <c r="Y1516" s="3"/>
    </row>
    <row r="1517" spans="24:25" x14ac:dyDescent="0.2">
      <c r="X1517" s="3"/>
      <c r="Y1517" s="3"/>
    </row>
    <row r="1518" spans="24:25" x14ac:dyDescent="0.2">
      <c r="X1518" s="3"/>
      <c r="Y1518" s="3"/>
    </row>
    <row r="1519" spans="24:25" x14ac:dyDescent="0.2">
      <c r="X1519" s="3"/>
      <c r="Y1519" s="3"/>
    </row>
    <row r="1520" spans="24:25" x14ac:dyDescent="0.2">
      <c r="X1520" s="3"/>
      <c r="Y1520" s="3"/>
    </row>
    <row r="1521" spans="24:25" x14ac:dyDescent="0.2">
      <c r="X1521" s="3"/>
      <c r="Y1521" s="3"/>
    </row>
    <row r="1522" spans="24:25" x14ac:dyDescent="0.2">
      <c r="X1522" s="3"/>
      <c r="Y1522" s="3"/>
    </row>
    <row r="1523" spans="24:25" x14ac:dyDescent="0.2">
      <c r="X1523" s="3"/>
      <c r="Y1523" s="3"/>
    </row>
    <row r="1524" spans="24:25" x14ac:dyDescent="0.2">
      <c r="X1524" s="3"/>
      <c r="Y1524" s="3"/>
    </row>
    <row r="1525" spans="24:25" x14ac:dyDescent="0.2">
      <c r="X1525" s="3"/>
      <c r="Y1525" s="3"/>
    </row>
    <row r="1526" spans="24:25" x14ac:dyDescent="0.2">
      <c r="X1526" s="3"/>
      <c r="Y1526" s="3"/>
    </row>
    <row r="1527" spans="24:25" x14ac:dyDescent="0.2">
      <c r="X1527" s="3"/>
      <c r="Y1527" s="3"/>
    </row>
    <row r="1528" spans="24:25" x14ac:dyDescent="0.2">
      <c r="X1528" s="3"/>
      <c r="Y1528" s="3"/>
    </row>
    <row r="1529" spans="24:25" x14ac:dyDescent="0.2">
      <c r="X1529" s="3"/>
      <c r="Y1529" s="3"/>
    </row>
    <row r="1530" spans="24:25" x14ac:dyDescent="0.2">
      <c r="X1530" s="3"/>
      <c r="Y1530" s="3"/>
    </row>
    <row r="1531" spans="24:25" x14ac:dyDescent="0.2">
      <c r="X1531" s="3"/>
      <c r="Y1531" s="3"/>
    </row>
    <row r="1532" spans="24:25" x14ac:dyDescent="0.2">
      <c r="X1532" s="3"/>
      <c r="Y1532" s="3"/>
    </row>
    <row r="1533" spans="24:25" x14ac:dyDescent="0.2">
      <c r="X1533" s="3"/>
      <c r="Y1533" s="3"/>
    </row>
    <row r="1534" spans="24:25" x14ac:dyDescent="0.2">
      <c r="X1534" s="3"/>
      <c r="Y1534" s="3"/>
    </row>
    <row r="1535" spans="24:25" x14ac:dyDescent="0.2">
      <c r="X1535" s="3"/>
      <c r="Y1535" s="3"/>
    </row>
    <row r="1536" spans="24:25" x14ac:dyDescent="0.2">
      <c r="X1536" s="3"/>
      <c r="Y1536" s="3"/>
    </row>
    <row r="1537" spans="24:25" x14ac:dyDescent="0.2">
      <c r="X1537" s="3"/>
      <c r="Y1537" s="3"/>
    </row>
    <row r="1538" spans="24:25" x14ac:dyDescent="0.2">
      <c r="X1538" s="3"/>
      <c r="Y1538" s="3"/>
    </row>
    <row r="1539" spans="24:25" x14ac:dyDescent="0.2">
      <c r="X1539" s="3"/>
      <c r="Y1539" s="3"/>
    </row>
    <row r="1540" spans="24:25" x14ac:dyDescent="0.2">
      <c r="X1540" s="3"/>
      <c r="Y1540" s="3"/>
    </row>
    <row r="1541" spans="24:25" x14ac:dyDescent="0.2">
      <c r="X1541" s="3"/>
      <c r="Y1541" s="3"/>
    </row>
    <row r="1542" spans="24:25" x14ac:dyDescent="0.2">
      <c r="X1542" s="3"/>
      <c r="Y1542" s="3"/>
    </row>
    <row r="1543" spans="24:25" x14ac:dyDescent="0.2">
      <c r="X1543" s="3"/>
      <c r="Y1543" s="3"/>
    </row>
    <row r="1544" spans="24:25" x14ac:dyDescent="0.2">
      <c r="X1544" s="3"/>
      <c r="Y1544" s="3"/>
    </row>
    <row r="1545" spans="24:25" x14ac:dyDescent="0.2">
      <c r="X1545" s="3"/>
      <c r="Y1545" s="3"/>
    </row>
    <row r="1546" spans="24:25" x14ac:dyDescent="0.2">
      <c r="X1546" s="3"/>
      <c r="Y1546" s="3"/>
    </row>
    <row r="1547" spans="24:25" x14ac:dyDescent="0.2">
      <c r="X1547" s="3"/>
      <c r="Y1547" s="3"/>
    </row>
    <row r="1548" spans="24:25" x14ac:dyDescent="0.2">
      <c r="X1548" s="3"/>
      <c r="Y1548" s="3"/>
    </row>
    <row r="1549" spans="24:25" x14ac:dyDescent="0.2">
      <c r="X1549" s="3"/>
      <c r="Y1549" s="3"/>
    </row>
    <row r="1550" spans="24:25" x14ac:dyDescent="0.2">
      <c r="X1550" s="3"/>
      <c r="Y1550" s="3"/>
    </row>
    <row r="1551" spans="24:25" x14ac:dyDescent="0.2">
      <c r="X1551" s="3"/>
      <c r="Y1551" s="3"/>
    </row>
    <row r="1552" spans="24:25" x14ac:dyDescent="0.2">
      <c r="X1552" s="3"/>
      <c r="Y1552" s="3"/>
    </row>
    <row r="1553" spans="24:25" x14ac:dyDescent="0.2">
      <c r="X1553" s="3"/>
      <c r="Y1553" s="3"/>
    </row>
    <row r="1554" spans="24:25" x14ac:dyDescent="0.2">
      <c r="X1554" s="3"/>
      <c r="Y1554" s="3"/>
    </row>
    <row r="1555" spans="24:25" x14ac:dyDescent="0.2">
      <c r="X1555" s="3"/>
      <c r="Y1555" s="3"/>
    </row>
    <row r="1556" spans="24:25" x14ac:dyDescent="0.2">
      <c r="X1556" s="3"/>
      <c r="Y1556" s="3"/>
    </row>
    <row r="1557" spans="24:25" x14ac:dyDescent="0.2">
      <c r="X1557" s="3"/>
      <c r="Y1557" s="3"/>
    </row>
    <row r="1558" spans="24:25" x14ac:dyDescent="0.2">
      <c r="X1558" s="3"/>
      <c r="Y1558" s="3"/>
    </row>
    <row r="1559" spans="24:25" x14ac:dyDescent="0.2">
      <c r="X1559" s="3"/>
      <c r="Y1559" s="3"/>
    </row>
    <row r="1560" spans="24:25" x14ac:dyDescent="0.2">
      <c r="X1560" s="3"/>
      <c r="Y1560" s="3"/>
    </row>
    <row r="1561" spans="24:25" x14ac:dyDescent="0.2">
      <c r="X1561" s="3"/>
      <c r="Y1561" s="3"/>
    </row>
    <row r="1562" spans="24:25" x14ac:dyDescent="0.2">
      <c r="X1562" s="3"/>
      <c r="Y1562" s="3"/>
    </row>
    <row r="1563" spans="24:25" x14ac:dyDescent="0.2">
      <c r="X1563" s="3"/>
      <c r="Y1563" s="3"/>
    </row>
    <row r="1564" spans="24:25" x14ac:dyDescent="0.2">
      <c r="X1564" s="3"/>
      <c r="Y1564" s="3"/>
    </row>
    <row r="1565" spans="24:25" x14ac:dyDescent="0.2">
      <c r="X1565" s="3"/>
      <c r="Y1565" s="3"/>
    </row>
    <row r="1566" spans="24:25" x14ac:dyDescent="0.2">
      <c r="X1566" s="3"/>
      <c r="Y1566" s="3"/>
    </row>
    <row r="1567" spans="24:25" x14ac:dyDescent="0.2">
      <c r="X1567" s="3"/>
      <c r="Y1567" s="3"/>
    </row>
    <row r="1568" spans="24:25" x14ac:dyDescent="0.2">
      <c r="X1568" s="3"/>
      <c r="Y1568" s="3"/>
    </row>
    <row r="1569" spans="24:25" x14ac:dyDescent="0.2">
      <c r="X1569" s="3"/>
      <c r="Y1569" s="3"/>
    </row>
    <row r="1570" spans="24:25" x14ac:dyDescent="0.2">
      <c r="X1570" s="3"/>
      <c r="Y1570" s="3"/>
    </row>
    <row r="1571" spans="24:25" x14ac:dyDescent="0.2">
      <c r="X1571" s="3"/>
      <c r="Y1571" s="3"/>
    </row>
    <row r="1572" spans="24:25" x14ac:dyDescent="0.2">
      <c r="X1572" s="3"/>
      <c r="Y1572" s="3"/>
    </row>
    <row r="1573" spans="24:25" x14ac:dyDescent="0.2">
      <c r="X1573" s="3"/>
      <c r="Y1573" s="3"/>
    </row>
    <row r="1574" spans="24:25" x14ac:dyDescent="0.2">
      <c r="X1574" s="3"/>
      <c r="Y1574" s="3"/>
    </row>
    <row r="1575" spans="24:25" x14ac:dyDescent="0.2">
      <c r="X1575" s="3"/>
      <c r="Y1575" s="3"/>
    </row>
    <row r="1576" spans="24:25" x14ac:dyDescent="0.2">
      <c r="X1576" s="3"/>
      <c r="Y1576" s="3"/>
    </row>
    <row r="1577" spans="24:25" x14ac:dyDescent="0.2">
      <c r="X1577" s="3"/>
      <c r="Y1577" s="3"/>
    </row>
    <row r="1578" spans="24:25" x14ac:dyDescent="0.2">
      <c r="X1578" s="3"/>
      <c r="Y1578" s="3"/>
    </row>
    <row r="1579" spans="24:25" x14ac:dyDescent="0.2">
      <c r="X1579" s="3"/>
      <c r="Y1579" s="3"/>
    </row>
    <row r="1580" spans="24:25" x14ac:dyDescent="0.2">
      <c r="X1580" s="3"/>
      <c r="Y1580" s="3"/>
    </row>
    <row r="1581" spans="24:25" x14ac:dyDescent="0.2">
      <c r="X1581" s="3"/>
      <c r="Y1581" s="3"/>
    </row>
    <row r="1582" spans="24:25" x14ac:dyDescent="0.2">
      <c r="X1582" s="3"/>
      <c r="Y1582" s="3"/>
    </row>
    <row r="1583" spans="24:25" x14ac:dyDescent="0.2">
      <c r="X1583" s="3"/>
      <c r="Y1583" s="3"/>
    </row>
    <row r="1584" spans="24:25" x14ac:dyDescent="0.2">
      <c r="X1584" s="3"/>
      <c r="Y1584" s="3"/>
    </row>
    <row r="1585" spans="24:25" x14ac:dyDescent="0.2">
      <c r="X1585" s="3"/>
      <c r="Y1585" s="3"/>
    </row>
    <row r="1586" spans="24:25" x14ac:dyDescent="0.2">
      <c r="X1586" s="3"/>
      <c r="Y1586" s="3"/>
    </row>
    <row r="1587" spans="24:25" x14ac:dyDescent="0.2">
      <c r="X1587" s="3"/>
      <c r="Y1587" s="3"/>
    </row>
    <row r="1588" spans="24:25" x14ac:dyDescent="0.2">
      <c r="X1588" s="3"/>
      <c r="Y1588" s="3"/>
    </row>
    <row r="1589" spans="24:25" x14ac:dyDescent="0.2">
      <c r="X1589" s="3"/>
      <c r="Y1589" s="3"/>
    </row>
    <row r="1590" spans="24:25" x14ac:dyDescent="0.2">
      <c r="X1590" s="3"/>
      <c r="Y1590" s="3"/>
    </row>
    <row r="1591" spans="24:25" x14ac:dyDescent="0.2">
      <c r="X1591" s="3"/>
      <c r="Y1591" s="3"/>
    </row>
    <row r="1592" spans="24:25" x14ac:dyDescent="0.2">
      <c r="X1592" s="3"/>
      <c r="Y1592" s="3"/>
    </row>
    <row r="1593" spans="24:25" x14ac:dyDescent="0.2">
      <c r="X1593" s="3"/>
      <c r="Y1593" s="3"/>
    </row>
    <row r="1594" spans="24:25" x14ac:dyDescent="0.2">
      <c r="X1594" s="3"/>
      <c r="Y1594" s="3"/>
    </row>
    <row r="1595" spans="24:25" x14ac:dyDescent="0.2">
      <c r="X1595" s="3"/>
      <c r="Y1595" s="3"/>
    </row>
    <row r="1596" spans="24:25" x14ac:dyDescent="0.2">
      <c r="X1596" s="3"/>
      <c r="Y1596" s="3"/>
    </row>
    <row r="1597" spans="24:25" x14ac:dyDescent="0.2">
      <c r="X1597" s="3"/>
      <c r="Y1597" s="3"/>
    </row>
    <row r="1598" spans="24:25" x14ac:dyDescent="0.2">
      <c r="X1598" s="3"/>
      <c r="Y1598" s="3"/>
    </row>
    <row r="1599" spans="24:25" x14ac:dyDescent="0.2">
      <c r="X1599" s="3"/>
      <c r="Y1599" s="3"/>
    </row>
    <row r="1600" spans="24:25" x14ac:dyDescent="0.2">
      <c r="X1600" s="3"/>
      <c r="Y1600" s="3"/>
    </row>
    <row r="1601" spans="24:25" x14ac:dyDescent="0.2">
      <c r="X1601" s="3"/>
      <c r="Y1601" s="3"/>
    </row>
    <row r="1602" spans="24:25" x14ac:dyDescent="0.2">
      <c r="X1602" s="3"/>
      <c r="Y1602" s="3"/>
    </row>
    <row r="1603" spans="24:25" x14ac:dyDescent="0.2">
      <c r="X1603" s="3"/>
      <c r="Y1603" s="3"/>
    </row>
    <row r="1604" spans="24:25" x14ac:dyDescent="0.2">
      <c r="X1604" s="3"/>
      <c r="Y1604" s="3"/>
    </row>
    <row r="1605" spans="24:25" x14ac:dyDescent="0.2">
      <c r="X1605" s="3"/>
      <c r="Y1605" s="3"/>
    </row>
    <row r="1606" spans="24:25" x14ac:dyDescent="0.2">
      <c r="X1606" s="3"/>
      <c r="Y1606" s="3"/>
    </row>
    <row r="1607" spans="24:25" x14ac:dyDescent="0.2">
      <c r="X1607" s="3"/>
      <c r="Y1607" s="3"/>
    </row>
    <row r="1608" spans="24:25" x14ac:dyDescent="0.2">
      <c r="X1608" s="3"/>
      <c r="Y1608" s="3"/>
    </row>
    <row r="1609" spans="24:25" x14ac:dyDescent="0.2">
      <c r="X1609" s="3"/>
      <c r="Y1609" s="3"/>
    </row>
    <row r="1610" spans="24:25" x14ac:dyDescent="0.2">
      <c r="X1610" s="3"/>
      <c r="Y1610" s="3"/>
    </row>
    <row r="1611" spans="24:25" x14ac:dyDescent="0.2">
      <c r="X1611" s="3"/>
      <c r="Y1611" s="3"/>
    </row>
    <row r="1612" spans="24:25" x14ac:dyDescent="0.2">
      <c r="X1612" s="3"/>
      <c r="Y1612" s="3"/>
    </row>
    <row r="1613" spans="24:25" x14ac:dyDescent="0.2">
      <c r="X1613" s="3"/>
      <c r="Y1613" s="3"/>
    </row>
    <row r="1614" spans="24:25" x14ac:dyDescent="0.2">
      <c r="X1614" s="3"/>
      <c r="Y1614" s="3"/>
    </row>
    <row r="1615" spans="24:25" x14ac:dyDescent="0.2">
      <c r="X1615" s="3"/>
      <c r="Y1615" s="3"/>
    </row>
    <row r="1616" spans="24:25" x14ac:dyDescent="0.2">
      <c r="X1616" s="3"/>
      <c r="Y1616" s="3"/>
    </row>
    <row r="1617" spans="24:25" x14ac:dyDescent="0.2">
      <c r="X1617" s="3"/>
      <c r="Y1617" s="3"/>
    </row>
    <row r="1618" spans="24:25" x14ac:dyDescent="0.2">
      <c r="X1618" s="3"/>
      <c r="Y1618" s="3"/>
    </row>
    <row r="1619" spans="24:25" x14ac:dyDescent="0.2">
      <c r="X1619" s="3"/>
      <c r="Y1619" s="3"/>
    </row>
    <row r="1620" spans="24:25" x14ac:dyDescent="0.2">
      <c r="X1620" s="3"/>
      <c r="Y1620" s="3"/>
    </row>
    <row r="1621" spans="24:25" x14ac:dyDescent="0.2">
      <c r="X1621" s="3"/>
      <c r="Y1621" s="3"/>
    </row>
    <row r="1622" spans="24:25" x14ac:dyDescent="0.2">
      <c r="X1622" s="3"/>
      <c r="Y1622" s="3"/>
    </row>
    <row r="1623" spans="24:25" x14ac:dyDescent="0.2">
      <c r="X1623" s="3"/>
      <c r="Y1623" s="3"/>
    </row>
    <row r="1624" spans="24:25" x14ac:dyDescent="0.2">
      <c r="X1624" s="3"/>
      <c r="Y1624" s="3"/>
    </row>
    <row r="1625" spans="24:25" x14ac:dyDescent="0.2">
      <c r="X1625" s="3"/>
      <c r="Y1625" s="3"/>
    </row>
    <row r="1626" spans="24:25" x14ac:dyDescent="0.2">
      <c r="X1626" s="3"/>
      <c r="Y1626" s="3"/>
    </row>
    <row r="1627" spans="24:25" x14ac:dyDescent="0.2">
      <c r="X1627" s="3"/>
      <c r="Y1627" s="3"/>
    </row>
    <row r="1628" spans="24:25" x14ac:dyDescent="0.2">
      <c r="X1628" s="3"/>
      <c r="Y1628" s="3"/>
    </row>
    <row r="1629" spans="24:25" x14ac:dyDescent="0.2">
      <c r="X1629" s="3"/>
      <c r="Y1629" s="3"/>
    </row>
    <row r="1630" spans="24:25" x14ac:dyDescent="0.2">
      <c r="X1630" s="3"/>
      <c r="Y1630" s="3"/>
    </row>
    <row r="1631" spans="24:25" x14ac:dyDescent="0.2">
      <c r="X1631" s="3"/>
      <c r="Y1631" s="3"/>
    </row>
    <row r="1632" spans="24:25" x14ac:dyDescent="0.2">
      <c r="X1632" s="3"/>
      <c r="Y1632" s="3"/>
    </row>
    <row r="1633" spans="24:25" x14ac:dyDescent="0.2">
      <c r="X1633" s="3"/>
      <c r="Y1633" s="3"/>
    </row>
    <row r="1634" spans="24:25" x14ac:dyDescent="0.2">
      <c r="X1634" s="3"/>
      <c r="Y1634" s="3"/>
    </row>
    <row r="1635" spans="24:25" x14ac:dyDescent="0.2">
      <c r="X1635" s="3"/>
      <c r="Y1635" s="3"/>
    </row>
    <row r="1636" spans="24:25" x14ac:dyDescent="0.2">
      <c r="X1636" s="3"/>
      <c r="Y1636" s="3"/>
    </row>
    <row r="1637" spans="24:25" x14ac:dyDescent="0.2">
      <c r="X1637" s="3"/>
      <c r="Y1637" s="3"/>
    </row>
    <row r="1638" spans="24:25" x14ac:dyDescent="0.2">
      <c r="X1638" s="3"/>
      <c r="Y1638" s="3"/>
    </row>
    <row r="1639" spans="24:25" x14ac:dyDescent="0.2">
      <c r="X1639" s="3"/>
      <c r="Y1639" s="3"/>
    </row>
    <row r="1640" spans="24:25" x14ac:dyDescent="0.2">
      <c r="X1640" s="3"/>
      <c r="Y1640" s="3"/>
    </row>
    <row r="1641" spans="24:25" x14ac:dyDescent="0.2">
      <c r="X1641" s="3"/>
      <c r="Y1641" s="3"/>
    </row>
    <row r="1642" spans="24:25" x14ac:dyDescent="0.2">
      <c r="X1642" s="3"/>
      <c r="Y1642" s="3"/>
    </row>
    <row r="1643" spans="24:25" x14ac:dyDescent="0.2">
      <c r="X1643" s="3"/>
      <c r="Y1643" s="3"/>
    </row>
    <row r="1644" spans="24:25" x14ac:dyDescent="0.2">
      <c r="X1644" s="3"/>
      <c r="Y1644" s="3"/>
    </row>
    <row r="1645" spans="24:25" x14ac:dyDescent="0.2">
      <c r="X1645" s="3"/>
      <c r="Y1645" s="3"/>
    </row>
    <row r="1646" spans="24:25" x14ac:dyDescent="0.2">
      <c r="X1646" s="3"/>
      <c r="Y1646" s="3"/>
    </row>
    <row r="1647" spans="24:25" x14ac:dyDescent="0.2">
      <c r="X1647" s="3"/>
      <c r="Y1647" s="3"/>
    </row>
    <row r="1648" spans="24:25" x14ac:dyDescent="0.2">
      <c r="X1648" s="3"/>
      <c r="Y1648" s="3"/>
    </row>
    <row r="1649" spans="24:25" x14ac:dyDescent="0.2">
      <c r="X1649" s="3"/>
      <c r="Y1649" s="3"/>
    </row>
    <row r="1650" spans="24:25" x14ac:dyDescent="0.2">
      <c r="X1650" s="3"/>
      <c r="Y1650" s="3"/>
    </row>
    <row r="1651" spans="24:25" x14ac:dyDescent="0.2">
      <c r="X1651" s="3"/>
      <c r="Y1651" s="3"/>
    </row>
    <row r="1652" spans="24:25" x14ac:dyDescent="0.2">
      <c r="X1652" s="3"/>
      <c r="Y1652" s="3"/>
    </row>
    <row r="1653" spans="24:25" x14ac:dyDescent="0.2">
      <c r="X1653" s="3"/>
      <c r="Y1653" s="3"/>
    </row>
    <row r="1654" spans="24:25" x14ac:dyDescent="0.2">
      <c r="X1654" s="3"/>
      <c r="Y1654" s="3"/>
    </row>
    <row r="1655" spans="24:25" x14ac:dyDescent="0.2">
      <c r="X1655" s="3"/>
      <c r="Y1655" s="3"/>
    </row>
    <row r="1656" spans="24:25" x14ac:dyDescent="0.2">
      <c r="X1656" s="3"/>
      <c r="Y1656" s="3"/>
    </row>
    <row r="1657" spans="24:25" x14ac:dyDescent="0.2">
      <c r="X1657" s="3"/>
      <c r="Y1657" s="3"/>
    </row>
    <row r="1658" spans="24:25" x14ac:dyDescent="0.2">
      <c r="X1658" s="3"/>
      <c r="Y1658" s="3"/>
    </row>
    <row r="1659" spans="24:25" x14ac:dyDescent="0.2">
      <c r="X1659" s="3"/>
      <c r="Y1659" s="3"/>
    </row>
    <row r="1660" spans="24:25" x14ac:dyDescent="0.2">
      <c r="X1660" s="3"/>
      <c r="Y1660" s="3"/>
    </row>
    <row r="1661" spans="24:25" x14ac:dyDescent="0.2">
      <c r="X1661" s="3"/>
      <c r="Y1661" s="3"/>
    </row>
    <row r="1662" spans="24:25" x14ac:dyDescent="0.2">
      <c r="X1662" s="3"/>
      <c r="Y1662" s="3"/>
    </row>
    <row r="1663" spans="24:25" x14ac:dyDescent="0.2">
      <c r="X1663" s="3"/>
      <c r="Y1663" s="3"/>
    </row>
    <row r="1664" spans="24:25" x14ac:dyDescent="0.2">
      <c r="X1664" s="3"/>
      <c r="Y1664" s="3"/>
    </row>
    <row r="1665" spans="24:25" x14ac:dyDescent="0.2">
      <c r="X1665" s="3"/>
      <c r="Y1665" s="3"/>
    </row>
    <row r="1666" spans="24:25" x14ac:dyDescent="0.2">
      <c r="X1666" s="3"/>
      <c r="Y1666" s="3"/>
    </row>
    <row r="1667" spans="24:25" x14ac:dyDescent="0.2">
      <c r="X1667" s="3"/>
      <c r="Y1667" s="3"/>
    </row>
    <row r="1668" spans="24:25" x14ac:dyDescent="0.2">
      <c r="X1668" s="3"/>
      <c r="Y1668" s="3"/>
    </row>
    <row r="1669" spans="24:25" x14ac:dyDescent="0.2">
      <c r="X1669" s="3"/>
      <c r="Y1669" s="3"/>
    </row>
    <row r="1670" spans="24:25" x14ac:dyDescent="0.2">
      <c r="X1670" s="3"/>
      <c r="Y1670" s="3"/>
    </row>
    <row r="1671" spans="24:25" x14ac:dyDescent="0.2">
      <c r="X1671" s="3"/>
      <c r="Y1671" s="3"/>
    </row>
    <row r="1672" spans="24:25" x14ac:dyDescent="0.2">
      <c r="X1672" s="3"/>
      <c r="Y1672" s="3"/>
    </row>
    <row r="1673" spans="24:25" x14ac:dyDescent="0.2">
      <c r="X1673" s="3"/>
      <c r="Y1673" s="3"/>
    </row>
    <row r="1674" spans="24:25" x14ac:dyDescent="0.2">
      <c r="X1674" s="3"/>
      <c r="Y1674" s="3"/>
    </row>
    <row r="1675" spans="24:25" x14ac:dyDescent="0.2">
      <c r="X1675" s="3"/>
      <c r="Y1675" s="3"/>
    </row>
    <row r="1676" spans="24:25" x14ac:dyDescent="0.2">
      <c r="X1676" s="3"/>
      <c r="Y1676" s="3"/>
    </row>
    <row r="1677" spans="24:25" x14ac:dyDescent="0.2">
      <c r="X1677" s="3"/>
      <c r="Y1677" s="3"/>
    </row>
    <row r="1678" spans="24:25" x14ac:dyDescent="0.2">
      <c r="X1678" s="3"/>
      <c r="Y1678" s="3"/>
    </row>
    <row r="1679" spans="24:25" x14ac:dyDescent="0.2">
      <c r="X1679" s="3"/>
      <c r="Y1679" s="3"/>
    </row>
    <row r="1680" spans="24:25" x14ac:dyDescent="0.2">
      <c r="X1680" s="3"/>
      <c r="Y1680" s="3"/>
    </row>
    <row r="1681" spans="24:25" x14ac:dyDescent="0.2">
      <c r="X1681" s="3"/>
      <c r="Y1681" s="3"/>
    </row>
    <row r="1682" spans="24:25" x14ac:dyDescent="0.2">
      <c r="X1682" s="3"/>
      <c r="Y1682" s="3"/>
    </row>
    <row r="1683" spans="24:25" x14ac:dyDescent="0.2">
      <c r="X1683" s="3"/>
      <c r="Y1683" s="3"/>
    </row>
    <row r="1684" spans="24:25" x14ac:dyDescent="0.2">
      <c r="X1684" s="3"/>
      <c r="Y1684" s="3"/>
    </row>
    <row r="1685" spans="24:25" x14ac:dyDescent="0.2">
      <c r="X1685" s="3"/>
      <c r="Y1685" s="3"/>
    </row>
    <row r="1686" spans="24:25" x14ac:dyDescent="0.2">
      <c r="X1686" s="3"/>
      <c r="Y1686" s="3"/>
    </row>
    <row r="1687" spans="24:25" x14ac:dyDescent="0.2">
      <c r="X1687" s="3"/>
      <c r="Y1687" s="3"/>
    </row>
    <row r="1688" spans="24:25" x14ac:dyDescent="0.2">
      <c r="X1688" s="3"/>
      <c r="Y1688" s="3"/>
    </row>
    <row r="1689" spans="24:25" x14ac:dyDescent="0.2">
      <c r="X1689" s="3"/>
      <c r="Y1689" s="3"/>
    </row>
    <row r="1690" spans="24:25" x14ac:dyDescent="0.2">
      <c r="X1690" s="3"/>
      <c r="Y1690" s="3"/>
    </row>
    <row r="1691" spans="24:25" x14ac:dyDescent="0.2">
      <c r="X1691" s="3"/>
      <c r="Y1691" s="3"/>
    </row>
    <row r="1692" spans="24:25" x14ac:dyDescent="0.2">
      <c r="X1692" s="3"/>
      <c r="Y1692" s="3"/>
    </row>
    <row r="1693" spans="24:25" x14ac:dyDescent="0.2">
      <c r="X1693" s="3"/>
      <c r="Y1693" s="3"/>
    </row>
    <row r="1694" spans="24:25" x14ac:dyDescent="0.2">
      <c r="X1694" s="3"/>
      <c r="Y1694" s="3"/>
    </row>
    <row r="1695" spans="24:25" x14ac:dyDescent="0.2">
      <c r="X1695" s="3"/>
      <c r="Y1695" s="3"/>
    </row>
    <row r="1696" spans="24:25" x14ac:dyDescent="0.2">
      <c r="X1696" s="3"/>
      <c r="Y1696" s="3"/>
    </row>
    <row r="1697" spans="24:25" x14ac:dyDescent="0.2">
      <c r="X1697" s="3"/>
      <c r="Y1697" s="3"/>
    </row>
    <row r="1698" spans="24:25" x14ac:dyDescent="0.2">
      <c r="X1698" s="3"/>
      <c r="Y1698" s="3"/>
    </row>
    <row r="1699" spans="24:25" x14ac:dyDescent="0.2">
      <c r="X1699" s="3"/>
      <c r="Y1699" s="3"/>
    </row>
    <row r="1700" spans="24:25" x14ac:dyDescent="0.2">
      <c r="X1700" s="3"/>
      <c r="Y1700" s="3"/>
    </row>
    <row r="1701" spans="24:25" x14ac:dyDescent="0.2">
      <c r="X1701" s="3"/>
      <c r="Y1701" s="3"/>
    </row>
    <row r="1702" spans="24:25" x14ac:dyDescent="0.2">
      <c r="X1702" s="3"/>
      <c r="Y1702" s="3"/>
    </row>
    <row r="1703" spans="24:25" x14ac:dyDescent="0.2">
      <c r="X1703" s="3"/>
      <c r="Y1703" s="3"/>
    </row>
    <row r="1704" spans="24:25" x14ac:dyDescent="0.2">
      <c r="X1704" s="3"/>
      <c r="Y1704" s="3"/>
    </row>
    <row r="1705" spans="24:25" x14ac:dyDescent="0.2">
      <c r="X1705" s="3"/>
      <c r="Y1705" s="3"/>
    </row>
    <row r="1706" spans="24:25" x14ac:dyDescent="0.2">
      <c r="X1706" s="3"/>
      <c r="Y1706" s="3"/>
    </row>
    <row r="1707" spans="24:25" x14ac:dyDescent="0.2">
      <c r="X1707" s="3"/>
      <c r="Y1707" s="3"/>
    </row>
    <row r="1708" spans="24:25" x14ac:dyDescent="0.2">
      <c r="X1708" s="3"/>
      <c r="Y1708" s="3"/>
    </row>
    <row r="1709" spans="24:25" x14ac:dyDescent="0.2">
      <c r="X1709" s="3"/>
      <c r="Y1709" s="3"/>
    </row>
    <row r="1710" spans="24:25" x14ac:dyDescent="0.2">
      <c r="X1710" s="3"/>
      <c r="Y1710" s="3"/>
    </row>
    <row r="1711" spans="24:25" x14ac:dyDescent="0.2">
      <c r="X1711" s="3"/>
      <c r="Y1711" s="3"/>
    </row>
    <row r="1712" spans="24:25" x14ac:dyDescent="0.2">
      <c r="X1712" s="3"/>
      <c r="Y1712" s="3"/>
    </row>
    <row r="1713" spans="24:25" x14ac:dyDescent="0.2">
      <c r="X1713" s="3"/>
      <c r="Y1713" s="3"/>
    </row>
    <row r="1714" spans="24:25" x14ac:dyDescent="0.2">
      <c r="X1714" s="3"/>
      <c r="Y1714" s="3"/>
    </row>
    <row r="1715" spans="24:25" x14ac:dyDescent="0.2">
      <c r="X1715" s="3"/>
      <c r="Y1715" s="3"/>
    </row>
    <row r="1716" spans="24:25" x14ac:dyDescent="0.2">
      <c r="X1716" s="3"/>
      <c r="Y1716" s="3"/>
    </row>
    <row r="1717" spans="24:25" x14ac:dyDescent="0.2">
      <c r="X1717" s="3"/>
      <c r="Y1717" s="3"/>
    </row>
    <row r="1718" spans="24:25" x14ac:dyDescent="0.2">
      <c r="X1718" s="3"/>
      <c r="Y1718" s="3"/>
    </row>
    <row r="1719" spans="24:25" x14ac:dyDescent="0.2">
      <c r="X1719" s="3"/>
      <c r="Y1719" s="3"/>
    </row>
    <row r="1720" spans="24:25" x14ac:dyDescent="0.2">
      <c r="X1720" s="3"/>
      <c r="Y1720" s="3"/>
    </row>
    <row r="1721" spans="24:25" x14ac:dyDescent="0.2">
      <c r="X1721" s="3"/>
      <c r="Y1721" s="3"/>
    </row>
    <row r="1722" spans="24:25" x14ac:dyDescent="0.2">
      <c r="X1722" s="3"/>
      <c r="Y1722" s="3"/>
    </row>
    <row r="1723" spans="24:25" x14ac:dyDescent="0.2">
      <c r="X1723" s="3"/>
      <c r="Y1723" s="3"/>
    </row>
    <row r="1724" spans="24:25" x14ac:dyDescent="0.2">
      <c r="X1724" s="3"/>
      <c r="Y1724" s="3"/>
    </row>
    <row r="1725" spans="24:25" x14ac:dyDescent="0.2">
      <c r="X1725" s="3"/>
      <c r="Y1725" s="3"/>
    </row>
    <row r="1726" spans="24:25" x14ac:dyDescent="0.2">
      <c r="X1726" s="3"/>
      <c r="Y1726" s="3"/>
    </row>
    <row r="1727" spans="24:25" x14ac:dyDescent="0.2">
      <c r="X1727" s="3"/>
      <c r="Y1727" s="3"/>
    </row>
    <row r="1728" spans="24:25" x14ac:dyDescent="0.2">
      <c r="X1728" s="3"/>
      <c r="Y1728" s="3"/>
    </row>
    <row r="1729" spans="24:25" x14ac:dyDescent="0.2">
      <c r="X1729" s="3"/>
      <c r="Y1729" s="3"/>
    </row>
    <row r="1730" spans="24:25" x14ac:dyDescent="0.2">
      <c r="X1730" s="3"/>
      <c r="Y1730" s="3"/>
    </row>
    <row r="1731" spans="24:25" x14ac:dyDescent="0.2">
      <c r="X1731" s="3"/>
      <c r="Y1731" s="3"/>
    </row>
    <row r="1732" spans="24:25" x14ac:dyDescent="0.2">
      <c r="X1732" s="3"/>
      <c r="Y1732" s="3"/>
    </row>
    <row r="1733" spans="24:25" x14ac:dyDescent="0.2">
      <c r="X1733" s="3"/>
      <c r="Y1733" s="3"/>
    </row>
    <row r="1734" spans="24:25" x14ac:dyDescent="0.2">
      <c r="X1734" s="3"/>
      <c r="Y1734" s="3"/>
    </row>
    <row r="1735" spans="24:25" x14ac:dyDescent="0.2">
      <c r="X1735" s="3"/>
      <c r="Y1735" s="3"/>
    </row>
    <row r="1736" spans="24:25" x14ac:dyDescent="0.2">
      <c r="X1736" s="3"/>
      <c r="Y1736" s="3"/>
    </row>
    <row r="1737" spans="24:25" x14ac:dyDescent="0.2">
      <c r="X1737" s="3"/>
      <c r="Y1737" s="3"/>
    </row>
    <row r="1738" spans="24:25" x14ac:dyDescent="0.2">
      <c r="X1738" s="3"/>
      <c r="Y1738" s="3"/>
    </row>
    <row r="1739" spans="24:25" x14ac:dyDescent="0.2">
      <c r="X1739" s="3"/>
      <c r="Y1739" s="3"/>
    </row>
    <row r="1740" spans="24:25" x14ac:dyDescent="0.2">
      <c r="X1740" s="3"/>
      <c r="Y1740" s="3"/>
    </row>
    <row r="1741" spans="24:25" x14ac:dyDescent="0.2">
      <c r="X1741" s="3"/>
      <c r="Y1741" s="3"/>
    </row>
    <row r="1742" spans="24:25" x14ac:dyDescent="0.2">
      <c r="X1742" s="3"/>
      <c r="Y1742" s="3"/>
    </row>
    <row r="1743" spans="24:25" x14ac:dyDescent="0.2">
      <c r="X1743" s="3"/>
      <c r="Y1743" s="3"/>
    </row>
    <row r="1744" spans="24:25" x14ac:dyDescent="0.2">
      <c r="X1744" s="3"/>
      <c r="Y1744" s="3"/>
    </row>
    <row r="1745" spans="24:25" x14ac:dyDescent="0.2">
      <c r="X1745" s="3"/>
      <c r="Y1745" s="3"/>
    </row>
    <row r="1746" spans="24:25" x14ac:dyDescent="0.2">
      <c r="X1746" s="3"/>
      <c r="Y1746" s="3"/>
    </row>
    <row r="1747" spans="24:25" x14ac:dyDescent="0.2">
      <c r="X1747" s="3"/>
      <c r="Y1747" s="3"/>
    </row>
    <row r="1748" spans="24:25" x14ac:dyDescent="0.2">
      <c r="X1748" s="3"/>
      <c r="Y1748" s="3"/>
    </row>
    <row r="1749" spans="24:25" x14ac:dyDescent="0.2">
      <c r="X1749" s="3"/>
      <c r="Y1749" s="3"/>
    </row>
    <row r="1750" spans="24:25" x14ac:dyDescent="0.2">
      <c r="X1750" s="3"/>
      <c r="Y1750" s="3"/>
    </row>
    <row r="1751" spans="24:25" x14ac:dyDescent="0.2">
      <c r="X1751" s="3"/>
      <c r="Y1751" s="3"/>
    </row>
    <row r="1752" spans="24:25" x14ac:dyDescent="0.2">
      <c r="X1752" s="3"/>
      <c r="Y1752" s="3"/>
    </row>
    <row r="1753" spans="24:25" x14ac:dyDescent="0.2">
      <c r="X1753" s="3"/>
      <c r="Y1753" s="3"/>
    </row>
    <row r="1754" spans="24:25" x14ac:dyDescent="0.2">
      <c r="X1754" s="3"/>
      <c r="Y1754" s="3"/>
    </row>
    <row r="1755" spans="24:25" x14ac:dyDescent="0.2">
      <c r="X1755" s="3"/>
      <c r="Y1755" s="3"/>
    </row>
    <row r="1756" spans="24:25" x14ac:dyDescent="0.2">
      <c r="X1756" s="3"/>
      <c r="Y1756" s="3"/>
    </row>
    <row r="1757" spans="24:25" x14ac:dyDescent="0.2">
      <c r="X1757" s="3"/>
      <c r="Y1757" s="3"/>
    </row>
    <row r="1758" spans="24:25" x14ac:dyDescent="0.2">
      <c r="X1758" s="3"/>
      <c r="Y1758" s="3"/>
    </row>
    <row r="1759" spans="24:25" x14ac:dyDescent="0.2">
      <c r="X1759" s="3"/>
      <c r="Y1759" s="3"/>
    </row>
    <row r="1760" spans="24:25" x14ac:dyDescent="0.2">
      <c r="X1760" s="3"/>
      <c r="Y1760" s="3"/>
    </row>
    <row r="1761" spans="24:25" x14ac:dyDescent="0.2">
      <c r="X1761" s="3"/>
      <c r="Y1761" s="3"/>
    </row>
    <row r="1762" spans="24:25" x14ac:dyDescent="0.2">
      <c r="X1762" s="3"/>
      <c r="Y1762" s="3"/>
    </row>
    <row r="1763" spans="24:25" x14ac:dyDescent="0.2">
      <c r="X1763" s="3"/>
      <c r="Y1763" s="3"/>
    </row>
    <row r="1764" spans="24:25" x14ac:dyDescent="0.2">
      <c r="X1764" s="3"/>
      <c r="Y1764" s="3"/>
    </row>
    <row r="1765" spans="24:25" x14ac:dyDescent="0.2">
      <c r="X1765" s="3"/>
      <c r="Y1765" s="3"/>
    </row>
    <row r="1766" spans="24:25" x14ac:dyDescent="0.2">
      <c r="X1766" s="3"/>
      <c r="Y1766" s="3"/>
    </row>
    <row r="1767" spans="24:25" x14ac:dyDescent="0.2">
      <c r="X1767" s="3"/>
      <c r="Y1767" s="3"/>
    </row>
    <row r="1768" spans="24:25" x14ac:dyDescent="0.2">
      <c r="X1768" s="3"/>
      <c r="Y1768" s="3"/>
    </row>
    <row r="1769" spans="24:25" x14ac:dyDescent="0.2">
      <c r="X1769" s="3"/>
      <c r="Y1769" s="3"/>
    </row>
    <row r="1770" spans="24:25" x14ac:dyDescent="0.2">
      <c r="X1770" s="3"/>
      <c r="Y1770" s="3"/>
    </row>
    <row r="1771" spans="24:25" x14ac:dyDescent="0.2">
      <c r="X1771" s="3"/>
      <c r="Y1771" s="3"/>
    </row>
    <row r="1772" spans="24:25" x14ac:dyDescent="0.2">
      <c r="X1772" s="3"/>
      <c r="Y1772" s="3"/>
    </row>
    <row r="1773" spans="24:25" x14ac:dyDescent="0.2">
      <c r="X1773" s="3"/>
      <c r="Y1773" s="3"/>
    </row>
    <row r="1774" spans="24:25" x14ac:dyDescent="0.2">
      <c r="X1774" s="3"/>
      <c r="Y1774" s="3"/>
    </row>
    <row r="1775" spans="24:25" x14ac:dyDescent="0.2">
      <c r="X1775" s="3"/>
      <c r="Y1775" s="3"/>
    </row>
    <row r="1776" spans="24:25" x14ac:dyDescent="0.2">
      <c r="X1776" s="3"/>
      <c r="Y1776" s="3"/>
    </row>
    <row r="1777" spans="24:25" x14ac:dyDescent="0.2">
      <c r="X1777" s="3"/>
      <c r="Y1777" s="3"/>
    </row>
    <row r="1778" spans="24:25" x14ac:dyDescent="0.2">
      <c r="X1778" s="3"/>
      <c r="Y1778" s="3"/>
    </row>
    <row r="1779" spans="24:25" x14ac:dyDescent="0.2">
      <c r="X1779" s="3"/>
      <c r="Y1779" s="3"/>
    </row>
    <row r="1780" spans="24:25" x14ac:dyDescent="0.2">
      <c r="X1780" s="3"/>
      <c r="Y1780" s="3"/>
    </row>
    <row r="1781" spans="24:25" x14ac:dyDescent="0.2">
      <c r="X1781" s="3"/>
      <c r="Y1781" s="3"/>
    </row>
    <row r="1782" spans="24:25" x14ac:dyDescent="0.2">
      <c r="X1782" s="3"/>
      <c r="Y1782" s="3"/>
    </row>
    <row r="1783" spans="24:25" x14ac:dyDescent="0.2">
      <c r="X1783" s="3"/>
      <c r="Y1783" s="3"/>
    </row>
    <row r="1784" spans="24:25" x14ac:dyDescent="0.2">
      <c r="X1784" s="3"/>
      <c r="Y1784" s="3"/>
    </row>
    <row r="1785" spans="24:25" x14ac:dyDescent="0.2">
      <c r="X1785" s="3"/>
      <c r="Y1785" s="3"/>
    </row>
    <row r="1786" spans="24:25" x14ac:dyDescent="0.2">
      <c r="X1786" s="3"/>
      <c r="Y1786" s="3"/>
    </row>
    <row r="1787" spans="24:25" x14ac:dyDescent="0.2">
      <c r="X1787" s="3"/>
      <c r="Y1787" s="3"/>
    </row>
    <row r="1788" spans="24:25" x14ac:dyDescent="0.2">
      <c r="X1788" s="3"/>
      <c r="Y1788" s="3"/>
    </row>
    <row r="1789" spans="24:25" x14ac:dyDescent="0.2">
      <c r="X1789" s="3"/>
      <c r="Y1789" s="3"/>
    </row>
    <row r="1790" spans="24:25" x14ac:dyDescent="0.2">
      <c r="X1790" s="3"/>
      <c r="Y1790" s="3"/>
    </row>
    <row r="1791" spans="24:25" x14ac:dyDescent="0.2">
      <c r="X1791" s="3"/>
      <c r="Y1791" s="3"/>
    </row>
    <row r="1792" spans="24:25" x14ac:dyDescent="0.2">
      <c r="X1792" s="3"/>
      <c r="Y1792" s="3"/>
    </row>
    <row r="1793" spans="24:25" x14ac:dyDescent="0.2">
      <c r="X1793" s="3"/>
      <c r="Y1793" s="3"/>
    </row>
    <row r="1794" spans="24:25" x14ac:dyDescent="0.2">
      <c r="X1794" s="3"/>
      <c r="Y1794" s="3"/>
    </row>
    <row r="1795" spans="24:25" x14ac:dyDescent="0.2">
      <c r="X1795" s="3"/>
      <c r="Y1795" s="3"/>
    </row>
    <row r="1796" spans="24:25" x14ac:dyDescent="0.2">
      <c r="X1796" s="3"/>
      <c r="Y1796" s="3"/>
    </row>
    <row r="1797" spans="24:25" x14ac:dyDescent="0.2">
      <c r="X1797" s="3"/>
      <c r="Y1797" s="3"/>
    </row>
    <row r="1798" spans="24:25" x14ac:dyDescent="0.2">
      <c r="X1798" s="3"/>
      <c r="Y1798" s="3"/>
    </row>
    <row r="1799" spans="24:25" x14ac:dyDescent="0.2">
      <c r="X1799" s="3"/>
      <c r="Y1799" s="3"/>
    </row>
    <row r="1800" spans="24:25" x14ac:dyDescent="0.2">
      <c r="X1800" s="3"/>
      <c r="Y1800" s="3"/>
    </row>
    <row r="1801" spans="24:25" x14ac:dyDescent="0.2">
      <c r="X1801" s="3"/>
      <c r="Y1801" s="3"/>
    </row>
    <row r="1802" spans="24:25" x14ac:dyDescent="0.2">
      <c r="X1802" s="3"/>
      <c r="Y1802" s="3"/>
    </row>
    <row r="1803" spans="24:25" x14ac:dyDescent="0.2">
      <c r="X1803" s="3"/>
      <c r="Y1803" s="3"/>
    </row>
    <row r="1804" spans="24:25" x14ac:dyDescent="0.2">
      <c r="X1804" s="3"/>
      <c r="Y1804" s="3"/>
    </row>
    <row r="1805" spans="24:25" x14ac:dyDescent="0.2">
      <c r="X1805" s="3"/>
      <c r="Y1805" s="3"/>
    </row>
    <row r="1806" spans="24:25" x14ac:dyDescent="0.2">
      <c r="X1806" s="3"/>
      <c r="Y1806" s="3"/>
    </row>
    <row r="1807" spans="24:25" x14ac:dyDescent="0.2">
      <c r="X1807" s="3"/>
      <c r="Y1807" s="3"/>
    </row>
    <row r="1808" spans="24:25" x14ac:dyDescent="0.2">
      <c r="X1808" s="3"/>
      <c r="Y1808" s="3"/>
    </row>
    <row r="1809" spans="24:25" x14ac:dyDescent="0.2">
      <c r="X1809" s="3"/>
      <c r="Y1809" s="3"/>
    </row>
    <row r="1810" spans="24:25" x14ac:dyDescent="0.2">
      <c r="X1810" s="3"/>
      <c r="Y1810" s="3"/>
    </row>
    <row r="1811" spans="24:25" x14ac:dyDescent="0.2">
      <c r="X1811" s="3"/>
      <c r="Y1811" s="3"/>
    </row>
    <row r="1812" spans="24:25" x14ac:dyDescent="0.2">
      <c r="X1812" s="3"/>
      <c r="Y1812" s="3"/>
    </row>
    <row r="1813" spans="24:25" x14ac:dyDescent="0.2">
      <c r="X1813" s="3"/>
      <c r="Y1813" s="3"/>
    </row>
    <row r="1814" spans="24:25" x14ac:dyDescent="0.2">
      <c r="X1814" s="3"/>
      <c r="Y1814" s="3"/>
    </row>
    <row r="1815" spans="24:25" x14ac:dyDescent="0.2">
      <c r="X1815" s="3"/>
      <c r="Y1815" s="3"/>
    </row>
    <row r="1816" spans="24:25" x14ac:dyDescent="0.2">
      <c r="X1816" s="3"/>
      <c r="Y1816" s="3"/>
    </row>
    <row r="1817" spans="24:25" x14ac:dyDescent="0.2">
      <c r="X1817" s="3"/>
      <c r="Y1817" s="3"/>
    </row>
    <row r="1818" spans="24:25" x14ac:dyDescent="0.2">
      <c r="X1818" s="3"/>
      <c r="Y1818" s="3"/>
    </row>
    <row r="1819" spans="24:25" x14ac:dyDescent="0.2">
      <c r="X1819" s="3"/>
      <c r="Y1819" s="3"/>
    </row>
    <row r="1820" spans="24:25" x14ac:dyDescent="0.2">
      <c r="X1820" s="3"/>
      <c r="Y1820" s="3"/>
    </row>
    <row r="1821" spans="24:25" x14ac:dyDescent="0.2">
      <c r="X1821" s="3"/>
      <c r="Y1821" s="3"/>
    </row>
    <row r="1822" spans="24:25" x14ac:dyDescent="0.2">
      <c r="X1822" s="3"/>
      <c r="Y1822" s="3"/>
    </row>
    <row r="1823" spans="24:25" x14ac:dyDescent="0.2">
      <c r="X1823" s="3"/>
      <c r="Y1823" s="3"/>
    </row>
    <row r="1824" spans="24:25" x14ac:dyDescent="0.2">
      <c r="X1824" s="3"/>
      <c r="Y1824" s="3"/>
    </row>
    <row r="1825" spans="24:25" x14ac:dyDescent="0.2">
      <c r="X1825" s="3"/>
      <c r="Y1825" s="3"/>
    </row>
    <row r="1826" spans="24:25" x14ac:dyDescent="0.2">
      <c r="X1826" s="3"/>
      <c r="Y1826" s="3"/>
    </row>
    <row r="1827" spans="24:25" x14ac:dyDescent="0.2">
      <c r="X1827" s="3"/>
      <c r="Y1827" s="3"/>
    </row>
    <row r="1828" spans="24:25" x14ac:dyDescent="0.2">
      <c r="X1828" s="3"/>
      <c r="Y1828" s="3"/>
    </row>
    <row r="1829" spans="24:25" x14ac:dyDescent="0.2">
      <c r="X1829" s="3"/>
      <c r="Y1829" s="3"/>
    </row>
    <row r="1830" spans="24:25" x14ac:dyDescent="0.2">
      <c r="X1830" s="3"/>
      <c r="Y1830" s="3"/>
    </row>
    <row r="1831" spans="24:25" x14ac:dyDescent="0.2">
      <c r="X1831" s="3"/>
      <c r="Y1831" s="3"/>
    </row>
    <row r="1832" spans="24:25" x14ac:dyDescent="0.2">
      <c r="X1832" s="3"/>
      <c r="Y1832" s="3"/>
    </row>
    <row r="1833" spans="24:25" x14ac:dyDescent="0.2">
      <c r="X1833" s="3"/>
      <c r="Y1833" s="3"/>
    </row>
    <row r="1834" spans="24:25" x14ac:dyDescent="0.2">
      <c r="X1834" s="3"/>
      <c r="Y1834" s="3"/>
    </row>
    <row r="1835" spans="24:25" x14ac:dyDescent="0.2">
      <c r="X1835" s="3"/>
      <c r="Y1835" s="3"/>
    </row>
    <row r="1836" spans="24:25" x14ac:dyDescent="0.2">
      <c r="X1836" s="3"/>
      <c r="Y1836" s="3"/>
    </row>
    <row r="1837" spans="24:25" x14ac:dyDescent="0.2">
      <c r="X1837" s="3"/>
      <c r="Y1837" s="3"/>
    </row>
    <row r="1838" spans="24:25" x14ac:dyDescent="0.2">
      <c r="X1838" s="3"/>
      <c r="Y1838" s="3"/>
    </row>
    <row r="1839" spans="24:25" x14ac:dyDescent="0.2">
      <c r="X1839" s="3"/>
      <c r="Y1839" s="3"/>
    </row>
    <row r="1840" spans="24:25" x14ac:dyDescent="0.2">
      <c r="X1840" s="3"/>
      <c r="Y1840" s="3"/>
    </row>
    <row r="1841" spans="24:25" x14ac:dyDescent="0.2">
      <c r="X1841" s="3"/>
      <c r="Y1841" s="3"/>
    </row>
    <row r="1842" spans="24:25" x14ac:dyDescent="0.2">
      <c r="X1842" s="3"/>
      <c r="Y1842" s="3"/>
    </row>
    <row r="1843" spans="24:25" x14ac:dyDescent="0.2">
      <c r="X1843" s="3"/>
      <c r="Y1843" s="3"/>
    </row>
    <row r="1844" spans="24:25" x14ac:dyDescent="0.2">
      <c r="X1844" s="3"/>
      <c r="Y1844" s="3"/>
    </row>
    <row r="1845" spans="24:25" x14ac:dyDescent="0.2">
      <c r="X1845" s="3"/>
      <c r="Y1845" s="3"/>
    </row>
    <row r="1846" spans="24:25" x14ac:dyDescent="0.2">
      <c r="X1846" s="3"/>
      <c r="Y1846" s="3"/>
    </row>
    <row r="1847" spans="24:25" x14ac:dyDescent="0.2">
      <c r="X1847" s="3"/>
      <c r="Y1847" s="3"/>
    </row>
    <row r="1848" spans="24:25" x14ac:dyDescent="0.2">
      <c r="X1848" s="3"/>
      <c r="Y1848" s="3"/>
    </row>
    <row r="1849" spans="24:25" x14ac:dyDescent="0.2">
      <c r="X1849" s="3"/>
      <c r="Y1849" s="3"/>
    </row>
    <row r="1850" spans="24:25" x14ac:dyDescent="0.2">
      <c r="X1850" s="3"/>
      <c r="Y1850" s="3"/>
    </row>
    <row r="1851" spans="24:25" x14ac:dyDescent="0.2">
      <c r="X1851" s="3"/>
      <c r="Y1851" s="3"/>
    </row>
    <row r="1852" spans="24:25" x14ac:dyDescent="0.2">
      <c r="X1852" s="3"/>
      <c r="Y1852" s="3"/>
    </row>
    <row r="1853" spans="24:25" x14ac:dyDescent="0.2">
      <c r="X1853" s="3"/>
      <c r="Y1853" s="3"/>
    </row>
    <row r="1854" spans="24:25" x14ac:dyDescent="0.2">
      <c r="X1854" s="3"/>
      <c r="Y1854" s="3"/>
    </row>
    <row r="1855" spans="24:25" x14ac:dyDescent="0.2">
      <c r="X1855" s="3"/>
      <c r="Y1855" s="3"/>
    </row>
    <row r="1856" spans="24:25" x14ac:dyDescent="0.2">
      <c r="X1856" s="3"/>
      <c r="Y1856" s="3"/>
    </row>
    <row r="1857" spans="24:25" x14ac:dyDescent="0.2">
      <c r="X1857" s="3"/>
      <c r="Y1857" s="3"/>
    </row>
    <row r="1858" spans="24:25" x14ac:dyDescent="0.2">
      <c r="X1858" s="3"/>
      <c r="Y1858" s="3"/>
    </row>
    <row r="1859" spans="24:25" x14ac:dyDescent="0.2">
      <c r="X1859" s="3"/>
      <c r="Y1859" s="3"/>
    </row>
    <row r="1860" spans="24:25" x14ac:dyDescent="0.2">
      <c r="X1860" s="3"/>
      <c r="Y1860" s="3"/>
    </row>
    <row r="1861" spans="24:25" x14ac:dyDescent="0.2">
      <c r="X1861" s="3"/>
      <c r="Y1861" s="3"/>
    </row>
    <row r="1862" spans="24:25" x14ac:dyDescent="0.2">
      <c r="X1862" s="3"/>
      <c r="Y1862" s="3"/>
    </row>
    <row r="1863" spans="24:25" x14ac:dyDescent="0.2">
      <c r="X1863" s="3"/>
      <c r="Y1863" s="3"/>
    </row>
    <row r="1864" spans="24:25" x14ac:dyDescent="0.2">
      <c r="X1864" s="3"/>
      <c r="Y1864" s="3"/>
    </row>
    <row r="1865" spans="24:25" x14ac:dyDescent="0.2">
      <c r="X1865" s="3"/>
      <c r="Y1865" s="3"/>
    </row>
    <row r="1866" spans="24:25" x14ac:dyDescent="0.2">
      <c r="X1866" s="3"/>
      <c r="Y1866" s="3"/>
    </row>
    <row r="1867" spans="24:25" x14ac:dyDescent="0.2">
      <c r="X1867" s="3"/>
      <c r="Y1867" s="3"/>
    </row>
    <row r="1868" spans="24:25" x14ac:dyDescent="0.2">
      <c r="X1868" s="3"/>
      <c r="Y1868" s="3"/>
    </row>
    <row r="1869" spans="24:25" x14ac:dyDescent="0.2">
      <c r="X1869" s="3"/>
      <c r="Y1869" s="3"/>
    </row>
    <row r="1870" spans="24:25" x14ac:dyDescent="0.2">
      <c r="X1870" s="3"/>
      <c r="Y1870" s="3"/>
    </row>
    <row r="1871" spans="24:25" x14ac:dyDescent="0.2">
      <c r="X1871" s="3"/>
      <c r="Y1871" s="3"/>
    </row>
    <row r="1872" spans="24:25" x14ac:dyDescent="0.2">
      <c r="X1872" s="3"/>
      <c r="Y1872" s="3"/>
    </row>
    <row r="1873" spans="24:25" x14ac:dyDescent="0.2">
      <c r="X1873" s="3"/>
      <c r="Y1873" s="3"/>
    </row>
    <row r="1874" spans="24:25" x14ac:dyDescent="0.2">
      <c r="X1874" s="3"/>
      <c r="Y1874" s="3"/>
    </row>
    <row r="1875" spans="24:25" x14ac:dyDescent="0.2">
      <c r="X1875" s="3"/>
      <c r="Y1875" s="3"/>
    </row>
    <row r="1876" spans="24:25" x14ac:dyDescent="0.2">
      <c r="X1876" s="3"/>
      <c r="Y1876" s="3"/>
    </row>
    <row r="1877" spans="24:25" x14ac:dyDescent="0.2">
      <c r="X1877" s="3"/>
      <c r="Y1877" s="3"/>
    </row>
    <row r="1878" spans="24:25" x14ac:dyDescent="0.2">
      <c r="X1878" s="3"/>
      <c r="Y1878" s="3"/>
    </row>
    <row r="1879" spans="24:25" x14ac:dyDescent="0.2">
      <c r="X1879" s="3"/>
      <c r="Y1879" s="3"/>
    </row>
    <row r="1880" spans="24:25" x14ac:dyDescent="0.2">
      <c r="X1880" s="3"/>
      <c r="Y1880" s="3"/>
    </row>
    <row r="1881" spans="24:25" x14ac:dyDescent="0.2">
      <c r="X1881" s="3"/>
      <c r="Y1881" s="3"/>
    </row>
    <row r="1882" spans="24:25" x14ac:dyDescent="0.2">
      <c r="X1882" s="3"/>
      <c r="Y1882" s="3"/>
    </row>
    <row r="1883" spans="24:25" x14ac:dyDescent="0.2">
      <c r="X1883" s="3"/>
      <c r="Y1883" s="3"/>
    </row>
    <row r="1884" spans="24:25" x14ac:dyDescent="0.2">
      <c r="X1884" s="3"/>
      <c r="Y1884" s="3"/>
    </row>
    <row r="1885" spans="24:25" x14ac:dyDescent="0.2">
      <c r="X1885" s="3"/>
      <c r="Y1885" s="3"/>
    </row>
    <row r="1886" spans="24:25" x14ac:dyDescent="0.2">
      <c r="X1886" s="3"/>
      <c r="Y1886" s="3"/>
    </row>
    <row r="1887" spans="24:25" x14ac:dyDescent="0.2">
      <c r="X1887" s="3"/>
      <c r="Y1887" s="3"/>
    </row>
    <row r="1888" spans="24:25" x14ac:dyDescent="0.2">
      <c r="X1888" s="3"/>
      <c r="Y1888" s="3"/>
    </row>
    <row r="1889" spans="24:25" x14ac:dyDescent="0.2">
      <c r="X1889" s="3"/>
      <c r="Y1889" s="3"/>
    </row>
    <row r="1890" spans="24:25" x14ac:dyDescent="0.2">
      <c r="X1890" s="3"/>
      <c r="Y1890" s="3"/>
    </row>
    <row r="1891" spans="24:25" x14ac:dyDescent="0.2">
      <c r="X1891" s="3"/>
      <c r="Y1891" s="3"/>
    </row>
    <row r="1892" spans="24:25" x14ac:dyDescent="0.2">
      <c r="X1892" s="3"/>
      <c r="Y1892" s="3"/>
    </row>
    <row r="1893" spans="24:25" x14ac:dyDescent="0.2">
      <c r="X1893" s="3"/>
      <c r="Y1893" s="3"/>
    </row>
    <row r="1894" spans="24:25" x14ac:dyDescent="0.2">
      <c r="X1894" s="3"/>
      <c r="Y1894" s="3"/>
    </row>
    <row r="1895" spans="24:25" x14ac:dyDescent="0.2">
      <c r="X1895" s="3"/>
      <c r="Y1895" s="3"/>
    </row>
    <row r="1896" spans="24:25" x14ac:dyDescent="0.2">
      <c r="X1896" s="3"/>
      <c r="Y1896" s="3"/>
    </row>
    <row r="1897" spans="24:25" x14ac:dyDescent="0.2">
      <c r="X1897" s="3"/>
      <c r="Y1897" s="3"/>
    </row>
    <row r="1898" spans="24:25" x14ac:dyDescent="0.2">
      <c r="X1898" s="3"/>
      <c r="Y1898" s="3"/>
    </row>
    <row r="1899" spans="24:25" x14ac:dyDescent="0.2">
      <c r="X1899" s="3"/>
      <c r="Y1899" s="3"/>
    </row>
    <row r="1900" spans="24:25" x14ac:dyDescent="0.2">
      <c r="X1900" s="3"/>
      <c r="Y1900" s="3"/>
    </row>
    <row r="1901" spans="24:25" x14ac:dyDescent="0.2">
      <c r="X1901" s="3"/>
      <c r="Y1901" s="3"/>
    </row>
    <row r="1902" spans="24:25" x14ac:dyDescent="0.2">
      <c r="X1902" s="3"/>
      <c r="Y1902" s="3"/>
    </row>
    <row r="1903" spans="24:25" x14ac:dyDescent="0.2">
      <c r="X1903" s="3"/>
      <c r="Y1903" s="3"/>
    </row>
    <row r="1904" spans="24:25" x14ac:dyDescent="0.2">
      <c r="X1904" s="3"/>
      <c r="Y1904" s="3"/>
    </row>
    <row r="1905" spans="24:25" x14ac:dyDescent="0.2">
      <c r="X1905" s="3"/>
      <c r="Y1905" s="3"/>
    </row>
    <row r="1906" spans="24:25" x14ac:dyDescent="0.2">
      <c r="X1906" s="3"/>
      <c r="Y1906" s="3"/>
    </row>
    <row r="1907" spans="24:25" x14ac:dyDescent="0.2">
      <c r="X1907" s="3"/>
      <c r="Y1907" s="3"/>
    </row>
    <row r="1908" spans="24:25" x14ac:dyDescent="0.2">
      <c r="X1908" s="3"/>
      <c r="Y1908" s="3"/>
    </row>
    <row r="1909" spans="24:25" x14ac:dyDescent="0.2">
      <c r="X1909" s="3"/>
      <c r="Y1909" s="3"/>
    </row>
    <row r="1910" spans="24:25" x14ac:dyDescent="0.2">
      <c r="X1910" s="3"/>
      <c r="Y1910" s="3"/>
    </row>
    <row r="1911" spans="24:25" x14ac:dyDescent="0.2">
      <c r="X1911" s="3"/>
      <c r="Y1911" s="3"/>
    </row>
    <row r="1912" spans="24:25" x14ac:dyDescent="0.2">
      <c r="X1912" s="3"/>
      <c r="Y1912" s="3"/>
    </row>
    <row r="1913" spans="24:25" x14ac:dyDescent="0.2">
      <c r="X1913" s="3"/>
      <c r="Y1913" s="3"/>
    </row>
    <row r="1914" spans="24:25" x14ac:dyDescent="0.2">
      <c r="X1914" s="3"/>
      <c r="Y1914" s="3"/>
    </row>
    <row r="1915" spans="24:25" x14ac:dyDescent="0.2">
      <c r="X1915" s="3"/>
      <c r="Y1915" s="3"/>
    </row>
    <row r="1916" spans="24:25" x14ac:dyDescent="0.2">
      <c r="X1916" s="3"/>
      <c r="Y1916" s="3"/>
    </row>
    <row r="1917" spans="24:25" x14ac:dyDescent="0.2">
      <c r="X1917" s="3"/>
      <c r="Y1917" s="3"/>
    </row>
    <row r="1918" spans="24:25" x14ac:dyDescent="0.2">
      <c r="X1918" s="3"/>
      <c r="Y1918" s="3"/>
    </row>
    <row r="1919" spans="24:25" x14ac:dyDescent="0.2">
      <c r="X1919" s="3"/>
      <c r="Y1919" s="3"/>
    </row>
    <row r="1920" spans="24:25" x14ac:dyDescent="0.2">
      <c r="X1920" s="3"/>
      <c r="Y1920" s="3"/>
    </row>
    <row r="1921" spans="24:25" x14ac:dyDescent="0.2">
      <c r="X1921" s="3"/>
      <c r="Y1921" s="3"/>
    </row>
    <row r="1922" spans="24:25" x14ac:dyDescent="0.2">
      <c r="X1922" s="3"/>
      <c r="Y1922" s="3"/>
    </row>
    <row r="1923" spans="24:25" x14ac:dyDescent="0.2">
      <c r="X1923" s="3"/>
      <c r="Y1923" s="3"/>
    </row>
    <row r="1924" spans="24:25" x14ac:dyDescent="0.2">
      <c r="X1924" s="3"/>
      <c r="Y1924" s="3"/>
    </row>
    <row r="1925" spans="24:25" x14ac:dyDescent="0.2">
      <c r="X1925" s="3"/>
      <c r="Y1925" s="3"/>
    </row>
    <row r="1926" spans="24:25" x14ac:dyDescent="0.2">
      <c r="X1926" s="3"/>
      <c r="Y1926" s="3"/>
    </row>
    <row r="1927" spans="24:25" x14ac:dyDescent="0.2">
      <c r="X1927" s="3"/>
      <c r="Y1927" s="3"/>
    </row>
    <row r="1928" spans="24:25" x14ac:dyDescent="0.2">
      <c r="X1928" s="3"/>
      <c r="Y1928" s="3"/>
    </row>
    <row r="1929" spans="24:25" x14ac:dyDescent="0.2">
      <c r="X1929" s="3"/>
      <c r="Y1929" s="3"/>
    </row>
    <row r="1930" spans="24:25" x14ac:dyDescent="0.2">
      <c r="X1930" s="3"/>
      <c r="Y1930" s="3"/>
    </row>
    <row r="1931" spans="24:25" x14ac:dyDescent="0.2">
      <c r="X1931" s="3"/>
      <c r="Y1931" s="3"/>
    </row>
    <row r="1932" spans="24:25" x14ac:dyDescent="0.2">
      <c r="X1932" s="3"/>
      <c r="Y1932" s="3"/>
    </row>
    <row r="1933" spans="24:25" x14ac:dyDescent="0.2">
      <c r="X1933" s="3"/>
      <c r="Y1933" s="3"/>
    </row>
    <row r="1934" spans="24:25" x14ac:dyDescent="0.2">
      <c r="X1934" s="3"/>
      <c r="Y1934" s="3"/>
    </row>
    <row r="1935" spans="24:25" x14ac:dyDescent="0.2">
      <c r="X1935" s="3"/>
      <c r="Y1935" s="3"/>
    </row>
    <row r="1936" spans="24:25" x14ac:dyDescent="0.2">
      <c r="X1936" s="3"/>
      <c r="Y1936" s="3"/>
    </row>
    <row r="1937" spans="24:25" x14ac:dyDescent="0.2">
      <c r="X1937" s="3"/>
      <c r="Y1937" s="3"/>
    </row>
    <row r="1938" spans="24:25" x14ac:dyDescent="0.2">
      <c r="X1938" s="3"/>
      <c r="Y1938" s="3"/>
    </row>
    <row r="1939" spans="24:25" x14ac:dyDescent="0.2">
      <c r="X1939" s="3"/>
      <c r="Y1939" s="3"/>
    </row>
    <row r="1940" spans="24:25" x14ac:dyDescent="0.2">
      <c r="X1940" s="3"/>
      <c r="Y1940" s="3"/>
    </row>
    <row r="1941" spans="24:25" x14ac:dyDescent="0.2">
      <c r="X1941" s="3"/>
      <c r="Y1941" s="3"/>
    </row>
    <row r="1942" spans="24:25" x14ac:dyDescent="0.2">
      <c r="X1942" s="3"/>
      <c r="Y1942" s="3"/>
    </row>
    <row r="1943" spans="24:25" x14ac:dyDescent="0.2">
      <c r="X1943" s="3"/>
      <c r="Y1943" s="3"/>
    </row>
    <row r="1944" spans="24:25" x14ac:dyDescent="0.2">
      <c r="X1944" s="3"/>
      <c r="Y1944" s="3"/>
    </row>
    <row r="1945" spans="24:25" x14ac:dyDescent="0.2">
      <c r="X1945" s="3"/>
      <c r="Y1945" s="3"/>
    </row>
    <row r="1946" spans="24:25" x14ac:dyDescent="0.2">
      <c r="X1946" s="3"/>
      <c r="Y1946" s="3"/>
    </row>
    <row r="1947" spans="24:25" x14ac:dyDescent="0.2">
      <c r="X1947" s="3"/>
      <c r="Y1947" s="3"/>
    </row>
    <row r="1948" spans="24:25" x14ac:dyDescent="0.2">
      <c r="X1948" s="3"/>
      <c r="Y1948" s="3"/>
    </row>
    <row r="1949" spans="24:25" x14ac:dyDescent="0.2">
      <c r="X1949" s="3"/>
      <c r="Y1949" s="3"/>
    </row>
    <row r="1950" spans="24:25" x14ac:dyDescent="0.2">
      <c r="X1950" s="3"/>
      <c r="Y1950" s="3"/>
    </row>
    <row r="1951" spans="24:25" x14ac:dyDescent="0.2">
      <c r="X1951" s="3"/>
      <c r="Y1951" s="3"/>
    </row>
    <row r="1952" spans="24:25" x14ac:dyDescent="0.2">
      <c r="X1952" s="3"/>
      <c r="Y1952" s="3"/>
    </row>
    <row r="1953" spans="24:25" x14ac:dyDescent="0.2">
      <c r="X1953" s="3"/>
      <c r="Y1953" s="3"/>
    </row>
    <row r="1954" spans="24:25" x14ac:dyDescent="0.2">
      <c r="X1954" s="3"/>
      <c r="Y1954" s="3"/>
    </row>
    <row r="1955" spans="24:25" x14ac:dyDescent="0.2">
      <c r="X1955" s="3"/>
      <c r="Y1955" s="3"/>
    </row>
    <row r="1956" spans="24:25" x14ac:dyDescent="0.2">
      <c r="X1956" s="3"/>
      <c r="Y1956" s="3"/>
    </row>
    <row r="1957" spans="24:25" x14ac:dyDescent="0.2">
      <c r="X1957" s="3"/>
      <c r="Y1957" s="3"/>
    </row>
    <row r="1958" spans="24:25" x14ac:dyDescent="0.2">
      <c r="X1958" s="3"/>
      <c r="Y1958" s="3"/>
    </row>
    <row r="1959" spans="24:25" x14ac:dyDescent="0.2">
      <c r="X1959" s="3"/>
      <c r="Y1959" s="3"/>
    </row>
    <row r="1960" spans="24:25" x14ac:dyDescent="0.2">
      <c r="X1960" s="3"/>
      <c r="Y1960" s="3"/>
    </row>
    <row r="1961" spans="24:25" x14ac:dyDescent="0.2">
      <c r="X1961" s="3"/>
      <c r="Y1961" s="3"/>
    </row>
    <row r="1962" spans="24:25" x14ac:dyDescent="0.2">
      <c r="X1962" s="3"/>
      <c r="Y1962" s="3"/>
    </row>
    <row r="1963" spans="24:25" x14ac:dyDescent="0.2">
      <c r="X1963" s="3"/>
      <c r="Y1963" s="3"/>
    </row>
    <row r="1964" spans="24:25" x14ac:dyDescent="0.2">
      <c r="X1964" s="3"/>
      <c r="Y1964" s="3"/>
    </row>
    <row r="1965" spans="24:25" x14ac:dyDescent="0.2">
      <c r="X1965" s="3"/>
      <c r="Y1965" s="3"/>
    </row>
    <row r="1966" spans="24:25" x14ac:dyDescent="0.2">
      <c r="X1966" s="3"/>
      <c r="Y1966" s="3"/>
    </row>
    <row r="1967" spans="24:25" x14ac:dyDescent="0.2">
      <c r="X1967" s="3"/>
      <c r="Y1967" s="3"/>
    </row>
    <row r="1968" spans="24:25" x14ac:dyDescent="0.2">
      <c r="X1968" s="3"/>
      <c r="Y1968" s="3"/>
    </row>
    <row r="1969" spans="24:25" x14ac:dyDescent="0.2">
      <c r="X1969" s="3"/>
      <c r="Y1969" s="3"/>
    </row>
    <row r="1970" spans="24:25" x14ac:dyDescent="0.2">
      <c r="X1970" s="3"/>
      <c r="Y1970" s="3"/>
    </row>
    <row r="1971" spans="24:25" x14ac:dyDescent="0.2">
      <c r="X1971" s="3"/>
      <c r="Y1971" s="3"/>
    </row>
    <row r="1972" spans="24:25" x14ac:dyDescent="0.2">
      <c r="X1972" s="3"/>
      <c r="Y1972" s="3"/>
    </row>
    <row r="1973" spans="24:25" x14ac:dyDescent="0.2">
      <c r="X1973" s="3"/>
      <c r="Y1973" s="3"/>
    </row>
    <row r="1974" spans="24:25" x14ac:dyDescent="0.2">
      <c r="X1974" s="3"/>
      <c r="Y1974" s="3"/>
    </row>
    <row r="1975" spans="24:25" x14ac:dyDescent="0.2">
      <c r="X1975" s="3"/>
      <c r="Y1975" s="3"/>
    </row>
    <row r="1976" spans="24:25" x14ac:dyDescent="0.2">
      <c r="X1976" s="3"/>
      <c r="Y1976" s="3"/>
    </row>
    <row r="1977" spans="24:25" x14ac:dyDescent="0.2">
      <c r="X1977" s="3"/>
      <c r="Y1977" s="3"/>
    </row>
    <row r="1978" spans="24:25" x14ac:dyDescent="0.2">
      <c r="X1978" s="3"/>
      <c r="Y1978" s="3"/>
    </row>
    <row r="1979" spans="24:25" x14ac:dyDescent="0.2">
      <c r="X1979" s="3"/>
      <c r="Y1979" s="3"/>
    </row>
    <row r="1980" spans="24:25" x14ac:dyDescent="0.2">
      <c r="X1980" s="3"/>
      <c r="Y1980" s="3"/>
    </row>
    <row r="1981" spans="24:25" x14ac:dyDescent="0.2">
      <c r="X1981" s="3"/>
      <c r="Y1981" s="3"/>
    </row>
    <row r="1982" spans="24:25" x14ac:dyDescent="0.2">
      <c r="X1982" s="3"/>
      <c r="Y1982" s="3"/>
    </row>
    <row r="1983" spans="24:25" x14ac:dyDescent="0.2">
      <c r="X1983" s="3"/>
      <c r="Y1983" s="3"/>
    </row>
    <row r="1984" spans="24:25" x14ac:dyDescent="0.2">
      <c r="X1984" s="3"/>
      <c r="Y1984" s="3"/>
    </row>
    <row r="1985" spans="24:25" x14ac:dyDescent="0.2">
      <c r="X1985" s="3"/>
      <c r="Y1985" s="3"/>
    </row>
    <row r="1986" spans="24:25" x14ac:dyDescent="0.2">
      <c r="X1986" s="3"/>
      <c r="Y1986" s="3"/>
    </row>
    <row r="1987" spans="24:25" x14ac:dyDescent="0.2">
      <c r="X1987" s="3"/>
      <c r="Y1987" s="3"/>
    </row>
    <row r="1988" spans="24:25" x14ac:dyDescent="0.2">
      <c r="X1988" s="3"/>
      <c r="Y1988" s="3"/>
    </row>
    <row r="1989" spans="24:25" x14ac:dyDescent="0.2">
      <c r="X1989" s="3"/>
      <c r="Y1989" s="3"/>
    </row>
    <row r="1990" spans="24:25" x14ac:dyDescent="0.2">
      <c r="X1990" s="3"/>
      <c r="Y1990" s="3"/>
    </row>
    <row r="1991" spans="24:25" x14ac:dyDescent="0.2">
      <c r="X1991" s="3"/>
      <c r="Y1991" s="3"/>
    </row>
    <row r="1992" spans="24:25" x14ac:dyDescent="0.2">
      <c r="X1992" s="3"/>
      <c r="Y1992" s="3"/>
    </row>
    <row r="1993" spans="24:25" x14ac:dyDescent="0.2">
      <c r="X1993" s="3"/>
      <c r="Y1993" s="3"/>
    </row>
    <row r="1994" spans="24:25" x14ac:dyDescent="0.2">
      <c r="X1994" s="3"/>
      <c r="Y1994" s="3"/>
    </row>
    <row r="1995" spans="24:25" x14ac:dyDescent="0.2">
      <c r="X1995" s="3"/>
      <c r="Y1995" s="3"/>
    </row>
    <row r="1996" spans="24:25" x14ac:dyDescent="0.2">
      <c r="X1996" s="3"/>
      <c r="Y1996" s="3"/>
    </row>
    <row r="1997" spans="24:25" x14ac:dyDescent="0.2">
      <c r="X1997" s="3"/>
      <c r="Y1997" s="3"/>
    </row>
    <row r="1998" spans="24:25" x14ac:dyDescent="0.2">
      <c r="X1998" s="3"/>
      <c r="Y1998" s="3"/>
    </row>
    <row r="1999" spans="24:25" x14ac:dyDescent="0.2">
      <c r="X1999" s="3"/>
      <c r="Y1999" s="3"/>
    </row>
    <row r="2000" spans="24:25" x14ac:dyDescent="0.2">
      <c r="X2000" s="3"/>
      <c r="Y2000" s="3"/>
    </row>
    <row r="2001" spans="24:25" x14ac:dyDescent="0.2">
      <c r="X2001" s="3"/>
      <c r="Y2001" s="3"/>
    </row>
    <row r="2002" spans="24:25" x14ac:dyDescent="0.2">
      <c r="X2002" s="3"/>
      <c r="Y2002" s="3"/>
    </row>
    <row r="2003" spans="24:25" x14ac:dyDescent="0.2">
      <c r="X2003" s="3"/>
      <c r="Y2003" s="3"/>
    </row>
    <row r="2004" spans="24:25" x14ac:dyDescent="0.2">
      <c r="X2004" s="3"/>
      <c r="Y2004" s="3"/>
    </row>
    <row r="2005" spans="24:25" x14ac:dyDescent="0.2">
      <c r="X2005" s="3"/>
      <c r="Y2005" s="3"/>
    </row>
    <row r="2006" spans="24:25" x14ac:dyDescent="0.2">
      <c r="X2006" s="3"/>
      <c r="Y2006" s="3"/>
    </row>
    <row r="2007" spans="24:25" x14ac:dyDescent="0.2">
      <c r="X2007" s="3"/>
      <c r="Y2007" s="3"/>
    </row>
    <row r="2008" spans="24:25" x14ac:dyDescent="0.2">
      <c r="X2008" s="3"/>
      <c r="Y2008" s="3"/>
    </row>
    <row r="2009" spans="24:25" x14ac:dyDescent="0.2">
      <c r="X2009" s="3"/>
      <c r="Y2009" s="3"/>
    </row>
    <row r="2010" spans="24:25" x14ac:dyDescent="0.2">
      <c r="X2010" s="3"/>
      <c r="Y2010" s="3"/>
    </row>
    <row r="2011" spans="24:25" x14ac:dyDescent="0.2">
      <c r="X2011" s="3"/>
      <c r="Y2011" s="3"/>
    </row>
    <row r="2012" spans="24:25" x14ac:dyDescent="0.2">
      <c r="X2012" s="3"/>
      <c r="Y2012" s="3"/>
    </row>
    <row r="2013" spans="24:25" x14ac:dyDescent="0.2">
      <c r="X2013" s="3"/>
      <c r="Y2013" s="3"/>
    </row>
    <row r="2014" spans="24:25" x14ac:dyDescent="0.2">
      <c r="X2014" s="3"/>
      <c r="Y2014" s="3"/>
    </row>
    <row r="2015" spans="24:25" x14ac:dyDescent="0.2">
      <c r="X2015" s="3"/>
      <c r="Y2015" s="3"/>
    </row>
    <row r="2016" spans="24:25" x14ac:dyDescent="0.2">
      <c r="X2016" s="3"/>
      <c r="Y2016" s="3"/>
    </row>
    <row r="2017" spans="24:25" x14ac:dyDescent="0.2">
      <c r="X2017" s="3"/>
      <c r="Y2017" s="3"/>
    </row>
    <row r="2018" spans="24:25" x14ac:dyDescent="0.2">
      <c r="X2018" s="3"/>
      <c r="Y2018" s="3"/>
    </row>
    <row r="2019" spans="24:25" x14ac:dyDescent="0.2">
      <c r="X2019" s="3"/>
      <c r="Y2019" s="3"/>
    </row>
    <row r="2020" spans="24:25" x14ac:dyDescent="0.2">
      <c r="X2020" s="3"/>
      <c r="Y2020" s="3"/>
    </row>
    <row r="2021" spans="24:25" x14ac:dyDescent="0.2">
      <c r="X2021" s="3"/>
      <c r="Y2021" s="3"/>
    </row>
    <row r="2022" spans="24:25" x14ac:dyDescent="0.2">
      <c r="X2022" s="3"/>
      <c r="Y2022" s="3"/>
    </row>
    <row r="2023" spans="24:25" x14ac:dyDescent="0.2">
      <c r="X2023" s="3"/>
      <c r="Y2023" s="3"/>
    </row>
    <row r="2024" spans="24:25" x14ac:dyDescent="0.2">
      <c r="X2024" s="3"/>
      <c r="Y2024" s="3"/>
    </row>
    <row r="2025" spans="24:25" x14ac:dyDescent="0.2">
      <c r="X2025" s="3"/>
      <c r="Y2025" s="3"/>
    </row>
    <row r="2026" spans="24:25" x14ac:dyDescent="0.2">
      <c r="X2026" s="3"/>
      <c r="Y2026" s="3"/>
    </row>
    <row r="2027" spans="24:25" x14ac:dyDescent="0.2">
      <c r="X2027" s="3"/>
      <c r="Y2027" s="3"/>
    </row>
    <row r="2028" spans="24:25" x14ac:dyDescent="0.2">
      <c r="X2028" s="3"/>
      <c r="Y2028" s="3"/>
    </row>
    <row r="2029" spans="24:25" x14ac:dyDescent="0.2">
      <c r="X2029" s="3"/>
      <c r="Y2029" s="3"/>
    </row>
    <row r="2030" spans="24:25" x14ac:dyDescent="0.2">
      <c r="X2030" s="3"/>
      <c r="Y2030" s="3"/>
    </row>
    <row r="2031" spans="24:25" x14ac:dyDescent="0.2">
      <c r="X2031" s="3"/>
      <c r="Y2031" s="3"/>
    </row>
    <row r="2032" spans="24:25" x14ac:dyDescent="0.2">
      <c r="X2032" s="3"/>
      <c r="Y2032" s="3"/>
    </row>
    <row r="2033" spans="24:25" x14ac:dyDescent="0.2">
      <c r="X2033" s="3"/>
      <c r="Y2033" s="3"/>
    </row>
    <row r="2034" spans="24:25" x14ac:dyDescent="0.2">
      <c r="X2034" s="3"/>
      <c r="Y2034" s="3"/>
    </row>
    <row r="2035" spans="24:25" x14ac:dyDescent="0.2">
      <c r="X2035" s="3"/>
      <c r="Y2035" s="3"/>
    </row>
    <row r="2036" spans="24:25" x14ac:dyDescent="0.2">
      <c r="X2036" s="3"/>
      <c r="Y2036" s="3"/>
    </row>
    <row r="2037" spans="24:25" x14ac:dyDescent="0.2">
      <c r="X2037" s="3"/>
      <c r="Y2037" s="3"/>
    </row>
    <row r="2038" spans="24:25" x14ac:dyDescent="0.2">
      <c r="X2038" s="3"/>
      <c r="Y2038" s="3"/>
    </row>
    <row r="2039" spans="24:25" x14ac:dyDescent="0.2">
      <c r="X2039" s="3"/>
      <c r="Y2039" s="3"/>
    </row>
    <row r="2040" spans="24:25" x14ac:dyDescent="0.2">
      <c r="X2040" s="3"/>
      <c r="Y2040" s="3"/>
    </row>
    <row r="2041" spans="24:25" x14ac:dyDescent="0.2">
      <c r="X2041" s="3"/>
      <c r="Y2041" s="3"/>
    </row>
    <row r="2042" spans="24:25" x14ac:dyDescent="0.2">
      <c r="X2042" s="3"/>
      <c r="Y2042" s="3"/>
    </row>
    <row r="2043" spans="24:25" x14ac:dyDescent="0.2">
      <c r="X2043" s="3"/>
      <c r="Y2043" s="3"/>
    </row>
    <row r="2044" spans="24:25" x14ac:dyDescent="0.2">
      <c r="X2044" s="3"/>
      <c r="Y2044" s="3"/>
    </row>
    <row r="2045" spans="24:25" x14ac:dyDescent="0.2">
      <c r="X2045" s="3"/>
      <c r="Y2045" s="3"/>
    </row>
    <row r="2046" spans="24:25" x14ac:dyDescent="0.2">
      <c r="X2046" s="3"/>
      <c r="Y2046" s="3"/>
    </row>
    <row r="2047" spans="24:25" x14ac:dyDescent="0.2">
      <c r="X2047" s="3"/>
      <c r="Y2047" s="3"/>
    </row>
    <row r="2048" spans="24:25" x14ac:dyDescent="0.2">
      <c r="X2048" s="3"/>
      <c r="Y2048" s="3"/>
    </row>
    <row r="2049" spans="24:25" x14ac:dyDescent="0.2">
      <c r="X2049" s="3"/>
      <c r="Y2049" s="3"/>
    </row>
    <row r="2050" spans="24:25" x14ac:dyDescent="0.2">
      <c r="X2050" s="3"/>
      <c r="Y2050" s="3"/>
    </row>
    <row r="2051" spans="24:25" x14ac:dyDescent="0.2">
      <c r="X2051" s="3"/>
      <c r="Y2051" s="3"/>
    </row>
    <row r="2052" spans="24:25" x14ac:dyDescent="0.2">
      <c r="X2052" s="3"/>
      <c r="Y2052" s="3"/>
    </row>
    <row r="2053" spans="24:25" x14ac:dyDescent="0.2">
      <c r="X2053" s="3"/>
      <c r="Y2053" s="3"/>
    </row>
    <row r="2054" spans="24:25" x14ac:dyDescent="0.2">
      <c r="X2054" s="3"/>
      <c r="Y2054" s="3"/>
    </row>
    <row r="2055" spans="24:25" x14ac:dyDescent="0.2">
      <c r="X2055" s="3"/>
      <c r="Y2055" s="3"/>
    </row>
    <row r="2056" spans="24:25" x14ac:dyDescent="0.2">
      <c r="X2056" s="3"/>
      <c r="Y2056" s="3"/>
    </row>
    <row r="2057" spans="24:25" x14ac:dyDescent="0.2">
      <c r="X2057" s="3"/>
      <c r="Y2057" s="3"/>
    </row>
    <row r="2058" spans="24:25" x14ac:dyDescent="0.2">
      <c r="X2058" s="3"/>
      <c r="Y2058" s="3"/>
    </row>
    <row r="2059" spans="24:25" x14ac:dyDescent="0.2">
      <c r="X2059" s="3"/>
      <c r="Y2059" s="3"/>
    </row>
    <row r="2060" spans="24:25" x14ac:dyDescent="0.2">
      <c r="X2060" s="3"/>
      <c r="Y2060" s="3"/>
    </row>
    <row r="2061" spans="24:25" x14ac:dyDescent="0.2">
      <c r="X2061" s="3"/>
      <c r="Y2061" s="3"/>
    </row>
    <row r="2062" spans="24:25" x14ac:dyDescent="0.2">
      <c r="X2062" s="3"/>
      <c r="Y2062" s="3"/>
    </row>
    <row r="2063" spans="24:25" x14ac:dyDescent="0.2">
      <c r="X2063" s="3"/>
      <c r="Y2063" s="3"/>
    </row>
    <row r="2064" spans="24:25" x14ac:dyDescent="0.2">
      <c r="X2064" s="3"/>
      <c r="Y2064" s="3"/>
    </row>
    <row r="2065" spans="24:25" x14ac:dyDescent="0.2">
      <c r="X2065" s="3"/>
      <c r="Y2065" s="3"/>
    </row>
    <row r="2066" spans="24:25" x14ac:dyDescent="0.2">
      <c r="X2066" s="3"/>
      <c r="Y2066" s="3"/>
    </row>
    <row r="2067" spans="24:25" x14ac:dyDescent="0.2">
      <c r="X2067" s="3"/>
      <c r="Y2067" s="3"/>
    </row>
    <row r="2068" spans="24:25" x14ac:dyDescent="0.2">
      <c r="X2068" s="3"/>
      <c r="Y2068" s="3"/>
    </row>
    <row r="2069" spans="24:25" x14ac:dyDescent="0.2">
      <c r="X2069" s="3"/>
      <c r="Y2069" s="3"/>
    </row>
    <row r="2070" spans="24:25" x14ac:dyDescent="0.2">
      <c r="X2070" s="3"/>
      <c r="Y2070" s="3"/>
    </row>
    <row r="2071" spans="24:25" x14ac:dyDescent="0.2">
      <c r="X2071" s="3"/>
      <c r="Y2071" s="3"/>
    </row>
    <row r="2072" spans="24:25" x14ac:dyDescent="0.2">
      <c r="X2072" s="3"/>
      <c r="Y2072" s="3"/>
    </row>
    <row r="2073" spans="24:25" x14ac:dyDescent="0.2">
      <c r="X2073" s="3"/>
      <c r="Y2073" s="3"/>
    </row>
    <row r="2074" spans="24:25" x14ac:dyDescent="0.2">
      <c r="X2074" s="3"/>
      <c r="Y2074" s="3"/>
    </row>
    <row r="2075" spans="24:25" x14ac:dyDescent="0.2">
      <c r="X2075" s="3"/>
      <c r="Y2075" s="3"/>
    </row>
    <row r="2076" spans="24:25" x14ac:dyDescent="0.2">
      <c r="X2076" s="3"/>
      <c r="Y2076" s="3"/>
    </row>
    <row r="2077" spans="24:25" x14ac:dyDescent="0.2">
      <c r="X2077" s="3"/>
      <c r="Y2077" s="3"/>
    </row>
    <row r="2078" spans="24:25" x14ac:dyDescent="0.2">
      <c r="X2078" s="3"/>
      <c r="Y2078" s="3"/>
    </row>
    <row r="2079" spans="24:25" x14ac:dyDescent="0.2">
      <c r="X2079" s="3"/>
      <c r="Y2079" s="3"/>
    </row>
    <row r="2080" spans="24:25" x14ac:dyDescent="0.2">
      <c r="X2080" s="3"/>
      <c r="Y2080" s="3"/>
    </row>
    <row r="2081" spans="24:25" x14ac:dyDescent="0.2">
      <c r="X2081" s="3"/>
      <c r="Y2081" s="3"/>
    </row>
    <row r="2082" spans="24:25" x14ac:dyDescent="0.2">
      <c r="X2082" s="3"/>
      <c r="Y2082" s="3"/>
    </row>
    <row r="2083" spans="24:25" x14ac:dyDescent="0.2">
      <c r="X2083" s="3"/>
      <c r="Y2083" s="3"/>
    </row>
    <row r="2084" spans="24:25" x14ac:dyDescent="0.2">
      <c r="X2084" s="3"/>
      <c r="Y2084" s="3"/>
    </row>
    <row r="2085" spans="24:25" x14ac:dyDescent="0.2">
      <c r="X2085" s="3"/>
      <c r="Y2085" s="3"/>
    </row>
    <row r="2086" spans="24:25" x14ac:dyDescent="0.2">
      <c r="X2086" s="3"/>
      <c r="Y2086" s="3"/>
    </row>
    <row r="2087" spans="24:25" x14ac:dyDescent="0.2">
      <c r="X2087" s="3"/>
      <c r="Y2087" s="3"/>
    </row>
    <row r="2088" spans="24:25" x14ac:dyDescent="0.2">
      <c r="X2088" s="3"/>
      <c r="Y2088" s="3"/>
    </row>
    <row r="2089" spans="24:25" x14ac:dyDescent="0.2">
      <c r="X2089" s="3"/>
      <c r="Y2089" s="3"/>
    </row>
    <row r="2090" spans="24:25" x14ac:dyDescent="0.2">
      <c r="X2090" s="3"/>
      <c r="Y2090" s="3"/>
    </row>
    <row r="2091" spans="24:25" x14ac:dyDescent="0.2">
      <c r="X2091" s="3"/>
      <c r="Y2091" s="3"/>
    </row>
    <row r="2092" spans="24:25" x14ac:dyDescent="0.2">
      <c r="X2092" s="3"/>
      <c r="Y2092" s="3"/>
    </row>
    <row r="2093" spans="24:25" x14ac:dyDescent="0.2">
      <c r="X2093" s="3"/>
      <c r="Y2093" s="3"/>
    </row>
    <row r="2094" spans="24:25" x14ac:dyDescent="0.2">
      <c r="X2094" s="3"/>
      <c r="Y2094" s="3"/>
    </row>
    <row r="2095" spans="24:25" x14ac:dyDescent="0.2">
      <c r="X2095" s="3"/>
      <c r="Y2095" s="3"/>
    </row>
    <row r="2096" spans="24:25" x14ac:dyDescent="0.2">
      <c r="X2096" s="3"/>
      <c r="Y2096" s="3"/>
    </row>
    <row r="2097" spans="24:25" x14ac:dyDescent="0.2">
      <c r="X2097" s="3"/>
      <c r="Y2097" s="3"/>
    </row>
    <row r="2098" spans="24:25" x14ac:dyDescent="0.2">
      <c r="X2098" s="3"/>
      <c r="Y2098" s="3"/>
    </row>
    <row r="2099" spans="24:25" x14ac:dyDescent="0.2">
      <c r="X2099" s="3"/>
      <c r="Y2099" s="3"/>
    </row>
    <row r="2100" spans="24:25" x14ac:dyDescent="0.2">
      <c r="X2100" s="3"/>
      <c r="Y2100" s="3"/>
    </row>
    <row r="2101" spans="24:25" x14ac:dyDescent="0.2">
      <c r="X2101" s="3"/>
      <c r="Y2101" s="3"/>
    </row>
    <row r="2102" spans="24:25" x14ac:dyDescent="0.2">
      <c r="X2102" s="3"/>
      <c r="Y2102" s="3"/>
    </row>
    <row r="2103" spans="24:25" x14ac:dyDescent="0.2">
      <c r="X2103" s="3"/>
      <c r="Y2103" s="3"/>
    </row>
    <row r="2104" spans="24:25" x14ac:dyDescent="0.2">
      <c r="X2104" s="3"/>
      <c r="Y2104" s="3"/>
    </row>
    <row r="2105" spans="24:25" x14ac:dyDescent="0.2">
      <c r="X2105" s="3"/>
      <c r="Y2105" s="3"/>
    </row>
    <row r="2106" spans="24:25" x14ac:dyDescent="0.2">
      <c r="X2106" s="3"/>
      <c r="Y2106" s="3"/>
    </row>
    <row r="2107" spans="24:25" x14ac:dyDescent="0.2">
      <c r="X2107" s="3"/>
      <c r="Y2107" s="3"/>
    </row>
    <row r="2108" spans="24:25" x14ac:dyDescent="0.2">
      <c r="X2108" s="3"/>
      <c r="Y2108" s="3"/>
    </row>
    <row r="2109" spans="24:25" x14ac:dyDescent="0.2">
      <c r="X2109" s="3"/>
      <c r="Y2109" s="3"/>
    </row>
    <row r="2110" spans="24:25" x14ac:dyDescent="0.2">
      <c r="X2110" s="3"/>
      <c r="Y2110" s="3"/>
    </row>
    <row r="2111" spans="24:25" x14ac:dyDescent="0.2">
      <c r="X2111" s="3"/>
      <c r="Y2111" s="3"/>
    </row>
    <row r="2112" spans="24:25" x14ac:dyDescent="0.2">
      <c r="X2112" s="3"/>
      <c r="Y2112" s="3"/>
    </row>
    <row r="2113" spans="24:25" x14ac:dyDescent="0.2">
      <c r="X2113" s="3"/>
      <c r="Y2113" s="3"/>
    </row>
    <row r="2114" spans="24:25" x14ac:dyDescent="0.2">
      <c r="X2114" s="3"/>
      <c r="Y2114" s="3"/>
    </row>
    <row r="2115" spans="24:25" x14ac:dyDescent="0.2">
      <c r="X2115" s="3"/>
      <c r="Y2115" s="3"/>
    </row>
    <row r="2116" spans="24:25" x14ac:dyDescent="0.2">
      <c r="X2116" s="3"/>
      <c r="Y2116" s="3"/>
    </row>
    <row r="2117" spans="24:25" x14ac:dyDescent="0.2">
      <c r="X2117" s="3"/>
      <c r="Y2117" s="3"/>
    </row>
    <row r="2118" spans="24:25" x14ac:dyDescent="0.2">
      <c r="X2118" s="3"/>
      <c r="Y2118" s="3"/>
    </row>
    <row r="2119" spans="24:25" x14ac:dyDescent="0.2">
      <c r="X2119" s="3"/>
      <c r="Y2119" s="3"/>
    </row>
    <row r="2120" spans="24:25" x14ac:dyDescent="0.2">
      <c r="X2120" s="3"/>
      <c r="Y2120" s="3"/>
    </row>
    <row r="2121" spans="24:25" x14ac:dyDescent="0.2">
      <c r="X2121" s="3"/>
      <c r="Y2121" s="3"/>
    </row>
    <row r="2122" spans="24:25" x14ac:dyDescent="0.2">
      <c r="X2122" s="3"/>
      <c r="Y2122" s="3"/>
    </row>
    <row r="2123" spans="24:25" x14ac:dyDescent="0.2">
      <c r="X2123" s="3"/>
      <c r="Y2123" s="3"/>
    </row>
    <row r="2124" spans="24:25" x14ac:dyDescent="0.2">
      <c r="X2124" s="3"/>
      <c r="Y2124" s="3"/>
    </row>
    <row r="2125" spans="24:25" x14ac:dyDescent="0.2">
      <c r="X2125" s="3"/>
      <c r="Y2125" s="3"/>
    </row>
    <row r="2126" spans="24:25" x14ac:dyDescent="0.2">
      <c r="X2126" s="3"/>
      <c r="Y2126" s="3"/>
    </row>
    <row r="2127" spans="24:25" x14ac:dyDescent="0.2">
      <c r="X2127" s="3"/>
      <c r="Y2127" s="3"/>
    </row>
    <row r="2128" spans="24:25" x14ac:dyDescent="0.2">
      <c r="X2128" s="3"/>
      <c r="Y2128" s="3"/>
    </row>
    <row r="2129" spans="24:25" x14ac:dyDescent="0.2">
      <c r="X2129" s="3"/>
      <c r="Y2129" s="3"/>
    </row>
    <row r="2130" spans="24:25" x14ac:dyDescent="0.2">
      <c r="X2130" s="3"/>
      <c r="Y2130" s="3"/>
    </row>
    <row r="2131" spans="24:25" x14ac:dyDescent="0.2">
      <c r="X2131" s="3"/>
      <c r="Y2131" s="3"/>
    </row>
    <row r="2132" spans="24:25" x14ac:dyDescent="0.2">
      <c r="X2132" s="3"/>
      <c r="Y2132" s="3"/>
    </row>
    <row r="2133" spans="24:25" x14ac:dyDescent="0.2">
      <c r="X2133" s="3"/>
      <c r="Y2133" s="3"/>
    </row>
    <row r="2134" spans="24:25" x14ac:dyDescent="0.2">
      <c r="X2134" s="3"/>
      <c r="Y2134" s="3"/>
    </row>
    <row r="2135" spans="24:25" x14ac:dyDescent="0.2">
      <c r="X2135" s="3"/>
      <c r="Y2135" s="3"/>
    </row>
    <row r="2136" spans="24:25" x14ac:dyDescent="0.2">
      <c r="X2136" s="3"/>
      <c r="Y2136" s="3"/>
    </row>
    <row r="2137" spans="24:25" x14ac:dyDescent="0.2">
      <c r="X2137" s="3"/>
      <c r="Y2137" s="3"/>
    </row>
    <row r="2138" spans="24:25" x14ac:dyDescent="0.2">
      <c r="X2138" s="3"/>
      <c r="Y2138" s="3"/>
    </row>
    <row r="2139" spans="24:25" x14ac:dyDescent="0.2">
      <c r="X2139" s="3"/>
      <c r="Y2139" s="3"/>
    </row>
    <row r="2140" spans="24:25" x14ac:dyDescent="0.2">
      <c r="X2140" s="3"/>
      <c r="Y2140" s="3"/>
    </row>
    <row r="2141" spans="24:25" x14ac:dyDescent="0.2">
      <c r="X2141" s="3"/>
      <c r="Y2141" s="3"/>
    </row>
    <row r="2142" spans="24:25" x14ac:dyDescent="0.2">
      <c r="X2142" s="3"/>
      <c r="Y2142" s="3"/>
    </row>
    <row r="2143" spans="24:25" x14ac:dyDescent="0.2">
      <c r="X2143" s="3"/>
      <c r="Y2143" s="3"/>
    </row>
    <row r="2144" spans="24:25" x14ac:dyDescent="0.2">
      <c r="X2144" s="3"/>
      <c r="Y2144" s="3"/>
    </row>
    <row r="2145" spans="24:25" x14ac:dyDescent="0.2">
      <c r="X2145" s="3"/>
      <c r="Y2145" s="3"/>
    </row>
    <row r="2146" spans="24:25" x14ac:dyDescent="0.2">
      <c r="X2146" s="3"/>
      <c r="Y2146" s="3"/>
    </row>
    <row r="2147" spans="24:25" x14ac:dyDescent="0.2">
      <c r="X2147" s="3"/>
      <c r="Y2147" s="3"/>
    </row>
    <row r="2148" spans="24:25" x14ac:dyDescent="0.2">
      <c r="X2148" s="3"/>
      <c r="Y2148" s="3"/>
    </row>
    <row r="2149" spans="24:25" x14ac:dyDescent="0.2">
      <c r="X2149" s="3"/>
      <c r="Y2149" s="3"/>
    </row>
    <row r="2150" spans="24:25" x14ac:dyDescent="0.2">
      <c r="X2150" s="3"/>
      <c r="Y2150" s="3"/>
    </row>
    <row r="2151" spans="24:25" x14ac:dyDescent="0.2">
      <c r="X2151" s="3"/>
      <c r="Y2151" s="3"/>
    </row>
    <row r="2152" spans="24:25" x14ac:dyDescent="0.2">
      <c r="X2152" s="3"/>
      <c r="Y2152" s="3"/>
    </row>
    <row r="2153" spans="24:25" x14ac:dyDescent="0.2">
      <c r="X2153" s="3"/>
      <c r="Y2153" s="3"/>
    </row>
    <row r="2154" spans="24:25" x14ac:dyDescent="0.2">
      <c r="X2154" s="3"/>
      <c r="Y2154" s="3"/>
    </row>
    <row r="2155" spans="24:25" x14ac:dyDescent="0.2">
      <c r="X2155" s="3"/>
      <c r="Y2155" s="3"/>
    </row>
    <row r="2156" spans="24:25" x14ac:dyDescent="0.2">
      <c r="X2156" s="3"/>
      <c r="Y2156" s="3"/>
    </row>
    <row r="2157" spans="24:25" x14ac:dyDescent="0.2">
      <c r="X2157" s="3"/>
      <c r="Y2157" s="3"/>
    </row>
    <row r="2158" spans="24:25" x14ac:dyDescent="0.2">
      <c r="X2158" s="3"/>
      <c r="Y2158" s="3"/>
    </row>
    <row r="2159" spans="24:25" x14ac:dyDescent="0.2">
      <c r="X2159" s="3"/>
      <c r="Y2159" s="3"/>
    </row>
    <row r="2160" spans="24:25" x14ac:dyDescent="0.2">
      <c r="X2160" s="3"/>
      <c r="Y2160" s="3"/>
    </row>
    <row r="2161" spans="24:25" x14ac:dyDescent="0.2">
      <c r="X2161" s="3"/>
      <c r="Y2161" s="3"/>
    </row>
    <row r="2162" spans="24:25" x14ac:dyDescent="0.2">
      <c r="X2162" s="3"/>
      <c r="Y2162" s="3"/>
    </row>
    <row r="2163" spans="24:25" x14ac:dyDescent="0.2">
      <c r="X2163" s="3"/>
      <c r="Y2163" s="3"/>
    </row>
    <row r="2164" spans="24:25" x14ac:dyDescent="0.2">
      <c r="X2164" s="3"/>
      <c r="Y2164" s="3"/>
    </row>
    <row r="2165" spans="24:25" x14ac:dyDescent="0.2">
      <c r="X2165" s="3"/>
      <c r="Y2165" s="3"/>
    </row>
    <row r="2166" spans="24:25" x14ac:dyDescent="0.2">
      <c r="X2166" s="3"/>
      <c r="Y2166" s="3"/>
    </row>
    <row r="2167" spans="24:25" x14ac:dyDescent="0.2">
      <c r="X2167" s="3"/>
      <c r="Y2167" s="3"/>
    </row>
    <row r="2168" spans="24:25" x14ac:dyDescent="0.2">
      <c r="X2168" s="3"/>
      <c r="Y2168" s="3"/>
    </row>
    <row r="2169" spans="24:25" x14ac:dyDescent="0.2">
      <c r="X2169" s="3"/>
      <c r="Y2169" s="3"/>
    </row>
    <row r="2170" spans="24:25" x14ac:dyDescent="0.2">
      <c r="X2170" s="3"/>
      <c r="Y2170" s="3"/>
    </row>
    <row r="2171" spans="24:25" x14ac:dyDescent="0.2">
      <c r="X2171" s="3"/>
      <c r="Y2171" s="3"/>
    </row>
    <row r="2172" spans="24:25" x14ac:dyDescent="0.2">
      <c r="X2172" s="3"/>
      <c r="Y2172" s="3"/>
    </row>
    <row r="2173" spans="24:25" x14ac:dyDescent="0.2">
      <c r="X2173" s="3"/>
      <c r="Y2173" s="3"/>
    </row>
    <row r="2174" spans="24:25" x14ac:dyDescent="0.2">
      <c r="X2174" s="3"/>
      <c r="Y2174" s="3"/>
    </row>
    <row r="2175" spans="24:25" x14ac:dyDescent="0.2">
      <c r="X2175" s="3"/>
      <c r="Y2175" s="3"/>
    </row>
    <row r="2176" spans="24:25" x14ac:dyDescent="0.2">
      <c r="X2176" s="3"/>
      <c r="Y2176" s="3"/>
    </row>
    <row r="2177" spans="24:25" x14ac:dyDescent="0.2">
      <c r="X2177" s="3"/>
      <c r="Y2177" s="3"/>
    </row>
    <row r="2178" spans="24:25" x14ac:dyDescent="0.2">
      <c r="X2178" s="3"/>
      <c r="Y2178" s="3"/>
    </row>
    <row r="2179" spans="24:25" x14ac:dyDescent="0.2">
      <c r="X2179" s="3"/>
      <c r="Y2179" s="3"/>
    </row>
    <row r="2180" spans="24:25" x14ac:dyDescent="0.2">
      <c r="X2180" s="3"/>
      <c r="Y2180" s="3"/>
    </row>
    <row r="2181" spans="24:25" x14ac:dyDescent="0.2">
      <c r="X2181" s="3"/>
      <c r="Y2181" s="3"/>
    </row>
    <row r="2182" spans="24:25" x14ac:dyDescent="0.2">
      <c r="X2182" s="3"/>
      <c r="Y2182" s="3"/>
    </row>
    <row r="2183" spans="24:25" x14ac:dyDescent="0.2">
      <c r="X2183" s="3"/>
      <c r="Y2183" s="3"/>
    </row>
    <row r="2184" spans="24:25" x14ac:dyDescent="0.2">
      <c r="X2184" s="3"/>
      <c r="Y2184" s="3"/>
    </row>
    <row r="2185" spans="24:25" x14ac:dyDescent="0.2">
      <c r="X2185" s="3"/>
      <c r="Y2185" s="3"/>
    </row>
    <row r="2186" spans="24:25" x14ac:dyDescent="0.2">
      <c r="X2186" s="3"/>
      <c r="Y2186" s="3"/>
    </row>
    <row r="2187" spans="24:25" x14ac:dyDescent="0.2">
      <c r="X2187" s="3"/>
      <c r="Y2187" s="3"/>
    </row>
    <row r="2188" spans="24:25" x14ac:dyDescent="0.2">
      <c r="X2188" s="3"/>
      <c r="Y2188" s="3"/>
    </row>
    <row r="2189" spans="24:25" x14ac:dyDescent="0.2">
      <c r="X2189" s="3"/>
      <c r="Y2189" s="3"/>
    </row>
    <row r="2190" spans="24:25" x14ac:dyDescent="0.2">
      <c r="X2190" s="3"/>
      <c r="Y2190" s="3"/>
    </row>
    <row r="2191" spans="24:25" x14ac:dyDescent="0.2">
      <c r="X2191" s="3"/>
      <c r="Y2191" s="3"/>
    </row>
    <row r="2192" spans="24:25" x14ac:dyDescent="0.2">
      <c r="X2192" s="3"/>
      <c r="Y2192" s="3"/>
    </row>
    <row r="2193" spans="24:25" x14ac:dyDescent="0.2">
      <c r="X2193" s="3"/>
      <c r="Y2193" s="3"/>
    </row>
    <row r="2194" spans="24:25" x14ac:dyDescent="0.2">
      <c r="X2194" s="3"/>
      <c r="Y2194" s="3"/>
    </row>
    <row r="2195" spans="24:25" x14ac:dyDescent="0.2">
      <c r="X2195" s="3"/>
      <c r="Y2195" s="3"/>
    </row>
    <row r="2196" spans="24:25" x14ac:dyDescent="0.2">
      <c r="X2196" s="3"/>
      <c r="Y2196" s="3"/>
    </row>
    <row r="2197" spans="24:25" x14ac:dyDescent="0.2">
      <c r="X2197" s="3"/>
      <c r="Y2197" s="3"/>
    </row>
    <row r="2198" spans="24:25" x14ac:dyDescent="0.2">
      <c r="X2198" s="3"/>
      <c r="Y2198" s="3"/>
    </row>
    <row r="2199" spans="24:25" x14ac:dyDescent="0.2">
      <c r="X2199" s="3"/>
      <c r="Y2199" s="3"/>
    </row>
    <row r="2200" spans="24:25" x14ac:dyDescent="0.2">
      <c r="X2200" s="3"/>
      <c r="Y2200" s="3"/>
    </row>
    <row r="2201" spans="24:25" x14ac:dyDescent="0.2">
      <c r="X2201" s="3"/>
      <c r="Y2201" s="3"/>
    </row>
    <row r="2202" spans="24:25" x14ac:dyDescent="0.2">
      <c r="X2202" s="3"/>
      <c r="Y2202" s="3"/>
    </row>
    <row r="2203" spans="24:25" x14ac:dyDescent="0.2">
      <c r="X2203" s="3"/>
      <c r="Y2203" s="3"/>
    </row>
    <row r="2204" spans="24:25" x14ac:dyDescent="0.2">
      <c r="X2204" s="3"/>
      <c r="Y2204" s="3"/>
    </row>
    <row r="2205" spans="24:25" x14ac:dyDescent="0.2">
      <c r="X2205" s="3"/>
      <c r="Y2205" s="3"/>
    </row>
    <row r="2206" spans="24:25" x14ac:dyDescent="0.2">
      <c r="X2206" s="3"/>
      <c r="Y2206" s="3"/>
    </row>
    <row r="2207" spans="24:25" x14ac:dyDescent="0.2">
      <c r="X2207" s="3"/>
      <c r="Y2207" s="3"/>
    </row>
    <row r="2208" spans="24:25" x14ac:dyDescent="0.2">
      <c r="X2208" s="3"/>
      <c r="Y2208" s="3"/>
    </row>
    <row r="2209" spans="24:25" x14ac:dyDescent="0.2">
      <c r="X2209" s="3"/>
      <c r="Y2209" s="3"/>
    </row>
    <row r="2210" spans="24:25" x14ac:dyDescent="0.2">
      <c r="X2210" s="3"/>
      <c r="Y2210" s="3"/>
    </row>
    <row r="2211" spans="24:25" x14ac:dyDescent="0.2">
      <c r="X2211" s="3"/>
      <c r="Y2211" s="3"/>
    </row>
    <row r="2212" spans="24:25" x14ac:dyDescent="0.2">
      <c r="X2212" s="3"/>
      <c r="Y2212" s="3"/>
    </row>
    <row r="2213" spans="24:25" x14ac:dyDescent="0.2">
      <c r="X2213" s="3"/>
      <c r="Y2213" s="3"/>
    </row>
    <row r="2214" spans="24:25" x14ac:dyDescent="0.2">
      <c r="X2214" s="3"/>
      <c r="Y2214" s="3"/>
    </row>
    <row r="2215" spans="24:25" x14ac:dyDescent="0.2">
      <c r="X2215" s="3"/>
      <c r="Y2215" s="3"/>
    </row>
    <row r="2216" spans="24:25" x14ac:dyDescent="0.2">
      <c r="X2216" s="3"/>
      <c r="Y2216" s="3"/>
    </row>
    <row r="2217" spans="24:25" x14ac:dyDescent="0.2">
      <c r="X2217" s="3"/>
      <c r="Y2217" s="3"/>
    </row>
    <row r="2218" spans="24:25" x14ac:dyDescent="0.2">
      <c r="X2218" s="3"/>
      <c r="Y2218" s="3"/>
    </row>
    <row r="2219" spans="24:25" x14ac:dyDescent="0.2">
      <c r="X2219" s="3"/>
      <c r="Y2219" s="3"/>
    </row>
    <row r="2220" spans="24:25" x14ac:dyDescent="0.2">
      <c r="X2220" s="3"/>
      <c r="Y2220" s="3"/>
    </row>
    <row r="2221" spans="24:25" x14ac:dyDescent="0.2">
      <c r="X2221" s="3"/>
      <c r="Y2221" s="3"/>
    </row>
    <row r="2222" spans="24:25" x14ac:dyDescent="0.2">
      <c r="X2222" s="3"/>
      <c r="Y2222" s="3"/>
    </row>
    <row r="2223" spans="24:25" x14ac:dyDescent="0.2">
      <c r="X2223" s="3"/>
      <c r="Y2223" s="3"/>
    </row>
    <row r="2224" spans="24:25" x14ac:dyDescent="0.2">
      <c r="X2224" s="3"/>
      <c r="Y2224" s="3"/>
    </row>
    <row r="2225" spans="24:25" x14ac:dyDescent="0.2">
      <c r="X2225" s="3"/>
      <c r="Y2225" s="3"/>
    </row>
    <row r="2226" spans="24:25" x14ac:dyDescent="0.2">
      <c r="X2226" s="3"/>
      <c r="Y2226" s="3"/>
    </row>
    <row r="2227" spans="24:25" x14ac:dyDescent="0.2">
      <c r="X2227" s="3"/>
      <c r="Y2227" s="3"/>
    </row>
    <row r="2228" spans="24:25" x14ac:dyDescent="0.2">
      <c r="X2228" s="3"/>
      <c r="Y2228" s="3"/>
    </row>
    <row r="2229" spans="24:25" x14ac:dyDescent="0.2">
      <c r="X2229" s="3"/>
      <c r="Y2229" s="3"/>
    </row>
    <row r="2230" spans="24:25" x14ac:dyDescent="0.2">
      <c r="X2230" s="3"/>
      <c r="Y2230" s="3"/>
    </row>
    <row r="2231" spans="24:25" x14ac:dyDescent="0.2">
      <c r="X2231" s="3"/>
      <c r="Y2231" s="3"/>
    </row>
    <row r="2232" spans="24:25" x14ac:dyDescent="0.2">
      <c r="X2232" s="3"/>
      <c r="Y2232" s="3"/>
    </row>
    <row r="2233" spans="24:25" x14ac:dyDescent="0.2">
      <c r="X2233" s="3"/>
      <c r="Y2233" s="3"/>
    </row>
    <row r="2234" spans="24:25" x14ac:dyDescent="0.2">
      <c r="X2234" s="3"/>
      <c r="Y2234" s="3"/>
    </row>
    <row r="2235" spans="24:25" x14ac:dyDescent="0.2">
      <c r="X2235" s="3"/>
      <c r="Y2235" s="3"/>
    </row>
    <row r="2236" spans="24:25" x14ac:dyDescent="0.2">
      <c r="X2236" s="3"/>
      <c r="Y2236" s="3"/>
    </row>
    <row r="2237" spans="24:25" x14ac:dyDescent="0.2">
      <c r="X2237" s="3"/>
      <c r="Y2237" s="3"/>
    </row>
    <row r="2238" spans="24:25" x14ac:dyDescent="0.2">
      <c r="X2238" s="3"/>
      <c r="Y2238" s="3"/>
    </row>
    <row r="2239" spans="24:25" x14ac:dyDescent="0.2">
      <c r="X2239" s="3"/>
      <c r="Y2239" s="3"/>
    </row>
    <row r="2240" spans="24:25" x14ac:dyDescent="0.2">
      <c r="X2240" s="3"/>
      <c r="Y2240" s="3"/>
    </row>
    <row r="2241" spans="24:25" x14ac:dyDescent="0.2">
      <c r="X2241" s="3"/>
      <c r="Y2241" s="3"/>
    </row>
    <row r="2242" spans="24:25" x14ac:dyDescent="0.2">
      <c r="X2242" s="3"/>
      <c r="Y2242" s="3"/>
    </row>
    <row r="2243" spans="24:25" x14ac:dyDescent="0.2">
      <c r="X2243" s="3"/>
      <c r="Y2243" s="3"/>
    </row>
    <row r="2244" spans="24:25" x14ac:dyDescent="0.2">
      <c r="X2244" s="3"/>
      <c r="Y2244" s="3"/>
    </row>
    <row r="2245" spans="24:25" x14ac:dyDescent="0.2">
      <c r="X2245" s="3"/>
      <c r="Y2245" s="3"/>
    </row>
    <row r="2246" spans="24:25" x14ac:dyDescent="0.2">
      <c r="X2246" s="3"/>
      <c r="Y2246" s="3"/>
    </row>
    <row r="2247" spans="24:25" x14ac:dyDescent="0.2">
      <c r="X2247" s="3"/>
      <c r="Y2247" s="3"/>
    </row>
    <row r="2248" spans="24:25" x14ac:dyDescent="0.2">
      <c r="X2248" s="3"/>
      <c r="Y2248" s="3"/>
    </row>
    <row r="2249" spans="24:25" x14ac:dyDescent="0.2">
      <c r="X2249" s="3"/>
      <c r="Y2249" s="3"/>
    </row>
    <row r="2250" spans="24:25" x14ac:dyDescent="0.2">
      <c r="X2250" s="3"/>
      <c r="Y2250" s="3"/>
    </row>
    <row r="2251" spans="24:25" x14ac:dyDescent="0.2">
      <c r="X2251" s="3"/>
      <c r="Y2251" s="3"/>
    </row>
    <row r="2252" spans="24:25" x14ac:dyDescent="0.2">
      <c r="X2252" s="3"/>
      <c r="Y2252" s="3"/>
    </row>
    <row r="2253" spans="24:25" x14ac:dyDescent="0.2">
      <c r="X2253" s="3"/>
      <c r="Y2253" s="3"/>
    </row>
    <row r="2254" spans="24:25" x14ac:dyDescent="0.2">
      <c r="X2254" s="3"/>
      <c r="Y2254" s="3"/>
    </row>
    <row r="2255" spans="24:25" x14ac:dyDescent="0.2">
      <c r="X2255" s="3"/>
      <c r="Y2255" s="3"/>
    </row>
    <row r="2256" spans="24:25" x14ac:dyDescent="0.2">
      <c r="X2256" s="3"/>
      <c r="Y2256" s="3"/>
    </row>
    <row r="2257" spans="24:25" x14ac:dyDescent="0.2">
      <c r="X2257" s="3"/>
      <c r="Y2257" s="3"/>
    </row>
    <row r="2258" spans="24:25" x14ac:dyDescent="0.2">
      <c r="X2258" s="3"/>
      <c r="Y2258" s="3"/>
    </row>
    <row r="2259" spans="24:25" x14ac:dyDescent="0.2">
      <c r="X2259" s="3"/>
      <c r="Y2259" s="3"/>
    </row>
    <row r="2260" spans="24:25" x14ac:dyDescent="0.2">
      <c r="X2260" s="3"/>
      <c r="Y2260" s="3"/>
    </row>
    <row r="2261" spans="24:25" x14ac:dyDescent="0.2">
      <c r="X2261" s="3"/>
      <c r="Y2261" s="3"/>
    </row>
    <row r="2262" spans="24:25" x14ac:dyDescent="0.2">
      <c r="X2262" s="3"/>
      <c r="Y2262" s="3"/>
    </row>
    <row r="2263" spans="24:25" x14ac:dyDescent="0.2">
      <c r="X2263" s="3"/>
      <c r="Y2263" s="3"/>
    </row>
    <row r="2264" spans="24:25" x14ac:dyDescent="0.2">
      <c r="X2264" s="3"/>
      <c r="Y2264" s="3"/>
    </row>
    <row r="2265" spans="24:25" x14ac:dyDescent="0.2">
      <c r="X2265" s="3"/>
      <c r="Y2265" s="3"/>
    </row>
    <row r="2266" spans="24:25" x14ac:dyDescent="0.2">
      <c r="X2266" s="3"/>
      <c r="Y2266" s="3"/>
    </row>
    <row r="2267" spans="24:25" x14ac:dyDescent="0.2">
      <c r="X2267" s="3"/>
      <c r="Y2267" s="3"/>
    </row>
    <row r="2268" spans="24:25" x14ac:dyDescent="0.2">
      <c r="X2268" s="3"/>
      <c r="Y2268" s="3"/>
    </row>
    <row r="2269" spans="24:25" x14ac:dyDescent="0.2">
      <c r="X2269" s="3"/>
      <c r="Y2269" s="3"/>
    </row>
    <row r="2270" spans="24:25" x14ac:dyDescent="0.2">
      <c r="X2270" s="3"/>
      <c r="Y2270" s="3"/>
    </row>
    <row r="2271" spans="24:25" x14ac:dyDescent="0.2">
      <c r="X2271" s="3"/>
      <c r="Y2271" s="3"/>
    </row>
    <row r="2272" spans="24:25" x14ac:dyDescent="0.2">
      <c r="X2272" s="3"/>
      <c r="Y2272" s="3"/>
    </row>
    <row r="2273" spans="24:25" x14ac:dyDescent="0.2">
      <c r="X2273" s="3"/>
      <c r="Y2273" s="3"/>
    </row>
    <row r="2274" spans="24:25" x14ac:dyDescent="0.2">
      <c r="X2274" s="3"/>
      <c r="Y2274" s="3"/>
    </row>
    <row r="2275" spans="24:25" x14ac:dyDescent="0.2">
      <c r="X2275" s="3"/>
      <c r="Y2275" s="3"/>
    </row>
    <row r="2276" spans="24:25" x14ac:dyDescent="0.2">
      <c r="X2276" s="3"/>
      <c r="Y2276" s="3"/>
    </row>
    <row r="2277" spans="24:25" x14ac:dyDescent="0.2">
      <c r="X2277" s="3"/>
      <c r="Y2277" s="3"/>
    </row>
    <row r="2278" spans="24:25" x14ac:dyDescent="0.2">
      <c r="X2278" s="3"/>
      <c r="Y2278" s="3"/>
    </row>
    <row r="2279" spans="24:25" x14ac:dyDescent="0.2">
      <c r="X2279" s="3"/>
      <c r="Y2279" s="3"/>
    </row>
    <row r="2280" spans="24:25" x14ac:dyDescent="0.2">
      <c r="X2280" s="3"/>
      <c r="Y2280" s="3"/>
    </row>
    <row r="2281" spans="24:25" x14ac:dyDescent="0.2">
      <c r="X2281" s="3"/>
      <c r="Y2281" s="3"/>
    </row>
    <row r="2282" spans="24:25" x14ac:dyDescent="0.2">
      <c r="X2282" s="3"/>
      <c r="Y2282" s="3"/>
    </row>
    <row r="2283" spans="24:25" x14ac:dyDescent="0.2">
      <c r="X2283" s="3"/>
      <c r="Y2283" s="3"/>
    </row>
    <row r="2284" spans="24:25" x14ac:dyDescent="0.2">
      <c r="X2284" s="3"/>
      <c r="Y2284" s="3"/>
    </row>
    <row r="2285" spans="24:25" x14ac:dyDescent="0.2">
      <c r="X2285" s="3"/>
      <c r="Y2285" s="3"/>
    </row>
    <row r="2286" spans="24:25" x14ac:dyDescent="0.2">
      <c r="X2286" s="3"/>
      <c r="Y2286" s="3"/>
    </row>
    <row r="2287" spans="24:25" x14ac:dyDescent="0.2">
      <c r="X2287" s="3"/>
      <c r="Y2287" s="3"/>
    </row>
    <row r="2288" spans="24:25" x14ac:dyDescent="0.2">
      <c r="X2288" s="3"/>
      <c r="Y2288" s="3"/>
    </row>
    <row r="2289" spans="24:25" x14ac:dyDescent="0.2">
      <c r="X2289" s="3"/>
      <c r="Y2289" s="3"/>
    </row>
    <row r="2290" spans="24:25" x14ac:dyDescent="0.2">
      <c r="X2290" s="3"/>
      <c r="Y2290" s="3"/>
    </row>
    <row r="2291" spans="24:25" x14ac:dyDescent="0.2">
      <c r="X2291" s="3"/>
      <c r="Y2291" s="3"/>
    </row>
    <row r="2292" spans="24:25" x14ac:dyDescent="0.2">
      <c r="X2292" s="3"/>
      <c r="Y2292" s="3"/>
    </row>
    <row r="2293" spans="24:25" x14ac:dyDescent="0.2">
      <c r="X2293" s="3"/>
      <c r="Y2293" s="3"/>
    </row>
    <row r="2294" spans="24:25" x14ac:dyDescent="0.2">
      <c r="X2294" s="3"/>
      <c r="Y2294" s="3"/>
    </row>
    <row r="2295" spans="24:25" x14ac:dyDescent="0.2">
      <c r="X2295" s="3"/>
      <c r="Y2295" s="3"/>
    </row>
    <row r="2296" spans="24:25" x14ac:dyDescent="0.2">
      <c r="X2296" s="3"/>
      <c r="Y2296" s="3"/>
    </row>
    <row r="2297" spans="24:25" x14ac:dyDescent="0.2">
      <c r="X2297" s="3"/>
      <c r="Y2297" s="3"/>
    </row>
    <row r="2298" spans="24:25" x14ac:dyDescent="0.2">
      <c r="X2298" s="3"/>
      <c r="Y2298" s="3"/>
    </row>
    <row r="2299" spans="24:25" x14ac:dyDescent="0.2">
      <c r="X2299" s="3"/>
      <c r="Y2299" s="3"/>
    </row>
    <row r="2300" spans="24:25" x14ac:dyDescent="0.2">
      <c r="X2300" s="3"/>
      <c r="Y2300" s="3"/>
    </row>
    <row r="2301" spans="24:25" x14ac:dyDescent="0.2">
      <c r="X2301" s="3"/>
      <c r="Y2301" s="3"/>
    </row>
    <row r="2302" spans="24:25" x14ac:dyDescent="0.2">
      <c r="X2302" s="3"/>
      <c r="Y2302" s="3"/>
    </row>
    <row r="2303" spans="24:25" x14ac:dyDescent="0.2">
      <c r="X2303" s="3"/>
      <c r="Y2303" s="3"/>
    </row>
    <row r="2304" spans="24:25" x14ac:dyDescent="0.2">
      <c r="X2304" s="3"/>
      <c r="Y2304" s="3"/>
    </row>
    <row r="2305" spans="24:25" x14ac:dyDescent="0.2">
      <c r="X2305" s="3"/>
      <c r="Y2305" s="3"/>
    </row>
    <row r="2306" spans="24:25" x14ac:dyDescent="0.2">
      <c r="X2306" s="3"/>
      <c r="Y2306" s="3"/>
    </row>
    <row r="2307" spans="24:25" x14ac:dyDescent="0.2">
      <c r="X2307" s="3"/>
      <c r="Y2307" s="3"/>
    </row>
    <row r="2308" spans="24:25" x14ac:dyDescent="0.2">
      <c r="X2308" s="3"/>
      <c r="Y2308" s="3"/>
    </row>
    <row r="2309" spans="24:25" x14ac:dyDescent="0.2">
      <c r="X2309" s="3"/>
      <c r="Y2309" s="3"/>
    </row>
    <row r="2310" spans="24:25" x14ac:dyDescent="0.2">
      <c r="X2310" s="3"/>
      <c r="Y2310" s="3"/>
    </row>
    <row r="2311" spans="24:25" x14ac:dyDescent="0.2">
      <c r="X2311" s="3"/>
      <c r="Y2311" s="3"/>
    </row>
    <row r="2312" spans="24:25" x14ac:dyDescent="0.2">
      <c r="X2312" s="3"/>
      <c r="Y2312" s="3"/>
    </row>
    <row r="2313" spans="24:25" x14ac:dyDescent="0.2">
      <c r="X2313" s="3"/>
      <c r="Y2313" s="3"/>
    </row>
    <row r="2314" spans="24:25" x14ac:dyDescent="0.2">
      <c r="X2314" s="3"/>
      <c r="Y2314" s="3"/>
    </row>
    <row r="2315" spans="24:25" x14ac:dyDescent="0.2">
      <c r="X2315" s="3"/>
      <c r="Y2315" s="3"/>
    </row>
    <row r="2316" spans="24:25" x14ac:dyDescent="0.2">
      <c r="X2316" s="3"/>
      <c r="Y2316" s="3"/>
    </row>
    <row r="2317" spans="24:25" x14ac:dyDescent="0.2">
      <c r="X2317" s="3"/>
      <c r="Y2317" s="3"/>
    </row>
    <row r="2318" spans="24:25" x14ac:dyDescent="0.2">
      <c r="X2318" s="3"/>
      <c r="Y2318" s="3"/>
    </row>
    <row r="2319" spans="24:25" x14ac:dyDescent="0.2">
      <c r="X2319" s="3"/>
      <c r="Y2319" s="3"/>
    </row>
    <row r="2320" spans="24:25" x14ac:dyDescent="0.2">
      <c r="X2320" s="3"/>
      <c r="Y2320" s="3"/>
    </row>
    <row r="2321" spans="24:25" x14ac:dyDescent="0.2">
      <c r="X2321" s="3"/>
      <c r="Y2321" s="3"/>
    </row>
    <row r="2322" spans="24:25" x14ac:dyDescent="0.2">
      <c r="X2322" s="3"/>
      <c r="Y2322" s="3"/>
    </row>
    <row r="2323" spans="24:25" x14ac:dyDescent="0.2">
      <c r="X2323" s="3"/>
      <c r="Y2323" s="3"/>
    </row>
    <row r="2324" spans="24:25" x14ac:dyDescent="0.2">
      <c r="X2324" s="3"/>
      <c r="Y2324" s="3"/>
    </row>
    <row r="2325" spans="24:25" x14ac:dyDescent="0.2">
      <c r="X2325" s="3"/>
      <c r="Y2325" s="3"/>
    </row>
    <row r="2326" spans="24:25" x14ac:dyDescent="0.2">
      <c r="X2326" s="3"/>
      <c r="Y2326" s="3"/>
    </row>
    <row r="2327" spans="24:25" x14ac:dyDescent="0.2">
      <c r="X2327" s="3"/>
      <c r="Y2327" s="3"/>
    </row>
    <row r="2328" spans="24:25" x14ac:dyDescent="0.2">
      <c r="X2328" s="3"/>
      <c r="Y2328" s="3"/>
    </row>
    <row r="2329" spans="24:25" x14ac:dyDescent="0.2">
      <c r="X2329" s="3"/>
      <c r="Y2329" s="3"/>
    </row>
    <row r="2330" spans="24:25" x14ac:dyDescent="0.2">
      <c r="X2330" s="3"/>
      <c r="Y2330" s="3"/>
    </row>
    <row r="2331" spans="24:25" x14ac:dyDescent="0.2">
      <c r="X2331" s="3"/>
      <c r="Y2331" s="3"/>
    </row>
    <row r="2332" spans="24:25" x14ac:dyDescent="0.2">
      <c r="X2332" s="3"/>
      <c r="Y2332" s="3"/>
    </row>
    <row r="2333" spans="24:25" x14ac:dyDescent="0.2">
      <c r="X2333" s="3"/>
      <c r="Y2333" s="3"/>
    </row>
    <row r="2334" spans="24:25" x14ac:dyDescent="0.2">
      <c r="X2334" s="3"/>
      <c r="Y2334" s="3"/>
    </row>
    <row r="2335" spans="24:25" x14ac:dyDescent="0.2">
      <c r="X2335" s="3"/>
      <c r="Y2335" s="3"/>
    </row>
    <row r="2336" spans="24:25" x14ac:dyDescent="0.2">
      <c r="X2336" s="3"/>
      <c r="Y2336" s="3"/>
    </row>
    <row r="2337" spans="24:25" x14ac:dyDescent="0.2">
      <c r="X2337" s="3"/>
      <c r="Y2337" s="3"/>
    </row>
    <row r="2338" spans="24:25" x14ac:dyDescent="0.2">
      <c r="X2338" s="3"/>
      <c r="Y2338" s="3"/>
    </row>
    <row r="2339" spans="24:25" x14ac:dyDescent="0.2">
      <c r="X2339" s="3"/>
      <c r="Y2339" s="3"/>
    </row>
    <row r="2340" spans="24:25" x14ac:dyDescent="0.2">
      <c r="X2340" s="3"/>
      <c r="Y2340" s="3"/>
    </row>
    <row r="2341" spans="24:25" x14ac:dyDescent="0.2">
      <c r="X2341" s="3"/>
      <c r="Y2341" s="3"/>
    </row>
    <row r="2342" spans="24:25" x14ac:dyDescent="0.2">
      <c r="X2342" s="3"/>
      <c r="Y2342" s="3"/>
    </row>
    <row r="2343" spans="24:25" x14ac:dyDescent="0.2">
      <c r="X2343" s="3"/>
      <c r="Y2343" s="3"/>
    </row>
    <row r="2344" spans="24:25" x14ac:dyDescent="0.2">
      <c r="X2344" s="3"/>
      <c r="Y2344" s="3"/>
    </row>
    <row r="2345" spans="24:25" x14ac:dyDescent="0.2">
      <c r="X2345" s="3"/>
      <c r="Y2345" s="3"/>
    </row>
    <row r="2346" spans="24:25" x14ac:dyDescent="0.2">
      <c r="X2346" s="3"/>
      <c r="Y2346" s="3"/>
    </row>
    <row r="2347" spans="24:25" x14ac:dyDescent="0.2">
      <c r="X2347" s="3"/>
      <c r="Y2347" s="3"/>
    </row>
    <row r="2348" spans="24:25" x14ac:dyDescent="0.2">
      <c r="X2348" s="3"/>
      <c r="Y2348" s="3"/>
    </row>
    <row r="2349" spans="24:25" x14ac:dyDescent="0.2">
      <c r="X2349" s="3"/>
      <c r="Y2349" s="3"/>
    </row>
    <row r="2350" spans="24:25" x14ac:dyDescent="0.2">
      <c r="X2350" s="3"/>
      <c r="Y2350" s="3"/>
    </row>
    <row r="2351" spans="24:25" x14ac:dyDescent="0.2">
      <c r="X2351" s="3"/>
      <c r="Y2351" s="3"/>
    </row>
    <row r="2352" spans="24:25" x14ac:dyDescent="0.2">
      <c r="X2352" s="3"/>
      <c r="Y2352" s="3"/>
    </row>
    <row r="2353" spans="24:25" x14ac:dyDescent="0.2">
      <c r="X2353" s="3"/>
      <c r="Y2353" s="3"/>
    </row>
    <row r="2354" spans="24:25" x14ac:dyDescent="0.2">
      <c r="X2354" s="3"/>
      <c r="Y2354" s="3"/>
    </row>
    <row r="2355" spans="24:25" x14ac:dyDescent="0.2">
      <c r="X2355" s="3"/>
      <c r="Y2355" s="3"/>
    </row>
    <row r="2356" spans="24:25" x14ac:dyDescent="0.2">
      <c r="X2356" s="3"/>
      <c r="Y2356" s="3"/>
    </row>
    <row r="2357" spans="24:25" x14ac:dyDescent="0.2">
      <c r="X2357" s="3"/>
      <c r="Y2357" s="3"/>
    </row>
    <row r="2358" spans="24:25" x14ac:dyDescent="0.2">
      <c r="X2358" s="3"/>
      <c r="Y2358" s="3"/>
    </row>
    <row r="2359" spans="24:25" x14ac:dyDescent="0.2">
      <c r="X2359" s="3"/>
      <c r="Y2359" s="3"/>
    </row>
    <row r="2360" spans="24:25" x14ac:dyDescent="0.2">
      <c r="X2360" s="3"/>
      <c r="Y2360" s="3"/>
    </row>
    <row r="2361" spans="24:25" x14ac:dyDescent="0.2">
      <c r="X2361" s="3"/>
      <c r="Y2361" s="3"/>
    </row>
    <row r="2362" spans="24:25" x14ac:dyDescent="0.2">
      <c r="X2362" s="3"/>
      <c r="Y2362" s="3"/>
    </row>
    <row r="2363" spans="24:25" x14ac:dyDescent="0.2">
      <c r="X2363" s="3"/>
      <c r="Y2363" s="3"/>
    </row>
    <row r="2364" spans="24:25" x14ac:dyDescent="0.2">
      <c r="X2364" s="3"/>
      <c r="Y2364" s="3"/>
    </row>
    <row r="2365" spans="24:25" x14ac:dyDescent="0.2">
      <c r="X2365" s="3"/>
      <c r="Y2365" s="3"/>
    </row>
    <row r="2366" spans="24:25" x14ac:dyDescent="0.2">
      <c r="X2366" s="3"/>
      <c r="Y2366" s="3"/>
    </row>
    <row r="2367" spans="24:25" x14ac:dyDescent="0.2">
      <c r="X2367" s="3"/>
      <c r="Y2367" s="3"/>
    </row>
    <row r="2368" spans="24:25" x14ac:dyDescent="0.2">
      <c r="X2368" s="3"/>
      <c r="Y2368" s="3"/>
    </row>
    <row r="2369" spans="24:25" x14ac:dyDescent="0.2">
      <c r="X2369" s="3"/>
      <c r="Y2369" s="3"/>
    </row>
    <row r="2370" spans="24:25" x14ac:dyDescent="0.2">
      <c r="X2370" s="3"/>
      <c r="Y2370" s="3"/>
    </row>
    <row r="2371" spans="24:25" x14ac:dyDescent="0.2">
      <c r="X2371" s="3"/>
      <c r="Y2371" s="3"/>
    </row>
    <row r="2372" spans="24:25" x14ac:dyDescent="0.2">
      <c r="X2372" s="3"/>
      <c r="Y2372" s="3"/>
    </row>
    <row r="2373" spans="24:25" x14ac:dyDescent="0.2">
      <c r="X2373" s="3"/>
      <c r="Y2373" s="3"/>
    </row>
    <row r="2374" spans="24:25" x14ac:dyDescent="0.2">
      <c r="X2374" s="3"/>
      <c r="Y2374" s="3"/>
    </row>
    <row r="2375" spans="24:25" x14ac:dyDescent="0.2">
      <c r="X2375" s="3"/>
      <c r="Y2375" s="3"/>
    </row>
    <row r="2376" spans="24:25" x14ac:dyDescent="0.2">
      <c r="X2376" s="3"/>
      <c r="Y2376" s="3"/>
    </row>
    <row r="2377" spans="24:25" x14ac:dyDescent="0.2">
      <c r="X2377" s="3"/>
      <c r="Y2377" s="3"/>
    </row>
    <row r="2378" spans="24:25" x14ac:dyDescent="0.2">
      <c r="X2378" s="3"/>
      <c r="Y2378" s="3"/>
    </row>
    <row r="2379" spans="24:25" x14ac:dyDescent="0.2">
      <c r="X2379" s="3"/>
      <c r="Y2379" s="3"/>
    </row>
    <row r="2380" spans="24:25" x14ac:dyDescent="0.2">
      <c r="X2380" s="3"/>
      <c r="Y2380" s="3"/>
    </row>
    <row r="2381" spans="24:25" x14ac:dyDescent="0.2">
      <c r="X2381" s="3"/>
      <c r="Y2381" s="3"/>
    </row>
    <row r="2382" spans="24:25" x14ac:dyDescent="0.2">
      <c r="X2382" s="3"/>
      <c r="Y2382" s="3"/>
    </row>
    <row r="2383" spans="24:25" x14ac:dyDescent="0.2">
      <c r="X2383" s="3"/>
      <c r="Y2383" s="3"/>
    </row>
    <row r="2384" spans="24:25" x14ac:dyDescent="0.2">
      <c r="X2384" s="3"/>
      <c r="Y2384" s="3"/>
    </row>
    <row r="2385" spans="24:25" x14ac:dyDescent="0.2">
      <c r="X2385" s="3"/>
      <c r="Y2385" s="3"/>
    </row>
    <row r="2386" spans="24:25" x14ac:dyDescent="0.2">
      <c r="X2386" s="3"/>
      <c r="Y2386" s="3"/>
    </row>
    <row r="2387" spans="24:25" x14ac:dyDescent="0.2">
      <c r="X2387" s="3"/>
      <c r="Y2387" s="3"/>
    </row>
    <row r="2388" spans="24:25" x14ac:dyDescent="0.2">
      <c r="X2388" s="3"/>
      <c r="Y2388" s="3"/>
    </row>
    <row r="2389" spans="24:25" x14ac:dyDescent="0.2">
      <c r="X2389" s="3"/>
      <c r="Y2389" s="3"/>
    </row>
    <row r="2390" spans="24:25" x14ac:dyDescent="0.2">
      <c r="X2390" s="3"/>
      <c r="Y2390" s="3"/>
    </row>
    <row r="2391" spans="24:25" x14ac:dyDescent="0.2">
      <c r="X2391" s="3"/>
      <c r="Y2391" s="3"/>
    </row>
    <row r="2392" spans="24:25" x14ac:dyDescent="0.2">
      <c r="X2392" s="3"/>
      <c r="Y2392" s="3"/>
    </row>
    <row r="2393" spans="24:25" x14ac:dyDescent="0.2">
      <c r="X2393" s="3"/>
      <c r="Y2393" s="3"/>
    </row>
    <row r="2394" spans="24:25" x14ac:dyDescent="0.2">
      <c r="X2394" s="3"/>
      <c r="Y2394" s="3"/>
    </row>
    <row r="2395" spans="24:25" x14ac:dyDescent="0.2">
      <c r="X2395" s="3"/>
      <c r="Y2395" s="3"/>
    </row>
    <row r="2396" spans="24:25" x14ac:dyDescent="0.2">
      <c r="X2396" s="3"/>
      <c r="Y2396" s="3"/>
    </row>
    <row r="2397" spans="24:25" x14ac:dyDescent="0.2">
      <c r="X2397" s="3"/>
      <c r="Y2397" s="3"/>
    </row>
    <row r="2398" spans="24:25" x14ac:dyDescent="0.2">
      <c r="X2398" s="3"/>
      <c r="Y2398" s="3"/>
    </row>
    <row r="2399" spans="24:25" x14ac:dyDescent="0.2">
      <c r="X2399" s="3"/>
      <c r="Y2399" s="3"/>
    </row>
    <row r="2400" spans="24:25" x14ac:dyDescent="0.2">
      <c r="X2400" s="3"/>
      <c r="Y2400" s="3"/>
    </row>
    <row r="2401" spans="24:25" x14ac:dyDescent="0.2">
      <c r="X2401" s="3"/>
      <c r="Y2401" s="3"/>
    </row>
    <row r="2402" spans="24:25" x14ac:dyDescent="0.2">
      <c r="X2402" s="3"/>
      <c r="Y2402" s="3"/>
    </row>
    <row r="2403" spans="24:25" x14ac:dyDescent="0.2">
      <c r="X2403" s="3"/>
      <c r="Y2403" s="3"/>
    </row>
    <row r="2404" spans="24:25" x14ac:dyDescent="0.2">
      <c r="X2404" s="3"/>
      <c r="Y2404" s="3"/>
    </row>
    <row r="2405" spans="24:25" x14ac:dyDescent="0.2">
      <c r="X2405" s="3"/>
      <c r="Y2405" s="3"/>
    </row>
    <row r="2406" spans="24:25" x14ac:dyDescent="0.2">
      <c r="X2406" s="3"/>
      <c r="Y2406" s="3"/>
    </row>
    <row r="2407" spans="24:25" x14ac:dyDescent="0.2">
      <c r="X2407" s="3"/>
      <c r="Y2407" s="3"/>
    </row>
    <row r="2408" spans="24:25" x14ac:dyDescent="0.2">
      <c r="X2408" s="3"/>
      <c r="Y2408" s="3"/>
    </row>
    <row r="2409" spans="24:25" x14ac:dyDescent="0.2">
      <c r="X2409" s="3"/>
      <c r="Y2409" s="3"/>
    </row>
    <row r="2410" spans="24:25" x14ac:dyDescent="0.2">
      <c r="X2410" s="3"/>
      <c r="Y2410" s="3"/>
    </row>
    <row r="2411" spans="24:25" x14ac:dyDescent="0.2">
      <c r="X2411" s="3"/>
      <c r="Y2411" s="3"/>
    </row>
    <row r="2412" spans="24:25" x14ac:dyDescent="0.2">
      <c r="X2412" s="3"/>
      <c r="Y2412" s="3"/>
    </row>
    <row r="2413" spans="24:25" x14ac:dyDescent="0.2">
      <c r="X2413" s="3"/>
      <c r="Y2413" s="3"/>
    </row>
    <row r="2414" spans="24:25" x14ac:dyDescent="0.2">
      <c r="X2414" s="3"/>
      <c r="Y2414" s="3"/>
    </row>
    <row r="2415" spans="24:25" x14ac:dyDescent="0.2">
      <c r="X2415" s="3"/>
      <c r="Y2415" s="3"/>
    </row>
    <row r="2416" spans="24:25" x14ac:dyDescent="0.2">
      <c r="X2416" s="3"/>
      <c r="Y2416" s="3"/>
    </row>
    <row r="2417" spans="24:25" x14ac:dyDescent="0.2">
      <c r="X2417" s="3"/>
      <c r="Y2417" s="3"/>
    </row>
    <row r="2418" spans="24:25" x14ac:dyDescent="0.2">
      <c r="X2418" s="3"/>
      <c r="Y2418" s="3"/>
    </row>
    <row r="2419" spans="24:25" x14ac:dyDescent="0.2">
      <c r="X2419" s="3"/>
      <c r="Y2419" s="3"/>
    </row>
    <row r="2420" spans="24:25" x14ac:dyDescent="0.2">
      <c r="X2420" s="3"/>
      <c r="Y2420" s="3"/>
    </row>
    <row r="2421" spans="24:25" x14ac:dyDescent="0.2">
      <c r="X2421" s="3"/>
      <c r="Y2421" s="3"/>
    </row>
    <row r="2422" spans="24:25" x14ac:dyDescent="0.2">
      <c r="X2422" s="3"/>
      <c r="Y2422" s="3"/>
    </row>
    <row r="2423" spans="24:25" x14ac:dyDescent="0.2">
      <c r="X2423" s="3"/>
      <c r="Y2423" s="3"/>
    </row>
    <row r="2424" spans="24:25" x14ac:dyDescent="0.2">
      <c r="X2424" s="3"/>
      <c r="Y2424" s="3"/>
    </row>
    <row r="2425" spans="24:25" x14ac:dyDescent="0.2">
      <c r="X2425" s="3"/>
      <c r="Y2425" s="3"/>
    </row>
    <row r="2426" spans="24:25" x14ac:dyDescent="0.2">
      <c r="X2426" s="3"/>
      <c r="Y2426" s="3"/>
    </row>
    <row r="2427" spans="24:25" x14ac:dyDescent="0.2">
      <c r="X2427" s="3"/>
      <c r="Y2427" s="3"/>
    </row>
    <row r="2428" spans="24:25" x14ac:dyDescent="0.2">
      <c r="X2428" s="3"/>
      <c r="Y2428" s="3"/>
    </row>
    <row r="2429" spans="24:25" x14ac:dyDescent="0.2">
      <c r="X2429" s="3"/>
      <c r="Y2429" s="3"/>
    </row>
    <row r="2430" spans="24:25" x14ac:dyDescent="0.2">
      <c r="X2430" s="3"/>
      <c r="Y2430" s="3"/>
    </row>
    <row r="2431" spans="24:25" x14ac:dyDescent="0.2">
      <c r="X2431" s="3"/>
      <c r="Y2431" s="3"/>
    </row>
    <row r="2432" spans="24:25" x14ac:dyDescent="0.2">
      <c r="X2432" s="3"/>
      <c r="Y2432" s="3"/>
    </row>
    <row r="2433" spans="24:25" x14ac:dyDescent="0.2">
      <c r="X2433" s="3"/>
      <c r="Y2433" s="3"/>
    </row>
    <row r="2434" spans="24:25" x14ac:dyDescent="0.2">
      <c r="X2434" s="3"/>
      <c r="Y2434" s="3"/>
    </row>
    <row r="2435" spans="24:25" x14ac:dyDescent="0.2">
      <c r="X2435" s="3"/>
      <c r="Y2435" s="3"/>
    </row>
    <row r="2436" spans="24:25" x14ac:dyDescent="0.2">
      <c r="X2436" s="3"/>
      <c r="Y2436" s="3"/>
    </row>
    <row r="2437" spans="24:25" x14ac:dyDescent="0.2">
      <c r="X2437" s="3"/>
      <c r="Y2437" s="3"/>
    </row>
    <row r="2438" spans="24:25" x14ac:dyDescent="0.2">
      <c r="X2438" s="3"/>
      <c r="Y2438" s="3"/>
    </row>
    <row r="2439" spans="24:25" x14ac:dyDescent="0.2">
      <c r="X2439" s="3"/>
      <c r="Y2439" s="3"/>
    </row>
    <row r="2440" spans="24:25" x14ac:dyDescent="0.2">
      <c r="X2440" s="3"/>
      <c r="Y2440" s="3"/>
    </row>
    <row r="2441" spans="24:25" x14ac:dyDescent="0.2">
      <c r="X2441" s="3"/>
      <c r="Y2441" s="3"/>
    </row>
    <row r="2442" spans="24:25" x14ac:dyDescent="0.2">
      <c r="X2442" s="3"/>
      <c r="Y2442" s="3"/>
    </row>
    <row r="2443" spans="24:25" x14ac:dyDescent="0.2">
      <c r="X2443" s="3"/>
      <c r="Y2443" s="3"/>
    </row>
    <row r="2444" spans="24:25" x14ac:dyDescent="0.2">
      <c r="X2444" s="3"/>
      <c r="Y2444" s="3"/>
    </row>
    <row r="2445" spans="24:25" x14ac:dyDescent="0.2">
      <c r="X2445" s="3"/>
      <c r="Y2445" s="3"/>
    </row>
    <row r="2446" spans="24:25" x14ac:dyDescent="0.2">
      <c r="X2446" s="3"/>
      <c r="Y2446" s="3"/>
    </row>
    <row r="2447" spans="24:25" x14ac:dyDescent="0.2">
      <c r="X2447" s="3"/>
      <c r="Y2447" s="3"/>
    </row>
    <row r="2448" spans="24:25" x14ac:dyDescent="0.2">
      <c r="X2448" s="3"/>
      <c r="Y2448" s="3"/>
    </row>
    <row r="2449" spans="24:25" x14ac:dyDescent="0.2">
      <c r="X2449" s="3"/>
      <c r="Y2449" s="3"/>
    </row>
    <row r="2450" spans="24:25" x14ac:dyDescent="0.2">
      <c r="X2450" s="3"/>
      <c r="Y2450" s="3"/>
    </row>
    <row r="2451" spans="24:25" x14ac:dyDescent="0.2">
      <c r="X2451" s="3"/>
      <c r="Y2451" s="3"/>
    </row>
    <row r="2452" spans="24:25" x14ac:dyDescent="0.2">
      <c r="X2452" s="3"/>
      <c r="Y2452" s="3"/>
    </row>
    <row r="2453" spans="24:25" x14ac:dyDescent="0.2">
      <c r="X2453" s="3"/>
      <c r="Y2453" s="3"/>
    </row>
    <row r="2454" spans="24:25" x14ac:dyDescent="0.2">
      <c r="X2454" s="3"/>
      <c r="Y2454" s="3"/>
    </row>
    <row r="2455" spans="24:25" x14ac:dyDescent="0.2">
      <c r="X2455" s="3"/>
      <c r="Y2455" s="3"/>
    </row>
    <row r="2456" spans="24:25" x14ac:dyDescent="0.2">
      <c r="X2456" s="3"/>
      <c r="Y2456" s="3"/>
    </row>
    <row r="2457" spans="24:25" x14ac:dyDescent="0.2">
      <c r="X2457" s="3"/>
      <c r="Y2457" s="3"/>
    </row>
    <row r="2458" spans="24:25" x14ac:dyDescent="0.2">
      <c r="X2458" s="3"/>
      <c r="Y2458" s="3"/>
    </row>
    <row r="2459" spans="24:25" x14ac:dyDescent="0.2">
      <c r="X2459" s="3"/>
      <c r="Y2459" s="3"/>
    </row>
    <row r="2460" spans="24:25" x14ac:dyDescent="0.2">
      <c r="X2460" s="3"/>
      <c r="Y2460" s="3"/>
    </row>
    <row r="2461" spans="24:25" x14ac:dyDescent="0.2">
      <c r="X2461" s="3"/>
      <c r="Y2461" s="3"/>
    </row>
    <row r="2462" spans="24:25" x14ac:dyDescent="0.2">
      <c r="X2462" s="3"/>
      <c r="Y2462" s="3"/>
    </row>
    <row r="2463" spans="24:25" x14ac:dyDescent="0.2">
      <c r="X2463" s="3"/>
      <c r="Y2463" s="3"/>
    </row>
    <row r="2464" spans="24:25" x14ac:dyDescent="0.2">
      <c r="X2464" s="3"/>
      <c r="Y2464" s="3"/>
    </row>
    <row r="2465" spans="24:25" x14ac:dyDescent="0.2">
      <c r="X2465" s="3"/>
      <c r="Y2465" s="3"/>
    </row>
    <row r="2466" spans="24:25" x14ac:dyDescent="0.2">
      <c r="X2466" s="3"/>
      <c r="Y2466" s="3"/>
    </row>
    <row r="2467" spans="24:25" x14ac:dyDescent="0.2">
      <c r="X2467" s="3"/>
      <c r="Y2467" s="3"/>
    </row>
    <row r="2468" spans="24:25" x14ac:dyDescent="0.2">
      <c r="X2468" s="3"/>
      <c r="Y2468" s="3"/>
    </row>
    <row r="2469" spans="24:25" x14ac:dyDescent="0.2">
      <c r="X2469" s="3"/>
      <c r="Y2469" s="3"/>
    </row>
    <row r="2470" spans="24:25" x14ac:dyDescent="0.2">
      <c r="X2470" s="3"/>
      <c r="Y2470" s="3"/>
    </row>
    <row r="2471" spans="24:25" x14ac:dyDescent="0.2">
      <c r="X2471" s="3"/>
      <c r="Y2471" s="3"/>
    </row>
    <row r="2472" spans="24:25" x14ac:dyDescent="0.2">
      <c r="X2472" s="3"/>
      <c r="Y2472" s="3"/>
    </row>
    <row r="2473" spans="24:25" x14ac:dyDescent="0.2">
      <c r="X2473" s="3"/>
      <c r="Y2473" s="3"/>
    </row>
    <row r="2474" spans="24:25" x14ac:dyDescent="0.2">
      <c r="X2474" s="3"/>
      <c r="Y2474" s="3"/>
    </row>
    <row r="2475" spans="24:25" x14ac:dyDescent="0.2">
      <c r="X2475" s="3"/>
      <c r="Y2475" s="3"/>
    </row>
    <row r="2476" spans="24:25" x14ac:dyDescent="0.2">
      <c r="X2476" s="3"/>
      <c r="Y2476" s="3"/>
    </row>
    <row r="2477" spans="24:25" x14ac:dyDescent="0.2">
      <c r="X2477" s="3"/>
      <c r="Y2477" s="3"/>
    </row>
    <row r="2478" spans="24:25" x14ac:dyDescent="0.2">
      <c r="X2478" s="3"/>
      <c r="Y2478" s="3"/>
    </row>
    <row r="2479" spans="24:25" x14ac:dyDescent="0.2">
      <c r="X2479" s="3"/>
      <c r="Y2479" s="3"/>
    </row>
    <row r="2480" spans="24:25" x14ac:dyDescent="0.2">
      <c r="X2480" s="3"/>
      <c r="Y2480" s="3"/>
    </row>
    <row r="2481" spans="24:25" x14ac:dyDescent="0.2">
      <c r="X2481" s="3"/>
      <c r="Y2481" s="3"/>
    </row>
    <row r="2482" spans="24:25" x14ac:dyDescent="0.2">
      <c r="X2482" s="3"/>
      <c r="Y2482" s="3"/>
    </row>
    <row r="2483" spans="24:25" x14ac:dyDescent="0.2">
      <c r="X2483" s="3"/>
      <c r="Y2483" s="3"/>
    </row>
    <row r="2484" spans="24:25" x14ac:dyDescent="0.2">
      <c r="X2484" s="3"/>
      <c r="Y2484" s="3"/>
    </row>
    <row r="2485" spans="24:25" x14ac:dyDescent="0.2">
      <c r="X2485" s="3"/>
      <c r="Y2485" s="3"/>
    </row>
    <row r="2486" spans="24:25" x14ac:dyDescent="0.2">
      <c r="X2486" s="3"/>
      <c r="Y2486" s="3"/>
    </row>
    <row r="2487" spans="24:25" x14ac:dyDescent="0.2">
      <c r="X2487" s="3"/>
      <c r="Y2487" s="3"/>
    </row>
    <row r="2488" spans="24:25" x14ac:dyDescent="0.2">
      <c r="X2488" s="3"/>
      <c r="Y2488" s="3"/>
    </row>
    <row r="2489" spans="24:25" x14ac:dyDescent="0.2">
      <c r="X2489" s="3"/>
      <c r="Y2489" s="3"/>
    </row>
    <row r="2490" spans="24:25" x14ac:dyDescent="0.2">
      <c r="X2490" s="3"/>
      <c r="Y2490" s="3"/>
    </row>
    <row r="2491" spans="24:25" x14ac:dyDescent="0.2">
      <c r="X2491" s="3"/>
      <c r="Y2491" s="3"/>
    </row>
    <row r="2492" spans="24:25" x14ac:dyDescent="0.2">
      <c r="X2492" s="3"/>
      <c r="Y2492" s="3"/>
    </row>
    <row r="2493" spans="24:25" x14ac:dyDescent="0.2">
      <c r="X2493" s="3"/>
      <c r="Y2493" s="3"/>
    </row>
    <row r="2494" spans="24:25" x14ac:dyDescent="0.2">
      <c r="X2494" s="3"/>
      <c r="Y2494" s="3"/>
    </row>
    <row r="2495" spans="24:25" x14ac:dyDescent="0.2">
      <c r="X2495" s="3"/>
      <c r="Y2495" s="3"/>
    </row>
    <row r="2496" spans="24:25" x14ac:dyDescent="0.2">
      <c r="X2496" s="3"/>
      <c r="Y2496" s="3"/>
    </row>
    <row r="2497" spans="24:25" x14ac:dyDescent="0.2">
      <c r="X2497" s="3"/>
      <c r="Y2497" s="3"/>
    </row>
    <row r="2498" spans="24:25" x14ac:dyDescent="0.2">
      <c r="X2498" s="3"/>
      <c r="Y2498" s="3"/>
    </row>
    <row r="2499" spans="24:25" x14ac:dyDescent="0.2">
      <c r="X2499" s="3"/>
      <c r="Y2499" s="3"/>
    </row>
    <row r="2500" spans="24:25" x14ac:dyDescent="0.2">
      <c r="X2500" s="3"/>
      <c r="Y2500" s="3"/>
    </row>
    <row r="2501" spans="24:25" x14ac:dyDescent="0.2">
      <c r="X2501" s="3"/>
      <c r="Y2501" s="3"/>
    </row>
    <row r="2502" spans="24:25" x14ac:dyDescent="0.2">
      <c r="X2502" s="3"/>
      <c r="Y2502" s="3"/>
    </row>
    <row r="2503" spans="24:25" x14ac:dyDescent="0.2">
      <c r="X2503" s="3"/>
      <c r="Y2503" s="3"/>
    </row>
    <row r="2504" spans="24:25" x14ac:dyDescent="0.2">
      <c r="X2504" s="3"/>
      <c r="Y2504" s="3"/>
    </row>
    <row r="2505" spans="24:25" x14ac:dyDescent="0.2">
      <c r="X2505" s="3"/>
      <c r="Y2505" s="3"/>
    </row>
    <row r="2506" spans="24:25" x14ac:dyDescent="0.2">
      <c r="X2506" s="3"/>
      <c r="Y2506" s="3"/>
    </row>
    <row r="2507" spans="24:25" x14ac:dyDescent="0.2">
      <c r="X2507" s="3"/>
      <c r="Y2507" s="3"/>
    </row>
    <row r="2508" spans="24:25" x14ac:dyDescent="0.2">
      <c r="X2508" s="3"/>
      <c r="Y2508" s="3"/>
    </row>
    <row r="2509" spans="24:25" x14ac:dyDescent="0.2">
      <c r="X2509" s="3"/>
      <c r="Y2509" s="3"/>
    </row>
    <row r="2510" spans="24:25" x14ac:dyDescent="0.2">
      <c r="X2510" s="3"/>
      <c r="Y2510" s="3"/>
    </row>
    <row r="2511" spans="24:25" x14ac:dyDescent="0.2">
      <c r="X2511" s="3"/>
      <c r="Y2511" s="3"/>
    </row>
    <row r="2512" spans="24:25" x14ac:dyDescent="0.2">
      <c r="X2512" s="3"/>
      <c r="Y2512" s="3"/>
    </row>
    <row r="2513" spans="24:25" x14ac:dyDescent="0.2">
      <c r="X2513" s="3"/>
      <c r="Y2513" s="3"/>
    </row>
    <row r="2514" spans="24:25" x14ac:dyDescent="0.2">
      <c r="X2514" s="3"/>
      <c r="Y2514" s="3"/>
    </row>
    <row r="2515" spans="24:25" x14ac:dyDescent="0.2">
      <c r="X2515" s="3"/>
      <c r="Y2515" s="3"/>
    </row>
    <row r="2516" spans="24:25" x14ac:dyDescent="0.2">
      <c r="X2516" s="3"/>
      <c r="Y2516" s="3"/>
    </row>
    <row r="2517" spans="24:25" x14ac:dyDescent="0.2">
      <c r="X2517" s="3"/>
      <c r="Y2517" s="3"/>
    </row>
    <row r="2518" spans="24:25" x14ac:dyDescent="0.2">
      <c r="X2518" s="3"/>
      <c r="Y2518" s="3"/>
    </row>
    <row r="2519" spans="24:25" x14ac:dyDescent="0.2">
      <c r="X2519" s="3"/>
      <c r="Y2519" s="3"/>
    </row>
    <row r="2520" spans="24:25" x14ac:dyDescent="0.2">
      <c r="X2520" s="3"/>
      <c r="Y2520" s="3"/>
    </row>
    <row r="2521" spans="24:25" x14ac:dyDescent="0.2">
      <c r="X2521" s="3"/>
      <c r="Y2521" s="3"/>
    </row>
    <row r="2522" spans="24:25" x14ac:dyDescent="0.2">
      <c r="X2522" s="3"/>
      <c r="Y2522" s="3"/>
    </row>
    <row r="2523" spans="24:25" x14ac:dyDescent="0.2">
      <c r="X2523" s="3"/>
      <c r="Y2523" s="3"/>
    </row>
    <row r="2524" spans="24:25" x14ac:dyDescent="0.2">
      <c r="X2524" s="3"/>
      <c r="Y2524" s="3"/>
    </row>
    <row r="2525" spans="24:25" x14ac:dyDescent="0.2">
      <c r="X2525" s="3"/>
      <c r="Y2525" s="3"/>
    </row>
    <row r="2526" spans="24:25" x14ac:dyDescent="0.2">
      <c r="X2526" s="3"/>
      <c r="Y2526" s="3"/>
    </row>
    <row r="2527" spans="24:25" x14ac:dyDescent="0.2">
      <c r="X2527" s="3"/>
      <c r="Y2527" s="3"/>
    </row>
    <row r="2528" spans="24:25" x14ac:dyDescent="0.2">
      <c r="X2528" s="3"/>
      <c r="Y2528" s="3"/>
    </row>
    <row r="2529" spans="24:25" x14ac:dyDescent="0.2">
      <c r="X2529" s="3"/>
      <c r="Y2529" s="3"/>
    </row>
    <row r="2530" spans="24:25" x14ac:dyDescent="0.2">
      <c r="X2530" s="3"/>
      <c r="Y2530" s="3"/>
    </row>
    <row r="2531" spans="24:25" x14ac:dyDescent="0.2">
      <c r="X2531" s="3"/>
      <c r="Y2531" s="3"/>
    </row>
    <row r="2532" spans="24:25" x14ac:dyDescent="0.2">
      <c r="X2532" s="3"/>
      <c r="Y2532" s="3"/>
    </row>
    <row r="2533" spans="24:25" x14ac:dyDescent="0.2">
      <c r="X2533" s="3"/>
      <c r="Y2533" s="3"/>
    </row>
    <row r="2534" spans="24:25" x14ac:dyDescent="0.2">
      <c r="X2534" s="3"/>
      <c r="Y2534" s="3"/>
    </row>
    <row r="2535" spans="24:25" x14ac:dyDescent="0.2">
      <c r="X2535" s="3"/>
      <c r="Y2535" s="3"/>
    </row>
    <row r="2536" spans="24:25" x14ac:dyDescent="0.2">
      <c r="X2536" s="3"/>
      <c r="Y2536" s="3"/>
    </row>
    <row r="2537" spans="24:25" x14ac:dyDescent="0.2">
      <c r="X2537" s="3"/>
      <c r="Y2537" s="3"/>
    </row>
    <row r="2538" spans="24:25" x14ac:dyDescent="0.2">
      <c r="X2538" s="3"/>
      <c r="Y2538" s="3"/>
    </row>
    <row r="2539" spans="24:25" x14ac:dyDescent="0.2">
      <c r="X2539" s="3"/>
      <c r="Y2539" s="3"/>
    </row>
    <row r="2540" spans="24:25" x14ac:dyDescent="0.2">
      <c r="X2540" s="3"/>
      <c r="Y2540" s="3"/>
    </row>
    <row r="2541" spans="24:25" x14ac:dyDescent="0.2">
      <c r="X2541" s="3"/>
      <c r="Y2541" s="3"/>
    </row>
    <row r="2542" spans="24:25" x14ac:dyDescent="0.2">
      <c r="X2542" s="3"/>
      <c r="Y2542" s="3"/>
    </row>
    <row r="2543" spans="24:25" x14ac:dyDescent="0.2">
      <c r="X2543" s="3"/>
      <c r="Y2543" s="3"/>
    </row>
    <row r="2544" spans="24:25" x14ac:dyDescent="0.2">
      <c r="X2544" s="3"/>
      <c r="Y2544" s="3"/>
    </row>
    <row r="2545" spans="24:25" x14ac:dyDescent="0.2">
      <c r="X2545" s="3"/>
      <c r="Y2545" s="3"/>
    </row>
    <row r="2546" spans="24:25" x14ac:dyDescent="0.2">
      <c r="X2546" s="3"/>
      <c r="Y2546" s="3"/>
    </row>
    <row r="2547" spans="24:25" x14ac:dyDescent="0.2">
      <c r="X2547" s="3"/>
      <c r="Y2547" s="3"/>
    </row>
    <row r="2548" spans="24:25" x14ac:dyDescent="0.2">
      <c r="X2548" s="3"/>
      <c r="Y2548" s="3"/>
    </row>
    <row r="2549" spans="24:25" x14ac:dyDescent="0.2">
      <c r="X2549" s="3"/>
      <c r="Y2549" s="3"/>
    </row>
    <row r="2550" spans="24:25" x14ac:dyDescent="0.2">
      <c r="X2550" s="3"/>
      <c r="Y2550" s="3"/>
    </row>
    <row r="2551" spans="24:25" x14ac:dyDescent="0.2">
      <c r="X2551" s="3"/>
      <c r="Y2551" s="3"/>
    </row>
    <row r="2552" spans="24:25" x14ac:dyDescent="0.2">
      <c r="X2552" s="3"/>
      <c r="Y2552" s="3"/>
    </row>
    <row r="2553" spans="24:25" x14ac:dyDescent="0.2">
      <c r="X2553" s="3"/>
      <c r="Y2553" s="3"/>
    </row>
    <row r="2554" spans="24:25" x14ac:dyDescent="0.2">
      <c r="X2554" s="3"/>
      <c r="Y2554" s="3"/>
    </row>
    <row r="2555" spans="24:25" x14ac:dyDescent="0.2">
      <c r="X2555" s="3"/>
      <c r="Y2555" s="3"/>
    </row>
    <row r="2556" spans="24:25" x14ac:dyDescent="0.2">
      <c r="X2556" s="3"/>
      <c r="Y2556" s="3"/>
    </row>
    <row r="2557" spans="24:25" x14ac:dyDescent="0.2">
      <c r="X2557" s="3"/>
      <c r="Y2557" s="3"/>
    </row>
    <row r="2558" spans="24:25" x14ac:dyDescent="0.2">
      <c r="X2558" s="3"/>
      <c r="Y2558" s="3"/>
    </row>
    <row r="2559" spans="24:25" x14ac:dyDescent="0.2">
      <c r="X2559" s="3"/>
      <c r="Y2559" s="3"/>
    </row>
    <row r="2560" spans="24:25" x14ac:dyDescent="0.2">
      <c r="X2560" s="3"/>
      <c r="Y2560" s="3"/>
    </row>
    <row r="2561" spans="24:25" x14ac:dyDescent="0.2">
      <c r="X2561" s="3"/>
      <c r="Y2561" s="3"/>
    </row>
    <row r="2562" spans="24:25" x14ac:dyDescent="0.2">
      <c r="X2562" s="3"/>
      <c r="Y2562" s="3"/>
    </row>
    <row r="2563" spans="24:25" x14ac:dyDescent="0.2">
      <c r="X2563" s="3"/>
      <c r="Y2563" s="3"/>
    </row>
    <row r="2564" spans="24:25" x14ac:dyDescent="0.2">
      <c r="X2564" s="3"/>
      <c r="Y2564" s="3"/>
    </row>
    <row r="2565" spans="24:25" x14ac:dyDescent="0.2">
      <c r="X2565" s="3"/>
      <c r="Y2565" s="3"/>
    </row>
    <row r="2566" spans="24:25" x14ac:dyDescent="0.2">
      <c r="X2566" s="3"/>
      <c r="Y2566" s="3"/>
    </row>
    <row r="2567" spans="24:25" x14ac:dyDescent="0.2">
      <c r="X2567" s="3"/>
      <c r="Y2567" s="3"/>
    </row>
    <row r="2568" spans="24:25" x14ac:dyDescent="0.2">
      <c r="X2568" s="3"/>
      <c r="Y2568" s="3"/>
    </row>
    <row r="2569" spans="24:25" x14ac:dyDescent="0.2">
      <c r="X2569" s="3"/>
      <c r="Y2569" s="3"/>
    </row>
    <row r="2570" spans="24:25" x14ac:dyDescent="0.2">
      <c r="X2570" s="3"/>
      <c r="Y2570" s="3"/>
    </row>
    <row r="2571" spans="24:25" x14ac:dyDescent="0.2">
      <c r="X2571" s="3"/>
      <c r="Y2571" s="3"/>
    </row>
    <row r="2572" spans="24:25" x14ac:dyDescent="0.2">
      <c r="X2572" s="3"/>
      <c r="Y2572" s="3"/>
    </row>
    <row r="2573" spans="24:25" x14ac:dyDescent="0.2">
      <c r="X2573" s="3"/>
      <c r="Y2573" s="3"/>
    </row>
    <row r="2574" spans="24:25" x14ac:dyDescent="0.2">
      <c r="X2574" s="3"/>
      <c r="Y2574" s="3"/>
    </row>
    <row r="2575" spans="24:25" x14ac:dyDescent="0.2">
      <c r="X2575" s="3"/>
      <c r="Y2575" s="3"/>
    </row>
    <row r="2576" spans="24:25" x14ac:dyDescent="0.2">
      <c r="X2576" s="3"/>
      <c r="Y2576" s="3"/>
    </row>
    <row r="2577" spans="24:25" x14ac:dyDescent="0.2">
      <c r="X2577" s="3"/>
      <c r="Y2577" s="3"/>
    </row>
    <row r="2578" spans="24:25" x14ac:dyDescent="0.2">
      <c r="X2578" s="3"/>
      <c r="Y2578" s="3"/>
    </row>
    <row r="2579" spans="24:25" x14ac:dyDescent="0.2">
      <c r="X2579" s="3"/>
      <c r="Y2579" s="3"/>
    </row>
    <row r="2580" spans="24:25" x14ac:dyDescent="0.2">
      <c r="X2580" s="3"/>
      <c r="Y2580" s="3"/>
    </row>
    <row r="2581" spans="24:25" x14ac:dyDescent="0.2">
      <c r="X2581" s="3"/>
      <c r="Y2581" s="3"/>
    </row>
    <row r="2582" spans="24:25" x14ac:dyDescent="0.2">
      <c r="X2582" s="3"/>
      <c r="Y2582" s="3"/>
    </row>
    <row r="2583" spans="24:25" x14ac:dyDescent="0.2">
      <c r="X2583" s="3"/>
      <c r="Y2583" s="3"/>
    </row>
    <row r="2584" spans="24:25" x14ac:dyDescent="0.2">
      <c r="X2584" s="3"/>
      <c r="Y2584" s="3"/>
    </row>
    <row r="2585" spans="24:25" x14ac:dyDescent="0.2">
      <c r="X2585" s="3"/>
      <c r="Y2585" s="3"/>
    </row>
    <row r="2586" spans="24:25" x14ac:dyDescent="0.2">
      <c r="X2586" s="3"/>
      <c r="Y2586" s="3"/>
    </row>
    <row r="2587" spans="24:25" x14ac:dyDescent="0.2">
      <c r="X2587" s="3"/>
      <c r="Y2587" s="3"/>
    </row>
    <row r="2588" spans="24:25" x14ac:dyDescent="0.2">
      <c r="X2588" s="3"/>
      <c r="Y2588" s="3"/>
    </row>
    <row r="2589" spans="24:25" x14ac:dyDescent="0.2">
      <c r="X2589" s="3"/>
      <c r="Y2589" s="3"/>
    </row>
    <row r="2590" spans="24:25" x14ac:dyDescent="0.2">
      <c r="X2590" s="3"/>
      <c r="Y2590" s="3"/>
    </row>
    <row r="2591" spans="24:25" x14ac:dyDescent="0.2">
      <c r="X2591" s="3"/>
      <c r="Y2591" s="3"/>
    </row>
    <row r="2592" spans="24:25" x14ac:dyDescent="0.2">
      <c r="X2592" s="3"/>
      <c r="Y2592" s="3"/>
    </row>
    <row r="2593" spans="24:25" x14ac:dyDescent="0.2">
      <c r="X2593" s="3"/>
      <c r="Y2593" s="3"/>
    </row>
    <row r="2594" spans="24:25" x14ac:dyDescent="0.2">
      <c r="X2594" s="3"/>
      <c r="Y2594" s="3"/>
    </row>
    <row r="2595" spans="24:25" x14ac:dyDescent="0.2">
      <c r="X2595" s="3"/>
      <c r="Y2595" s="3"/>
    </row>
    <row r="2596" spans="24:25" x14ac:dyDescent="0.2">
      <c r="X2596" s="3"/>
      <c r="Y2596" s="3"/>
    </row>
    <row r="2597" spans="24:25" x14ac:dyDescent="0.2">
      <c r="X2597" s="3"/>
      <c r="Y2597" s="3"/>
    </row>
    <row r="2598" spans="24:25" x14ac:dyDescent="0.2">
      <c r="X2598" s="3"/>
      <c r="Y2598" s="3"/>
    </row>
    <row r="2599" spans="24:25" x14ac:dyDescent="0.2">
      <c r="X2599" s="3"/>
      <c r="Y2599" s="3"/>
    </row>
    <row r="2600" spans="24:25" x14ac:dyDescent="0.2">
      <c r="X2600" s="3"/>
      <c r="Y2600" s="3"/>
    </row>
    <row r="2601" spans="24:25" x14ac:dyDescent="0.2">
      <c r="X2601" s="3"/>
      <c r="Y2601" s="3"/>
    </row>
    <row r="2602" spans="24:25" x14ac:dyDescent="0.2">
      <c r="X2602" s="3"/>
      <c r="Y2602" s="3"/>
    </row>
    <row r="2603" spans="24:25" x14ac:dyDescent="0.2">
      <c r="X2603" s="3"/>
      <c r="Y2603" s="3"/>
    </row>
    <row r="2604" spans="24:25" x14ac:dyDescent="0.2">
      <c r="X2604" s="3"/>
      <c r="Y2604" s="3"/>
    </row>
    <row r="2605" spans="24:25" x14ac:dyDescent="0.2">
      <c r="X2605" s="3"/>
      <c r="Y2605" s="3"/>
    </row>
    <row r="2606" spans="24:25" x14ac:dyDescent="0.2">
      <c r="X2606" s="3"/>
      <c r="Y2606" s="3"/>
    </row>
    <row r="2607" spans="24:25" x14ac:dyDescent="0.2">
      <c r="X2607" s="3"/>
      <c r="Y2607" s="3"/>
    </row>
    <row r="2608" spans="24:25" x14ac:dyDescent="0.2">
      <c r="X2608" s="3"/>
      <c r="Y2608" s="3"/>
    </row>
    <row r="2609" spans="24:25" x14ac:dyDescent="0.2">
      <c r="X2609" s="3"/>
      <c r="Y2609" s="3"/>
    </row>
    <row r="2610" spans="24:25" x14ac:dyDescent="0.2">
      <c r="X2610" s="3"/>
      <c r="Y2610" s="3"/>
    </row>
    <row r="2611" spans="24:25" x14ac:dyDescent="0.2">
      <c r="X2611" s="3"/>
      <c r="Y2611" s="3"/>
    </row>
    <row r="2612" spans="24:25" x14ac:dyDescent="0.2">
      <c r="X2612" s="3"/>
      <c r="Y2612" s="3"/>
    </row>
    <row r="2613" spans="24:25" x14ac:dyDescent="0.2">
      <c r="X2613" s="3"/>
      <c r="Y2613" s="3"/>
    </row>
    <row r="2614" spans="24:25" x14ac:dyDescent="0.2">
      <c r="X2614" s="3"/>
      <c r="Y2614" s="3"/>
    </row>
    <row r="2615" spans="24:25" x14ac:dyDescent="0.2">
      <c r="X2615" s="3"/>
      <c r="Y2615" s="3"/>
    </row>
    <row r="2616" spans="24:25" x14ac:dyDescent="0.2">
      <c r="X2616" s="3"/>
      <c r="Y2616" s="3"/>
    </row>
    <row r="2617" spans="24:25" x14ac:dyDescent="0.2">
      <c r="X2617" s="3"/>
      <c r="Y2617" s="3"/>
    </row>
    <row r="2618" spans="24:25" x14ac:dyDescent="0.2">
      <c r="X2618" s="3"/>
      <c r="Y2618" s="3"/>
    </row>
    <row r="2619" spans="24:25" x14ac:dyDescent="0.2">
      <c r="X2619" s="3"/>
      <c r="Y2619" s="3"/>
    </row>
    <row r="2620" spans="24:25" x14ac:dyDescent="0.2">
      <c r="X2620" s="3"/>
      <c r="Y2620" s="3"/>
    </row>
    <row r="2621" spans="24:25" x14ac:dyDescent="0.2">
      <c r="X2621" s="3"/>
      <c r="Y2621" s="3"/>
    </row>
    <row r="2622" spans="24:25" x14ac:dyDescent="0.2">
      <c r="X2622" s="3"/>
      <c r="Y2622" s="3"/>
    </row>
    <row r="2623" spans="24:25" x14ac:dyDescent="0.2">
      <c r="X2623" s="3"/>
      <c r="Y2623" s="3"/>
    </row>
    <row r="2624" spans="24:25" x14ac:dyDescent="0.2">
      <c r="X2624" s="3"/>
      <c r="Y2624" s="3"/>
    </row>
    <row r="2625" spans="24:25" x14ac:dyDescent="0.2">
      <c r="X2625" s="3"/>
      <c r="Y2625" s="3"/>
    </row>
    <row r="2626" spans="24:25" x14ac:dyDescent="0.2">
      <c r="X2626" s="3"/>
      <c r="Y2626" s="3"/>
    </row>
    <row r="2627" spans="24:25" x14ac:dyDescent="0.2">
      <c r="X2627" s="3"/>
      <c r="Y2627" s="3"/>
    </row>
    <row r="2628" spans="24:25" x14ac:dyDescent="0.2">
      <c r="X2628" s="3"/>
      <c r="Y2628" s="3"/>
    </row>
    <row r="2629" spans="24:25" x14ac:dyDescent="0.2">
      <c r="X2629" s="3"/>
      <c r="Y2629" s="3"/>
    </row>
    <row r="2630" spans="24:25" x14ac:dyDescent="0.2">
      <c r="X2630" s="3"/>
      <c r="Y2630" s="3"/>
    </row>
    <row r="2631" spans="24:25" x14ac:dyDescent="0.2">
      <c r="X2631" s="3"/>
      <c r="Y2631" s="3"/>
    </row>
    <row r="2632" spans="24:25" x14ac:dyDescent="0.2">
      <c r="X2632" s="3"/>
      <c r="Y2632" s="3"/>
    </row>
    <row r="2633" spans="24:25" x14ac:dyDescent="0.2">
      <c r="X2633" s="3"/>
      <c r="Y2633" s="3"/>
    </row>
    <row r="2634" spans="24:25" x14ac:dyDescent="0.2">
      <c r="X2634" s="3"/>
      <c r="Y2634" s="3"/>
    </row>
    <row r="2635" spans="24:25" x14ac:dyDescent="0.2">
      <c r="X2635" s="3"/>
      <c r="Y2635" s="3"/>
    </row>
    <row r="2636" spans="24:25" x14ac:dyDescent="0.2">
      <c r="X2636" s="3"/>
      <c r="Y2636" s="3"/>
    </row>
    <row r="2637" spans="24:25" x14ac:dyDescent="0.2">
      <c r="X2637" s="3"/>
      <c r="Y2637" s="3"/>
    </row>
    <row r="2638" spans="24:25" x14ac:dyDescent="0.2">
      <c r="X2638" s="3"/>
      <c r="Y2638" s="3"/>
    </row>
    <row r="2639" spans="24:25" x14ac:dyDescent="0.2">
      <c r="X2639" s="3"/>
      <c r="Y2639" s="3"/>
    </row>
    <row r="2640" spans="24:25" x14ac:dyDescent="0.2">
      <c r="X2640" s="3"/>
      <c r="Y2640" s="3"/>
    </row>
    <row r="2641" spans="24:25" x14ac:dyDescent="0.2">
      <c r="X2641" s="3"/>
      <c r="Y2641" s="3"/>
    </row>
    <row r="2642" spans="24:25" x14ac:dyDescent="0.2">
      <c r="X2642" s="3"/>
      <c r="Y2642" s="3"/>
    </row>
    <row r="2643" spans="24:25" x14ac:dyDescent="0.2">
      <c r="X2643" s="3"/>
      <c r="Y2643" s="3"/>
    </row>
    <row r="2644" spans="24:25" x14ac:dyDescent="0.2">
      <c r="X2644" s="3"/>
      <c r="Y2644" s="3"/>
    </row>
    <row r="2645" spans="24:25" x14ac:dyDescent="0.2">
      <c r="X2645" s="3"/>
      <c r="Y2645" s="3"/>
    </row>
    <row r="2646" spans="24:25" x14ac:dyDescent="0.2">
      <c r="X2646" s="3"/>
      <c r="Y2646" s="3"/>
    </row>
    <row r="2647" spans="24:25" x14ac:dyDescent="0.2">
      <c r="X2647" s="3"/>
      <c r="Y2647" s="3"/>
    </row>
    <row r="2648" spans="24:25" x14ac:dyDescent="0.2">
      <c r="X2648" s="3"/>
      <c r="Y2648" s="3"/>
    </row>
    <row r="2649" spans="24:25" x14ac:dyDescent="0.2">
      <c r="X2649" s="3"/>
      <c r="Y2649" s="3"/>
    </row>
    <row r="2650" spans="24:25" x14ac:dyDescent="0.2">
      <c r="X2650" s="3"/>
      <c r="Y2650" s="3"/>
    </row>
    <row r="2651" spans="24:25" x14ac:dyDescent="0.2">
      <c r="X2651" s="3"/>
      <c r="Y2651" s="3"/>
    </row>
    <row r="2652" spans="24:25" x14ac:dyDescent="0.2">
      <c r="X2652" s="3"/>
      <c r="Y2652" s="3"/>
    </row>
    <row r="2653" spans="24:25" x14ac:dyDescent="0.2">
      <c r="X2653" s="3"/>
      <c r="Y2653" s="3"/>
    </row>
    <row r="2654" spans="24:25" x14ac:dyDescent="0.2">
      <c r="X2654" s="3"/>
      <c r="Y2654" s="3"/>
    </row>
    <row r="2655" spans="24:25" x14ac:dyDescent="0.2">
      <c r="X2655" s="3"/>
      <c r="Y2655" s="3"/>
    </row>
    <row r="2656" spans="24:25" x14ac:dyDescent="0.2">
      <c r="X2656" s="3"/>
      <c r="Y2656" s="3"/>
    </row>
    <row r="2657" spans="24:25" x14ac:dyDescent="0.2">
      <c r="X2657" s="3"/>
      <c r="Y2657" s="3"/>
    </row>
    <row r="2658" spans="24:25" x14ac:dyDescent="0.2">
      <c r="X2658" s="3"/>
      <c r="Y2658" s="3"/>
    </row>
    <row r="2659" spans="24:25" x14ac:dyDescent="0.2">
      <c r="X2659" s="3"/>
      <c r="Y2659" s="3"/>
    </row>
    <row r="2660" spans="24:25" x14ac:dyDescent="0.2">
      <c r="X2660" s="3"/>
      <c r="Y2660" s="3"/>
    </row>
    <row r="2661" spans="24:25" x14ac:dyDescent="0.2">
      <c r="X2661" s="3"/>
      <c r="Y2661" s="3"/>
    </row>
    <row r="2662" spans="24:25" x14ac:dyDescent="0.2">
      <c r="X2662" s="3"/>
      <c r="Y2662" s="3"/>
    </row>
    <row r="2663" spans="24:25" x14ac:dyDescent="0.2">
      <c r="X2663" s="3"/>
      <c r="Y2663" s="3"/>
    </row>
    <row r="2664" spans="24:25" x14ac:dyDescent="0.2">
      <c r="X2664" s="3"/>
      <c r="Y2664" s="3"/>
    </row>
    <row r="2665" spans="24:25" x14ac:dyDescent="0.2">
      <c r="X2665" s="3"/>
      <c r="Y2665" s="3"/>
    </row>
    <row r="2666" spans="24:25" x14ac:dyDescent="0.2">
      <c r="X2666" s="3"/>
      <c r="Y2666" s="3"/>
    </row>
    <row r="2667" spans="24:25" x14ac:dyDescent="0.2">
      <c r="X2667" s="3"/>
      <c r="Y2667" s="3"/>
    </row>
    <row r="2668" spans="24:25" x14ac:dyDescent="0.2">
      <c r="X2668" s="3"/>
      <c r="Y2668" s="3"/>
    </row>
    <row r="2669" spans="24:25" x14ac:dyDescent="0.2">
      <c r="X2669" s="3"/>
      <c r="Y2669" s="3"/>
    </row>
    <row r="2670" spans="24:25" x14ac:dyDescent="0.2">
      <c r="X2670" s="3"/>
      <c r="Y2670" s="3"/>
    </row>
    <row r="2671" spans="24:25" x14ac:dyDescent="0.2">
      <c r="X2671" s="3"/>
      <c r="Y2671" s="3"/>
    </row>
    <row r="2672" spans="24:25" x14ac:dyDescent="0.2">
      <c r="X2672" s="3"/>
      <c r="Y2672" s="3"/>
    </row>
    <row r="2673" spans="24:25" x14ac:dyDescent="0.2">
      <c r="X2673" s="3"/>
      <c r="Y2673" s="3"/>
    </row>
    <row r="2674" spans="24:25" x14ac:dyDescent="0.2">
      <c r="X2674" s="3"/>
      <c r="Y2674" s="3"/>
    </row>
    <row r="2675" spans="24:25" x14ac:dyDescent="0.2">
      <c r="X2675" s="3"/>
      <c r="Y2675" s="3"/>
    </row>
    <row r="2676" spans="24:25" x14ac:dyDescent="0.2">
      <c r="X2676" s="3"/>
      <c r="Y2676" s="3"/>
    </row>
    <row r="2677" spans="24:25" x14ac:dyDescent="0.2">
      <c r="X2677" s="3"/>
      <c r="Y2677" s="3"/>
    </row>
    <row r="2678" spans="24:25" x14ac:dyDescent="0.2">
      <c r="X2678" s="3"/>
      <c r="Y2678" s="3"/>
    </row>
    <row r="2679" spans="24:25" x14ac:dyDescent="0.2">
      <c r="X2679" s="3"/>
      <c r="Y2679" s="3"/>
    </row>
    <row r="2680" spans="24:25" x14ac:dyDescent="0.2">
      <c r="X2680" s="3"/>
      <c r="Y2680" s="3"/>
    </row>
    <row r="2681" spans="24:25" x14ac:dyDescent="0.2">
      <c r="X2681" s="3"/>
      <c r="Y2681" s="3"/>
    </row>
    <row r="2682" spans="24:25" x14ac:dyDescent="0.2">
      <c r="X2682" s="3"/>
      <c r="Y2682" s="3"/>
    </row>
    <row r="2683" spans="24:25" x14ac:dyDescent="0.2">
      <c r="X2683" s="3"/>
      <c r="Y2683" s="3"/>
    </row>
    <row r="2684" spans="24:25" x14ac:dyDescent="0.2">
      <c r="X2684" s="3"/>
      <c r="Y2684" s="3"/>
    </row>
    <row r="2685" spans="24:25" x14ac:dyDescent="0.2">
      <c r="X2685" s="3"/>
      <c r="Y2685" s="3"/>
    </row>
    <row r="2686" spans="24:25" x14ac:dyDescent="0.2">
      <c r="X2686" s="3"/>
      <c r="Y2686" s="3"/>
    </row>
    <row r="2687" spans="24:25" x14ac:dyDescent="0.2">
      <c r="X2687" s="3"/>
      <c r="Y2687" s="3"/>
    </row>
    <row r="2688" spans="24:25" x14ac:dyDescent="0.2">
      <c r="X2688" s="3"/>
      <c r="Y2688" s="3"/>
    </row>
    <row r="2689" spans="24:25" x14ac:dyDescent="0.2">
      <c r="X2689" s="3"/>
      <c r="Y2689" s="3"/>
    </row>
    <row r="2690" spans="24:25" x14ac:dyDescent="0.2">
      <c r="X2690" s="3"/>
      <c r="Y2690" s="3"/>
    </row>
    <row r="2691" spans="24:25" x14ac:dyDescent="0.2">
      <c r="X2691" s="3"/>
      <c r="Y2691" s="3"/>
    </row>
    <row r="2692" spans="24:25" x14ac:dyDescent="0.2">
      <c r="X2692" s="3"/>
      <c r="Y2692" s="3"/>
    </row>
    <row r="2693" spans="24:25" x14ac:dyDescent="0.2">
      <c r="X2693" s="3"/>
      <c r="Y2693" s="3"/>
    </row>
    <row r="2694" spans="24:25" x14ac:dyDescent="0.2">
      <c r="X2694" s="3"/>
      <c r="Y2694" s="3"/>
    </row>
    <row r="2695" spans="24:25" x14ac:dyDescent="0.2">
      <c r="X2695" s="3"/>
      <c r="Y2695" s="3"/>
    </row>
    <row r="2696" spans="24:25" x14ac:dyDescent="0.2">
      <c r="X2696" s="3"/>
      <c r="Y2696" s="3"/>
    </row>
    <row r="2697" spans="24:25" x14ac:dyDescent="0.2">
      <c r="X2697" s="3"/>
      <c r="Y2697" s="3"/>
    </row>
    <row r="2698" spans="24:25" x14ac:dyDescent="0.2">
      <c r="X2698" s="3"/>
      <c r="Y2698" s="3"/>
    </row>
    <row r="2699" spans="24:25" x14ac:dyDescent="0.2">
      <c r="X2699" s="3"/>
      <c r="Y2699" s="3"/>
    </row>
    <row r="2700" spans="24:25" x14ac:dyDescent="0.2">
      <c r="X2700" s="3"/>
      <c r="Y2700" s="3"/>
    </row>
    <row r="2701" spans="24:25" x14ac:dyDescent="0.2">
      <c r="X2701" s="3"/>
      <c r="Y2701" s="3"/>
    </row>
    <row r="2702" spans="24:25" x14ac:dyDescent="0.2">
      <c r="X2702" s="3"/>
      <c r="Y2702" s="3"/>
    </row>
    <row r="2703" spans="24:25" x14ac:dyDescent="0.2">
      <c r="X2703" s="3"/>
      <c r="Y2703" s="3"/>
    </row>
    <row r="2704" spans="24:25" x14ac:dyDescent="0.2">
      <c r="X2704" s="3"/>
      <c r="Y2704" s="3"/>
    </row>
    <row r="2705" spans="24:25" x14ac:dyDescent="0.2">
      <c r="X2705" s="3"/>
      <c r="Y2705" s="3"/>
    </row>
    <row r="2706" spans="24:25" x14ac:dyDescent="0.2">
      <c r="X2706" s="3"/>
      <c r="Y2706" s="3"/>
    </row>
    <row r="2707" spans="24:25" x14ac:dyDescent="0.2">
      <c r="X2707" s="3"/>
      <c r="Y2707" s="3"/>
    </row>
    <row r="2708" spans="24:25" x14ac:dyDescent="0.2">
      <c r="X2708" s="3"/>
      <c r="Y2708" s="3"/>
    </row>
    <row r="2709" spans="24:25" x14ac:dyDescent="0.2">
      <c r="X2709" s="3"/>
      <c r="Y2709" s="3"/>
    </row>
    <row r="2710" spans="24:25" x14ac:dyDescent="0.2">
      <c r="X2710" s="3"/>
      <c r="Y2710" s="3"/>
    </row>
    <row r="2711" spans="24:25" x14ac:dyDescent="0.2">
      <c r="X2711" s="3"/>
      <c r="Y2711" s="3"/>
    </row>
    <row r="2712" spans="24:25" x14ac:dyDescent="0.2">
      <c r="X2712" s="3"/>
      <c r="Y2712" s="3"/>
    </row>
    <row r="2713" spans="24:25" x14ac:dyDescent="0.2">
      <c r="X2713" s="3"/>
      <c r="Y2713" s="3"/>
    </row>
    <row r="2714" spans="24:25" x14ac:dyDescent="0.2">
      <c r="X2714" s="3"/>
      <c r="Y2714" s="3"/>
    </row>
    <row r="2715" spans="24:25" x14ac:dyDescent="0.2">
      <c r="X2715" s="3"/>
      <c r="Y2715" s="3"/>
    </row>
    <row r="2716" spans="24:25" x14ac:dyDescent="0.2">
      <c r="X2716" s="3"/>
      <c r="Y2716" s="3"/>
    </row>
    <row r="2717" spans="24:25" x14ac:dyDescent="0.2">
      <c r="X2717" s="3"/>
      <c r="Y2717" s="3"/>
    </row>
    <row r="2718" spans="24:25" x14ac:dyDescent="0.2">
      <c r="X2718" s="3"/>
      <c r="Y2718" s="3"/>
    </row>
    <row r="2719" spans="24:25" x14ac:dyDescent="0.2">
      <c r="X2719" s="3"/>
      <c r="Y2719" s="3"/>
    </row>
    <row r="2720" spans="24:25" x14ac:dyDescent="0.2">
      <c r="X2720" s="3"/>
      <c r="Y2720" s="3"/>
    </row>
    <row r="2721" spans="24:25" x14ac:dyDescent="0.2">
      <c r="X2721" s="3"/>
      <c r="Y2721" s="3"/>
    </row>
    <row r="2722" spans="24:25" x14ac:dyDescent="0.2">
      <c r="X2722" s="3"/>
      <c r="Y2722" s="3"/>
    </row>
    <row r="2723" spans="24:25" x14ac:dyDescent="0.2">
      <c r="X2723" s="3"/>
      <c r="Y2723" s="3"/>
    </row>
    <row r="2724" spans="24:25" x14ac:dyDescent="0.2">
      <c r="X2724" s="3"/>
      <c r="Y2724" s="3"/>
    </row>
    <row r="2725" spans="24:25" x14ac:dyDescent="0.2">
      <c r="X2725" s="3"/>
      <c r="Y2725" s="3"/>
    </row>
    <row r="2726" spans="24:25" x14ac:dyDescent="0.2">
      <c r="X2726" s="3"/>
      <c r="Y2726" s="3"/>
    </row>
    <row r="2727" spans="24:25" x14ac:dyDescent="0.2">
      <c r="X2727" s="3"/>
      <c r="Y2727" s="3"/>
    </row>
    <row r="2728" spans="24:25" x14ac:dyDescent="0.2">
      <c r="X2728" s="3"/>
      <c r="Y2728" s="3"/>
    </row>
    <row r="2729" spans="24:25" x14ac:dyDescent="0.2">
      <c r="X2729" s="3"/>
      <c r="Y2729" s="3"/>
    </row>
    <row r="2730" spans="24:25" x14ac:dyDescent="0.2">
      <c r="X2730" s="3"/>
      <c r="Y2730" s="3"/>
    </row>
    <row r="2731" spans="24:25" x14ac:dyDescent="0.2">
      <c r="X2731" s="3"/>
      <c r="Y2731" s="3"/>
    </row>
    <row r="2732" spans="24:25" x14ac:dyDescent="0.2">
      <c r="X2732" s="3"/>
      <c r="Y2732" s="3"/>
    </row>
    <row r="2733" spans="24:25" x14ac:dyDescent="0.2">
      <c r="X2733" s="3"/>
      <c r="Y2733" s="3"/>
    </row>
    <row r="2734" spans="24:25" x14ac:dyDescent="0.2">
      <c r="X2734" s="3"/>
      <c r="Y2734" s="3"/>
    </row>
    <row r="2735" spans="24:25" x14ac:dyDescent="0.2">
      <c r="X2735" s="3"/>
      <c r="Y2735" s="3"/>
    </row>
    <row r="2736" spans="24:25" x14ac:dyDescent="0.2">
      <c r="X2736" s="3"/>
      <c r="Y2736" s="3"/>
    </row>
    <row r="2737" spans="24:25" x14ac:dyDescent="0.2">
      <c r="X2737" s="3"/>
      <c r="Y2737" s="3"/>
    </row>
    <row r="2738" spans="24:25" x14ac:dyDescent="0.2">
      <c r="X2738" s="3"/>
      <c r="Y2738" s="3"/>
    </row>
    <row r="2739" spans="24:25" x14ac:dyDescent="0.2">
      <c r="X2739" s="3"/>
      <c r="Y2739" s="3"/>
    </row>
    <row r="2740" spans="24:25" x14ac:dyDescent="0.2">
      <c r="X2740" s="3"/>
      <c r="Y2740" s="3"/>
    </row>
    <row r="2741" spans="24:25" x14ac:dyDescent="0.2">
      <c r="X2741" s="3"/>
      <c r="Y2741" s="3"/>
    </row>
    <row r="2742" spans="24:25" x14ac:dyDescent="0.2">
      <c r="X2742" s="3"/>
      <c r="Y2742" s="3"/>
    </row>
    <row r="2743" spans="24:25" x14ac:dyDescent="0.2">
      <c r="X2743" s="3"/>
      <c r="Y2743" s="3"/>
    </row>
    <row r="2744" spans="24:25" x14ac:dyDescent="0.2">
      <c r="X2744" s="3"/>
      <c r="Y2744" s="3"/>
    </row>
    <row r="2745" spans="24:25" x14ac:dyDescent="0.2">
      <c r="X2745" s="3"/>
      <c r="Y2745" s="3"/>
    </row>
    <row r="2746" spans="24:25" x14ac:dyDescent="0.2">
      <c r="X2746" s="3"/>
      <c r="Y2746" s="3"/>
    </row>
    <row r="2747" spans="24:25" x14ac:dyDescent="0.2">
      <c r="X2747" s="3"/>
      <c r="Y2747" s="3"/>
    </row>
    <row r="2748" spans="24:25" x14ac:dyDescent="0.2">
      <c r="X2748" s="3"/>
      <c r="Y2748" s="3"/>
    </row>
    <row r="2749" spans="24:25" x14ac:dyDescent="0.2">
      <c r="X2749" s="3"/>
      <c r="Y2749" s="3"/>
    </row>
    <row r="2750" spans="24:25" x14ac:dyDescent="0.2">
      <c r="X2750" s="3"/>
      <c r="Y2750" s="3"/>
    </row>
    <row r="2751" spans="24:25" x14ac:dyDescent="0.2">
      <c r="X2751" s="3"/>
      <c r="Y2751" s="3"/>
    </row>
    <row r="2752" spans="24:25" x14ac:dyDescent="0.2">
      <c r="X2752" s="3"/>
      <c r="Y2752" s="3"/>
    </row>
    <row r="2753" spans="24:25" x14ac:dyDescent="0.2">
      <c r="X2753" s="3"/>
      <c r="Y2753" s="3"/>
    </row>
    <row r="2754" spans="24:25" x14ac:dyDescent="0.2">
      <c r="X2754" s="3"/>
      <c r="Y2754" s="3"/>
    </row>
    <row r="2755" spans="24:25" x14ac:dyDescent="0.2">
      <c r="X2755" s="3"/>
      <c r="Y2755" s="3"/>
    </row>
    <row r="2756" spans="24:25" x14ac:dyDescent="0.2">
      <c r="X2756" s="3"/>
      <c r="Y2756" s="3"/>
    </row>
    <row r="2757" spans="24:25" x14ac:dyDescent="0.2">
      <c r="X2757" s="3"/>
      <c r="Y2757" s="3"/>
    </row>
    <row r="2758" spans="24:25" x14ac:dyDescent="0.2">
      <c r="X2758" s="3"/>
      <c r="Y2758" s="3"/>
    </row>
    <row r="2759" spans="24:25" x14ac:dyDescent="0.2">
      <c r="X2759" s="3"/>
      <c r="Y2759" s="3"/>
    </row>
    <row r="2760" spans="24:25" x14ac:dyDescent="0.2">
      <c r="X2760" s="3"/>
      <c r="Y2760" s="3"/>
    </row>
    <row r="2761" spans="24:25" x14ac:dyDescent="0.2">
      <c r="X2761" s="3"/>
      <c r="Y2761" s="3"/>
    </row>
    <row r="2762" spans="24:25" x14ac:dyDescent="0.2">
      <c r="X2762" s="3"/>
      <c r="Y2762" s="3"/>
    </row>
    <row r="2763" spans="24:25" x14ac:dyDescent="0.2">
      <c r="X2763" s="3"/>
      <c r="Y2763" s="3"/>
    </row>
    <row r="2764" spans="24:25" x14ac:dyDescent="0.2">
      <c r="X2764" s="3"/>
      <c r="Y2764" s="3"/>
    </row>
    <row r="2765" spans="24:25" x14ac:dyDescent="0.2">
      <c r="X2765" s="3"/>
      <c r="Y2765" s="3"/>
    </row>
    <row r="2766" spans="24:25" x14ac:dyDescent="0.2">
      <c r="X2766" s="3"/>
      <c r="Y2766" s="3"/>
    </row>
    <row r="2767" spans="24:25" x14ac:dyDescent="0.2">
      <c r="X2767" s="3"/>
      <c r="Y2767" s="3"/>
    </row>
    <row r="2768" spans="24:25" x14ac:dyDescent="0.2">
      <c r="X2768" s="3"/>
      <c r="Y2768" s="3"/>
    </row>
    <row r="2769" spans="24:25" x14ac:dyDescent="0.2">
      <c r="X2769" s="3"/>
      <c r="Y2769" s="3"/>
    </row>
    <row r="2770" spans="24:25" x14ac:dyDescent="0.2">
      <c r="X2770" s="3"/>
      <c r="Y2770" s="3"/>
    </row>
    <row r="2771" spans="24:25" x14ac:dyDescent="0.2">
      <c r="X2771" s="3"/>
      <c r="Y2771" s="3"/>
    </row>
    <row r="2772" spans="24:25" x14ac:dyDescent="0.2">
      <c r="X2772" s="3"/>
      <c r="Y2772" s="3"/>
    </row>
    <row r="2773" spans="24:25" x14ac:dyDescent="0.2">
      <c r="X2773" s="3"/>
      <c r="Y2773" s="3"/>
    </row>
    <row r="2774" spans="24:25" x14ac:dyDescent="0.2">
      <c r="X2774" s="3"/>
      <c r="Y2774" s="3"/>
    </row>
    <row r="2775" spans="24:25" x14ac:dyDescent="0.2">
      <c r="X2775" s="3"/>
      <c r="Y2775" s="3"/>
    </row>
    <row r="2776" spans="24:25" x14ac:dyDescent="0.2">
      <c r="X2776" s="3"/>
      <c r="Y2776" s="3"/>
    </row>
    <row r="2777" spans="24:25" x14ac:dyDescent="0.2">
      <c r="X2777" s="3"/>
      <c r="Y2777" s="3"/>
    </row>
    <row r="2778" spans="24:25" x14ac:dyDescent="0.2">
      <c r="X2778" s="3"/>
      <c r="Y2778" s="3"/>
    </row>
    <row r="2779" spans="24:25" x14ac:dyDescent="0.2">
      <c r="X2779" s="3"/>
      <c r="Y2779" s="3"/>
    </row>
    <row r="2780" spans="24:25" x14ac:dyDescent="0.2">
      <c r="X2780" s="3"/>
      <c r="Y2780" s="3"/>
    </row>
    <row r="2781" spans="24:25" x14ac:dyDescent="0.2">
      <c r="X2781" s="3"/>
      <c r="Y2781" s="3"/>
    </row>
    <row r="2782" spans="24:25" x14ac:dyDescent="0.2">
      <c r="X2782" s="3"/>
      <c r="Y2782" s="3"/>
    </row>
    <row r="2783" spans="24:25" x14ac:dyDescent="0.2">
      <c r="X2783" s="3"/>
      <c r="Y2783" s="3"/>
    </row>
    <row r="2784" spans="24:25" x14ac:dyDescent="0.2">
      <c r="X2784" s="3"/>
      <c r="Y2784" s="3"/>
    </row>
    <row r="2785" spans="24:25" x14ac:dyDescent="0.2">
      <c r="X2785" s="3"/>
      <c r="Y2785" s="3"/>
    </row>
    <row r="2786" spans="24:25" x14ac:dyDescent="0.2">
      <c r="X2786" s="3"/>
      <c r="Y2786" s="3"/>
    </row>
    <row r="2787" spans="24:25" x14ac:dyDescent="0.2">
      <c r="X2787" s="3"/>
      <c r="Y2787" s="3"/>
    </row>
    <row r="2788" spans="24:25" x14ac:dyDescent="0.2">
      <c r="X2788" s="3"/>
      <c r="Y2788" s="3"/>
    </row>
    <row r="2789" spans="24:25" x14ac:dyDescent="0.2">
      <c r="X2789" s="3"/>
      <c r="Y2789" s="3"/>
    </row>
    <row r="2790" spans="24:25" x14ac:dyDescent="0.2">
      <c r="X2790" s="3"/>
      <c r="Y2790" s="3"/>
    </row>
    <row r="2791" spans="24:25" x14ac:dyDescent="0.2">
      <c r="X2791" s="3"/>
      <c r="Y2791" s="3"/>
    </row>
    <row r="2792" spans="24:25" x14ac:dyDescent="0.2">
      <c r="X2792" s="3"/>
      <c r="Y2792" s="3"/>
    </row>
    <row r="2793" spans="24:25" x14ac:dyDescent="0.2">
      <c r="X2793" s="3"/>
      <c r="Y2793" s="3"/>
    </row>
    <row r="2794" spans="24:25" x14ac:dyDescent="0.2">
      <c r="X2794" s="3"/>
      <c r="Y2794" s="3"/>
    </row>
    <row r="2795" spans="24:25" x14ac:dyDescent="0.2">
      <c r="X2795" s="3"/>
      <c r="Y2795" s="3"/>
    </row>
    <row r="2796" spans="24:25" x14ac:dyDescent="0.2">
      <c r="X2796" s="3"/>
      <c r="Y2796" s="3"/>
    </row>
    <row r="2797" spans="24:25" x14ac:dyDescent="0.2">
      <c r="X2797" s="3"/>
      <c r="Y2797" s="3"/>
    </row>
    <row r="2798" spans="24:25" x14ac:dyDescent="0.2">
      <c r="X2798" s="3"/>
      <c r="Y2798" s="3"/>
    </row>
    <row r="2799" spans="24:25" x14ac:dyDescent="0.2">
      <c r="X2799" s="3"/>
      <c r="Y2799" s="3"/>
    </row>
    <row r="2800" spans="24:25" x14ac:dyDescent="0.2">
      <c r="X2800" s="3"/>
      <c r="Y2800" s="3"/>
    </row>
    <row r="2801" spans="24:25" x14ac:dyDescent="0.2">
      <c r="X2801" s="3"/>
      <c r="Y2801" s="3"/>
    </row>
    <row r="2802" spans="24:25" x14ac:dyDescent="0.2">
      <c r="X2802" s="3"/>
      <c r="Y2802" s="3"/>
    </row>
    <row r="2803" spans="24:25" x14ac:dyDescent="0.2">
      <c r="X2803" s="3"/>
      <c r="Y2803" s="3"/>
    </row>
    <row r="2804" spans="24:25" x14ac:dyDescent="0.2">
      <c r="X2804" s="3"/>
      <c r="Y2804" s="3"/>
    </row>
    <row r="2805" spans="24:25" x14ac:dyDescent="0.2">
      <c r="X2805" s="3"/>
      <c r="Y2805" s="3"/>
    </row>
    <row r="2806" spans="24:25" x14ac:dyDescent="0.2">
      <c r="X2806" s="3"/>
      <c r="Y2806" s="3"/>
    </row>
    <row r="2807" spans="24:25" x14ac:dyDescent="0.2">
      <c r="X2807" s="3"/>
      <c r="Y2807" s="3"/>
    </row>
    <row r="2808" spans="24:25" x14ac:dyDescent="0.2">
      <c r="X2808" s="3"/>
      <c r="Y2808" s="3"/>
    </row>
    <row r="2809" spans="24:25" x14ac:dyDescent="0.2">
      <c r="X2809" s="3"/>
      <c r="Y2809" s="3"/>
    </row>
    <row r="2810" spans="24:25" x14ac:dyDescent="0.2">
      <c r="X2810" s="3"/>
      <c r="Y2810" s="3"/>
    </row>
    <row r="2811" spans="24:25" x14ac:dyDescent="0.2">
      <c r="X2811" s="3"/>
      <c r="Y2811" s="3"/>
    </row>
    <row r="2812" spans="24:25" x14ac:dyDescent="0.2">
      <c r="X2812" s="3"/>
      <c r="Y2812" s="3"/>
    </row>
    <row r="2813" spans="24:25" x14ac:dyDescent="0.2">
      <c r="X2813" s="3"/>
      <c r="Y2813" s="3"/>
    </row>
    <row r="2814" spans="24:25" x14ac:dyDescent="0.2">
      <c r="X2814" s="3"/>
      <c r="Y2814" s="3"/>
    </row>
    <row r="2815" spans="24:25" x14ac:dyDescent="0.2">
      <c r="X2815" s="3"/>
      <c r="Y2815" s="3"/>
    </row>
    <row r="2816" spans="24:25" x14ac:dyDescent="0.2">
      <c r="X2816" s="3"/>
      <c r="Y2816" s="3"/>
    </row>
    <row r="2817" spans="24:25" x14ac:dyDescent="0.2">
      <c r="X2817" s="3"/>
      <c r="Y2817" s="3"/>
    </row>
    <row r="2818" spans="24:25" x14ac:dyDescent="0.2">
      <c r="X2818" s="3"/>
      <c r="Y2818" s="3"/>
    </row>
    <row r="2819" spans="24:25" x14ac:dyDescent="0.2">
      <c r="X2819" s="3"/>
      <c r="Y2819" s="3"/>
    </row>
    <row r="2820" spans="24:25" x14ac:dyDescent="0.2">
      <c r="X2820" s="3"/>
      <c r="Y2820" s="3"/>
    </row>
    <row r="2821" spans="24:25" x14ac:dyDescent="0.2">
      <c r="X2821" s="3"/>
      <c r="Y2821" s="3"/>
    </row>
    <row r="2822" spans="24:25" x14ac:dyDescent="0.2">
      <c r="X2822" s="3"/>
      <c r="Y2822" s="3"/>
    </row>
    <row r="2823" spans="24:25" x14ac:dyDescent="0.2">
      <c r="X2823" s="3"/>
      <c r="Y2823" s="3"/>
    </row>
    <row r="2824" spans="24:25" x14ac:dyDescent="0.2">
      <c r="X2824" s="3"/>
      <c r="Y2824" s="3"/>
    </row>
    <row r="2825" spans="24:25" x14ac:dyDescent="0.2">
      <c r="X2825" s="3"/>
      <c r="Y2825" s="3"/>
    </row>
    <row r="2826" spans="24:25" x14ac:dyDescent="0.2">
      <c r="X2826" s="3"/>
      <c r="Y2826" s="3"/>
    </row>
    <row r="2827" spans="24:25" x14ac:dyDescent="0.2">
      <c r="X2827" s="3"/>
      <c r="Y2827" s="3"/>
    </row>
    <row r="2828" spans="24:25" x14ac:dyDescent="0.2">
      <c r="X2828" s="3"/>
      <c r="Y2828" s="3"/>
    </row>
    <row r="2829" spans="24:25" x14ac:dyDescent="0.2">
      <c r="X2829" s="3"/>
      <c r="Y2829" s="3"/>
    </row>
    <row r="2830" spans="24:25" x14ac:dyDescent="0.2">
      <c r="X2830" s="3"/>
      <c r="Y2830" s="3"/>
    </row>
    <row r="2831" spans="24:25" x14ac:dyDescent="0.2">
      <c r="X2831" s="3"/>
      <c r="Y2831" s="3"/>
    </row>
    <row r="2832" spans="24:25" x14ac:dyDescent="0.2">
      <c r="X2832" s="3"/>
      <c r="Y2832" s="3"/>
    </row>
    <row r="2833" spans="24:25" x14ac:dyDescent="0.2">
      <c r="X2833" s="3"/>
      <c r="Y2833" s="3"/>
    </row>
    <row r="2834" spans="24:25" x14ac:dyDescent="0.2">
      <c r="X2834" s="3"/>
      <c r="Y2834" s="3"/>
    </row>
    <row r="2835" spans="24:25" x14ac:dyDescent="0.2">
      <c r="X2835" s="3"/>
      <c r="Y2835" s="3"/>
    </row>
    <row r="2836" spans="24:25" x14ac:dyDescent="0.2">
      <c r="X2836" s="3"/>
      <c r="Y2836" s="3"/>
    </row>
    <row r="2837" spans="24:25" x14ac:dyDescent="0.2">
      <c r="X2837" s="3"/>
      <c r="Y2837" s="3"/>
    </row>
    <row r="2838" spans="24:25" x14ac:dyDescent="0.2">
      <c r="X2838" s="3"/>
      <c r="Y2838" s="3"/>
    </row>
    <row r="2839" spans="24:25" x14ac:dyDescent="0.2">
      <c r="X2839" s="3"/>
      <c r="Y2839" s="3"/>
    </row>
    <row r="2840" spans="24:25" x14ac:dyDescent="0.2">
      <c r="X2840" s="3"/>
      <c r="Y2840" s="3"/>
    </row>
    <row r="2841" spans="24:25" x14ac:dyDescent="0.2">
      <c r="X2841" s="3"/>
      <c r="Y2841" s="3"/>
    </row>
    <row r="2842" spans="24:25" x14ac:dyDescent="0.2">
      <c r="X2842" s="3"/>
      <c r="Y2842" s="3"/>
    </row>
    <row r="2843" spans="24:25" x14ac:dyDescent="0.2">
      <c r="X2843" s="3"/>
      <c r="Y2843" s="3"/>
    </row>
    <row r="2844" spans="24:25" x14ac:dyDescent="0.2">
      <c r="X2844" s="3"/>
      <c r="Y2844" s="3"/>
    </row>
    <row r="2845" spans="24:25" x14ac:dyDescent="0.2">
      <c r="X2845" s="3"/>
      <c r="Y2845" s="3"/>
    </row>
    <row r="2846" spans="24:25" x14ac:dyDescent="0.2">
      <c r="X2846" s="3"/>
      <c r="Y2846" s="3"/>
    </row>
    <row r="2847" spans="24:25" x14ac:dyDescent="0.2">
      <c r="X2847" s="3"/>
      <c r="Y2847" s="3"/>
    </row>
    <row r="2848" spans="24:25" x14ac:dyDescent="0.2">
      <c r="X2848" s="3"/>
      <c r="Y2848" s="3"/>
    </row>
    <row r="2849" spans="24:25" x14ac:dyDescent="0.2">
      <c r="X2849" s="3"/>
      <c r="Y2849" s="3"/>
    </row>
    <row r="2850" spans="24:25" x14ac:dyDescent="0.2">
      <c r="X2850" s="3"/>
      <c r="Y2850" s="3"/>
    </row>
    <row r="2851" spans="24:25" x14ac:dyDescent="0.2">
      <c r="X2851" s="3"/>
      <c r="Y2851" s="3"/>
    </row>
    <row r="2852" spans="24:25" x14ac:dyDescent="0.2">
      <c r="X2852" s="3"/>
      <c r="Y2852" s="3"/>
    </row>
    <row r="2853" spans="24:25" x14ac:dyDescent="0.2">
      <c r="X2853" s="3"/>
      <c r="Y2853" s="3"/>
    </row>
    <row r="2854" spans="24:25" x14ac:dyDescent="0.2">
      <c r="X2854" s="3"/>
      <c r="Y2854" s="3"/>
    </row>
    <row r="2855" spans="24:25" x14ac:dyDescent="0.2">
      <c r="X2855" s="3"/>
      <c r="Y2855" s="3"/>
    </row>
    <row r="2856" spans="24:25" x14ac:dyDescent="0.2">
      <c r="X2856" s="3"/>
      <c r="Y2856" s="3"/>
    </row>
    <row r="2857" spans="24:25" x14ac:dyDescent="0.2">
      <c r="X2857" s="3"/>
      <c r="Y2857" s="3"/>
    </row>
    <row r="2858" spans="24:25" x14ac:dyDescent="0.2">
      <c r="X2858" s="3"/>
      <c r="Y2858" s="3"/>
    </row>
    <row r="2859" spans="24:25" x14ac:dyDescent="0.2">
      <c r="X2859" s="3"/>
      <c r="Y2859" s="3"/>
    </row>
    <row r="2860" spans="24:25" x14ac:dyDescent="0.2">
      <c r="X2860" s="3"/>
      <c r="Y2860" s="3"/>
    </row>
    <row r="2861" spans="24:25" x14ac:dyDescent="0.2">
      <c r="X2861" s="3"/>
      <c r="Y2861" s="3"/>
    </row>
    <row r="2862" spans="24:25" x14ac:dyDescent="0.2">
      <c r="X2862" s="3"/>
      <c r="Y2862" s="3"/>
    </row>
    <row r="2863" spans="24:25" x14ac:dyDescent="0.2">
      <c r="X2863" s="3"/>
      <c r="Y2863" s="3"/>
    </row>
    <row r="2864" spans="24:25" x14ac:dyDescent="0.2">
      <c r="X2864" s="3"/>
      <c r="Y2864" s="3"/>
    </row>
    <row r="2865" spans="24:25" x14ac:dyDescent="0.2">
      <c r="X2865" s="3"/>
      <c r="Y2865" s="3"/>
    </row>
    <row r="2866" spans="24:25" x14ac:dyDescent="0.2">
      <c r="X2866" s="3"/>
      <c r="Y2866" s="3"/>
    </row>
    <row r="2867" spans="24:25" x14ac:dyDescent="0.2">
      <c r="X2867" s="3"/>
      <c r="Y2867" s="3"/>
    </row>
    <row r="2868" spans="24:25" x14ac:dyDescent="0.2">
      <c r="X2868" s="3"/>
      <c r="Y2868" s="3"/>
    </row>
    <row r="2869" spans="24:25" x14ac:dyDescent="0.2">
      <c r="X2869" s="3"/>
      <c r="Y2869" s="3"/>
    </row>
    <row r="2870" spans="24:25" x14ac:dyDescent="0.2">
      <c r="X2870" s="3"/>
      <c r="Y2870" s="3"/>
    </row>
    <row r="2871" spans="24:25" x14ac:dyDescent="0.2">
      <c r="X2871" s="3"/>
      <c r="Y2871" s="3"/>
    </row>
    <row r="2872" spans="24:25" x14ac:dyDescent="0.2">
      <c r="X2872" s="3"/>
      <c r="Y2872" s="3"/>
    </row>
    <row r="2873" spans="24:25" x14ac:dyDescent="0.2">
      <c r="X2873" s="3"/>
      <c r="Y2873" s="3"/>
    </row>
    <row r="2874" spans="24:25" x14ac:dyDescent="0.2">
      <c r="X2874" s="3"/>
      <c r="Y2874" s="3"/>
    </row>
    <row r="2875" spans="24:25" x14ac:dyDescent="0.2">
      <c r="X2875" s="3"/>
      <c r="Y2875" s="3"/>
    </row>
    <row r="2876" spans="24:25" x14ac:dyDescent="0.2">
      <c r="X2876" s="3"/>
      <c r="Y2876" s="3"/>
    </row>
    <row r="2877" spans="24:25" x14ac:dyDescent="0.2">
      <c r="X2877" s="3"/>
      <c r="Y2877" s="3"/>
    </row>
    <row r="2878" spans="24:25" x14ac:dyDescent="0.2">
      <c r="X2878" s="3"/>
      <c r="Y2878" s="3"/>
    </row>
    <row r="2879" spans="24:25" x14ac:dyDescent="0.2">
      <c r="X2879" s="3"/>
      <c r="Y2879" s="3"/>
    </row>
    <row r="2880" spans="24:25" x14ac:dyDescent="0.2">
      <c r="X2880" s="3"/>
      <c r="Y2880" s="3"/>
    </row>
    <row r="2881" spans="24:25" x14ac:dyDescent="0.2">
      <c r="X2881" s="3"/>
      <c r="Y2881" s="3"/>
    </row>
    <row r="2882" spans="24:25" x14ac:dyDescent="0.2">
      <c r="X2882" s="3"/>
      <c r="Y2882" s="3"/>
    </row>
    <row r="2883" spans="24:25" x14ac:dyDescent="0.2">
      <c r="X2883" s="3"/>
      <c r="Y2883" s="3"/>
    </row>
    <row r="2884" spans="24:25" x14ac:dyDescent="0.2">
      <c r="X2884" s="3"/>
      <c r="Y2884" s="3"/>
    </row>
    <row r="2885" spans="24:25" x14ac:dyDescent="0.2">
      <c r="X2885" s="3"/>
      <c r="Y2885" s="3"/>
    </row>
    <row r="2886" spans="24:25" x14ac:dyDescent="0.2">
      <c r="X2886" s="3"/>
      <c r="Y2886" s="3"/>
    </row>
    <row r="2887" spans="24:25" x14ac:dyDescent="0.2">
      <c r="X2887" s="3"/>
      <c r="Y2887" s="3"/>
    </row>
    <row r="2888" spans="24:25" x14ac:dyDescent="0.2">
      <c r="X2888" s="3"/>
      <c r="Y2888" s="3"/>
    </row>
    <row r="2889" spans="24:25" x14ac:dyDescent="0.2">
      <c r="X2889" s="3"/>
      <c r="Y2889" s="3"/>
    </row>
    <row r="2890" spans="24:25" x14ac:dyDescent="0.2">
      <c r="X2890" s="3"/>
      <c r="Y2890" s="3"/>
    </row>
    <row r="2891" spans="24:25" x14ac:dyDescent="0.2">
      <c r="X2891" s="3"/>
      <c r="Y2891" s="3"/>
    </row>
    <row r="2892" spans="24:25" x14ac:dyDescent="0.2">
      <c r="X2892" s="3"/>
      <c r="Y2892" s="3"/>
    </row>
    <row r="2893" spans="24:25" x14ac:dyDescent="0.2">
      <c r="X2893" s="3"/>
      <c r="Y2893" s="3"/>
    </row>
    <row r="2894" spans="24:25" x14ac:dyDescent="0.2">
      <c r="X2894" s="3"/>
      <c r="Y2894" s="3"/>
    </row>
    <row r="2895" spans="24:25" x14ac:dyDescent="0.2">
      <c r="X2895" s="3"/>
      <c r="Y2895" s="3"/>
    </row>
    <row r="2896" spans="24:25" x14ac:dyDescent="0.2">
      <c r="X2896" s="3"/>
      <c r="Y2896" s="3"/>
    </row>
    <row r="2897" spans="24:25" x14ac:dyDescent="0.2">
      <c r="X2897" s="3"/>
      <c r="Y2897" s="3"/>
    </row>
    <row r="2898" spans="24:25" x14ac:dyDescent="0.2">
      <c r="X2898" s="3"/>
      <c r="Y2898" s="3"/>
    </row>
    <row r="2899" spans="24:25" x14ac:dyDescent="0.2">
      <c r="X2899" s="3"/>
      <c r="Y2899" s="3"/>
    </row>
    <row r="2900" spans="24:25" x14ac:dyDescent="0.2">
      <c r="X2900" s="3"/>
      <c r="Y2900" s="3"/>
    </row>
    <row r="2901" spans="24:25" x14ac:dyDescent="0.2">
      <c r="X2901" s="3"/>
      <c r="Y2901" s="3"/>
    </row>
    <row r="2902" spans="24:25" x14ac:dyDescent="0.2">
      <c r="X2902" s="3"/>
      <c r="Y2902" s="3"/>
    </row>
    <row r="2903" spans="24:25" x14ac:dyDescent="0.2">
      <c r="X2903" s="3"/>
      <c r="Y2903" s="3"/>
    </row>
    <row r="2904" spans="24:25" x14ac:dyDescent="0.2">
      <c r="X2904" s="3"/>
      <c r="Y2904" s="3"/>
    </row>
    <row r="2905" spans="24:25" x14ac:dyDescent="0.2">
      <c r="X2905" s="3"/>
      <c r="Y2905" s="3"/>
    </row>
    <row r="2906" spans="24:25" x14ac:dyDescent="0.2">
      <c r="X2906" s="3"/>
      <c r="Y2906" s="3"/>
    </row>
    <row r="2907" spans="24:25" x14ac:dyDescent="0.2">
      <c r="X2907" s="3"/>
      <c r="Y2907" s="3"/>
    </row>
    <row r="2908" spans="24:25" x14ac:dyDescent="0.2">
      <c r="X2908" s="3"/>
      <c r="Y2908" s="3"/>
    </row>
    <row r="2909" spans="24:25" x14ac:dyDescent="0.2">
      <c r="X2909" s="3"/>
      <c r="Y2909" s="3"/>
    </row>
    <row r="2910" spans="24:25" x14ac:dyDescent="0.2">
      <c r="X2910" s="3"/>
      <c r="Y2910" s="3"/>
    </row>
    <row r="2911" spans="24:25" x14ac:dyDescent="0.2">
      <c r="X2911" s="3"/>
      <c r="Y2911" s="3"/>
    </row>
    <row r="2912" spans="24:25" x14ac:dyDescent="0.2">
      <c r="X2912" s="3"/>
      <c r="Y2912" s="3"/>
    </row>
    <row r="2913" spans="24:25" x14ac:dyDescent="0.2">
      <c r="X2913" s="3"/>
      <c r="Y2913" s="3"/>
    </row>
    <row r="2914" spans="24:25" x14ac:dyDescent="0.2">
      <c r="X2914" s="3"/>
      <c r="Y2914" s="3"/>
    </row>
    <row r="2915" spans="24:25" x14ac:dyDescent="0.2">
      <c r="X2915" s="3"/>
      <c r="Y2915" s="3"/>
    </row>
    <row r="2916" spans="24:25" x14ac:dyDescent="0.2">
      <c r="X2916" s="3"/>
      <c r="Y2916" s="3"/>
    </row>
    <row r="2917" spans="24:25" x14ac:dyDescent="0.2">
      <c r="X2917" s="3"/>
      <c r="Y2917" s="3"/>
    </row>
    <row r="2918" spans="24:25" x14ac:dyDescent="0.2">
      <c r="X2918" s="3"/>
      <c r="Y2918" s="3"/>
    </row>
    <row r="2919" spans="24:25" x14ac:dyDescent="0.2">
      <c r="X2919" s="3"/>
      <c r="Y2919" s="3"/>
    </row>
    <row r="2920" spans="24:25" x14ac:dyDescent="0.2">
      <c r="X2920" s="3"/>
      <c r="Y2920" s="3"/>
    </row>
    <row r="2921" spans="24:25" x14ac:dyDescent="0.2">
      <c r="X2921" s="3"/>
      <c r="Y2921" s="3"/>
    </row>
    <row r="2922" spans="24:25" x14ac:dyDescent="0.2">
      <c r="X2922" s="3"/>
      <c r="Y2922" s="3"/>
    </row>
    <row r="2923" spans="24:25" x14ac:dyDescent="0.2">
      <c r="X2923" s="3"/>
      <c r="Y2923" s="3"/>
    </row>
    <row r="2924" spans="24:25" x14ac:dyDescent="0.2">
      <c r="X2924" s="3"/>
      <c r="Y2924" s="3"/>
    </row>
    <row r="2925" spans="24:25" x14ac:dyDescent="0.2">
      <c r="X2925" s="3"/>
      <c r="Y2925" s="3"/>
    </row>
    <row r="2926" spans="24:25" x14ac:dyDescent="0.2">
      <c r="X2926" s="3"/>
      <c r="Y2926" s="3"/>
    </row>
    <row r="2927" spans="24:25" x14ac:dyDescent="0.2">
      <c r="X2927" s="3"/>
      <c r="Y2927" s="3"/>
    </row>
    <row r="2928" spans="24:25" x14ac:dyDescent="0.2">
      <c r="X2928" s="3"/>
      <c r="Y2928" s="3"/>
    </row>
    <row r="2929" spans="24:25" x14ac:dyDescent="0.2">
      <c r="X2929" s="3"/>
      <c r="Y2929" s="3"/>
    </row>
    <row r="2930" spans="24:25" x14ac:dyDescent="0.2">
      <c r="X2930" s="3"/>
      <c r="Y2930" s="3"/>
    </row>
    <row r="2931" spans="24:25" x14ac:dyDescent="0.2">
      <c r="X2931" s="3"/>
      <c r="Y2931" s="3"/>
    </row>
    <row r="2932" spans="24:25" x14ac:dyDescent="0.2">
      <c r="X2932" s="3"/>
      <c r="Y2932" s="3"/>
    </row>
    <row r="2933" spans="24:25" x14ac:dyDescent="0.2">
      <c r="X2933" s="3"/>
      <c r="Y2933" s="3"/>
    </row>
    <row r="2934" spans="24:25" x14ac:dyDescent="0.2">
      <c r="X2934" s="3"/>
      <c r="Y2934" s="3"/>
    </row>
    <row r="2935" spans="24:25" x14ac:dyDescent="0.2">
      <c r="X2935" s="3"/>
      <c r="Y2935" s="3"/>
    </row>
    <row r="2936" spans="24:25" x14ac:dyDescent="0.2">
      <c r="X2936" s="3"/>
      <c r="Y2936" s="3"/>
    </row>
    <row r="2937" spans="24:25" x14ac:dyDescent="0.2">
      <c r="X2937" s="3"/>
      <c r="Y2937" s="3"/>
    </row>
    <row r="2938" spans="24:25" x14ac:dyDescent="0.2">
      <c r="X2938" s="3"/>
      <c r="Y2938" s="3"/>
    </row>
    <row r="2939" spans="24:25" x14ac:dyDescent="0.2">
      <c r="X2939" s="3"/>
      <c r="Y2939" s="3"/>
    </row>
    <row r="2940" spans="24:25" x14ac:dyDescent="0.2">
      <c r="X2940" s="3"/>
      <c r="Y2940" s="3"/>
    </row>
    <row r="2941" spans="24:25" x14ac:dyDescent="0.2">
      <c r="X2941" s="3"/>
      <c r="Y2941" s="3"/>
    </row>
    <row r="2942" spans="24:25" x14ac:dyDescent="0.2">
      <c r="X2942" s="3"/>
      <c r="Y2942" s="3"/>
    </row>
    <row r="2943" spans="24:25" x14ac:dyDescent="0.2">
      <c r="X2943" s="3"/>
      <c r="Y2943" s="3"/>
    </row>
    <row r="2944" spans="24:25" x14ac:dyDescent="0.2">
      <c r="X2944" s="3"/>
      <c r="Y2944" s="3"/>
    </row>
    <row r="2945" spans="24:25" x14ac:dyDescent="0.2">
      <c r="X2945" s="3"/>
      <c r="Y2945" s="3"/>
    </row>
    <row r="2946" spans="24:25" x14ac:dyDescent="0.2">
      <c r="X2946" s="3"/>
      <c r="Y2946" s="3"/>
    </row>
    <row r="2947" spans="24:25" x14ac:dyDescent="0.2">
      <c r="X2947" s="3"/>
      <c r="Y2947" s="3"/>
    </row>
    <row r="2948" spans="24:25" x14ac:dyDescent="0.2">
      <c r="X2948" s="3"/>
      <c r="Y2948" s="3"/>
    </row>
    <row r="2949" spans="24:25" x14ac:dyDescent="0.2">
      <c r="X2949" s="3"/>
      <c r="Y2949" s="3"/>
    </row>
    <row r="2950" spans="24:25" x14ac:dyDescent="0.2">
      <c r="X2950" s="3"/>
      <c r="Y2950" s="3"/>
    </row>
    <row r="2951" spans="24:25" x14ac:dyDescent="0.2">
      <c r="X2951" s="3"/>
      <c r="Y2951" s="3"/>
    </row>
    <row r="2952" spans="24:25" x14ac:dyDescent="0.2">
      <c r="X2952" s="3"/>
      <c r="Y2952" s="3"/>
    </row>
    <row r="2953" spans="24:25" x14ac:dyDescent="0.2">
      <c r="X2953" s="3"/>
      <c r="Y2953" s="3"/>
    </row>
    <row r="2954" spans="24:25" x14ac:dyDescent="0.2">
      <c r="X2954" s="3"/>
      <c r="Y2954" s="3"/>
    </row>
    <row r="2955" spans="24:25" x14ac:dyDescent="0.2">
      <c r="X2955" s="3"/>
      <c r="Y2955" s="3"/>
    </row>
    <row r="2956" spans="24:25" x14ac:dyDescent="0.2">
      <c r="X2956" s="3"/>
      <c r="Y2956" s="3"/>
    </row>
    <row r="2957" spans="24:25" x14ac:dyDescent="0.2">
      <c r="X2957" s="3"/>
      <c r="Y2957" s="3"/>
    </row>
    <row r="2958" spans="24:25" x14ac:dyDescent="0.2">
      <c r="X2958" s="3"/>
      <c r="Y2958" s="3"/>
    </row>
    <row r="2959" spans="24:25" x14ac:dyDescent="0.2">
      <c r="X2959" s="3"/>
      <c r="Y2959" s="3"/>
    </row>
    <row r="2960" spans="24:25" x14ac:dyDescent="0.2">
      <c r="X2960" s="3"/>
      <c r="Y2960" s="3"/>
    </row>
    <row r="2961" spans="24:25" x14ac:dyDescent="0.2">
      <c r="X2961" s="3"/>
      <c r="Y2961" s="3"/>
    </row>
    <row r="2962" spans="24:25" x14ac:dyDescent="0.2">
      <c r="X2962" s="3"/>
      <c r="Y2962" s="3"/>
    </row>
    <row r="2963" spans="24:25" x14ac:dyDescent="0.2">
      <c r="X2963" s="3"/>
      <c r="Y2963" s="3"/>
    </row>
    <row r="2964" spans="24:25" x14ac:dyDescent="0.2">
      <c r="X2964" s="3"/>
      <c r="Y2964" s="3"/>
    </row>
    <row r="2965" spans="24:25" x14ac:dyDescent="0.2">
      <c r="X2965" s="3"/>
      <c r="Y2965" s="3"/>
    </row>
    <row r="2966" spans="24:25" x14ac:dyDescent="0.2">
      <c r="X2966" s="3"/>
      <c r="Y2966" s="3"/>
    </row>
    <row r="2967" spans="24:25" x14ac:dyDescent="0.2">
      <c r="X2967" s="3"/>
      <c r="Y2967" s="3"/>
    </row>
    <row r="2968" spans="24:25" x14ac:dyDescent="0.2">
      <c r="X2968" s="3"/>
      <c r="Y2968" s="3"/>
    </row>
    <row r="2969" spans="24:25" x14ac:dyDescent="0.2">
      <c r="X2969" s="3"/>
      <c r="Y2969" s="3"/>
    </row>
    <row r="2970" spans="24:25" x14ac:dyDescent="0.2">
      <c r="X2970" s="3"/>
      <c r="Y2970" s="3"/>
    </row>
    <row r="2971" spans="24:25" x14ac:dyDescent="0.2">
      <c r="X2971" s="3"/>
      <c r="Y2971" s="3"/>
    </row>
    <row r="2972" spans="24:25" x14ac:dyDescent="0.2">
      <c r="X2972" s="3"/>
      <c r="Y2972" s="3"/>
    </row>
    <row r="2973" spans="24:25" x14ac:dyDescent="0.2">
      <c r="X2973" s="3"/>
      <c r="Y2973" s="3"/>
    </row>
    <row r="2974" spans="24:25" x14ac:dyDescent="0.2">
      <c r="X2974" s="3"/>
      <c r="Y2974" s="3"/>
    </row>
    <row r="2975" spans="24:25" x14ac:dyDescent="0.2">
      <c r="X2975" s="3"/>
      <c r="Y2975" s="3"/>
    </row>
    <row r="2976" spans="24:25" x14ac:dyDescent="0.2">
      <c r="X2976" s="3"/>
      <c r="Y2976" s="3"/>
    </row>
    <row r="2977" spans="24:25" x14ac:dyDescent="0.2">
      <c r="X2977" s="3"/>
      <c r="Y2977" s="3"/>
    </row>
    <row r="2978" spans="24:25" x14ac:dyDescent="0.2">
      <c r="X2978" s="3"/>
      <c r="Y2978" s="3"/>
    </row>
    <row r="2979" spans="24:25" x14ac:dyDescent="0.2">
      <c r="X2979" s="3"/>
      <c r="Y2979" s="3"/>
    </row>
    <row r="2980" spans="24:25" x14ac:dyDescent="0.2">
      <c r="X2980" s="3"/>
      <c r="Y2980" s="3"/>
    </row>
    <row r="2981" spans="24:25" x14ac:dyDescent="0.2">
      <c r="X2981" s="3"/>
      <c r="Y2981" s="3"/>
    </row>
    <row r="2982" spans="24:25" x14ac:dyDescent="0.2">
      <c r="X2982" s="3"/>
      <c r="Y2982" s="3"/>
    </row>
    <row r="2983" spans="24:25" x14ac:dyDescent="0.2">
      <c r="X2983" s="3"/>
      <c r="Y2983" s="3"/>
    </row>
    <row r="2984" spans="24:25" x14ac:dyDescent="0.2">
      <c r="X2984" s="3"/>
      <c r="Y2984" s="3"/>
    </row>
    <row r="2985" spans="24:25" x14ac:dyDescent="0.2">
      <c r="X2985" s="3"/>
      <c r="Y2985" s="3"/>
    </row>
    <row r="2986" spans="24:25" x14ac:dyDescent="0.2">
      <c r="X2986" s="3"/>
      <c r="Y2986" s="3"/>
    </row>
    <row r="2987" spans="24:25" x14ac:dyDescent="0.2">
      <c r="X2987" s="3"/>
      <c r="Y2987" s="3"/>
    </row>
    <row r="2988" spans="24:25" x14ac:dyDescent="0.2">
      <c r="X2988" s="3"/>
      <c r="Y2988" s="3"/>
    </row>
    <row r="2989" spans="24:25" x14ac:dyDescent="0.2">
      <c r="X2989" s="3"/>
      <c r="Y2989" s="3"/>
    </row>
    <row r="2990" spans="24:25" x14ac:dyDescent="0.2">
      <c r="X2990" s="3"/>
      <c r="Y2990" s="3"/>
    </row>
    <row r="2991" spans="24:25" x14ac:dyDescent="0.2">
      <c r="X2991" s="3"/>
      <c r="Y2991" s="3"/>
    </row>
    <row r="2992" spans="24:25" x14ac:dyDescent="0.2">
      <c r="X2992" s="3"/>
      <c r="Y2992" s="3"/>
    </row>
    <row r="2993" spans="24:25" x14ac:dyDescent="0.2">
      <c r="X2993" s="3"/>
      <c r="Y2993" s="3"/>
    </row>
    <row r="2994" spans="24:25" x14ac:dyDescent="0.2">
      <c r="X2994" s="3"/>
      <c r="Y2994" s="3"/>
    </row>
    <row r="2995" spans="24:25" x14ac:dyDescent="0.2">
      <c r="X2995" s="3"/>
      <c r="Y2995" s="3"/>
    </row>
    <row r="2996" spans="24:25" x14ac:dyDescent="0.2">
      <c r="X2996" s="3"/>
      <c r="Y2996" s="3"/>
    </row>
    <row r="2997" spans="24:25" x14ac:dyDescent="0.2">
      <c r="X2997" s="3"/>
      <c r="Y2997" s="3"/>
    </row>
    <row r="2998" spans="24:25" x14ac:dyDescent="0.2">
      <c r="X2998" s="3"/>
      <c r="Y2998" s="3"/>
    </row>
    <row r="2999" spans="24:25" x14ac:dyDescent="0.2">
      <c r="X2999" s="3"/>
      <c r="Y2999" s="3"/>
    </row>
    <row r="3000" spans="24:25" x14ac:dyDescent="0.2">
      <c r="X3000" s="3"/>
      <c r="Y3000" s="3"/>
    </row>
    <row r="3001" spans="24:25" x14ac:dyDescent="0.2">
      <c r="X3001" s="3"/>
      <c r="Y3001" s="3"/>
    </row>
    <row r="3002" spans="24:25" x14ac:dyDescent="0.2">
      <c r="X3002" s="3"/>
      <c r="Y3002" s="3"/>
    </row>
    <row r="3003" spans="24:25" x14ac:dyDescent="0.2">
      <c r="X3003" s="3"/>
      <c r="Y3003" s="3"/>
    </row>
    <row r="3004" spans="24:25" x14ac:dyDescent="0.2">
      <c r="X3004" s="3"/>
      <c r="Y3004" s="3"/>
    </row>
    <row r="3005" spans="24:25" x14ac:dyDescent="0.2">
      <c r="X3005" s="3"/>
      <c r="Y3005" s="3"/>
    </row>
    <row r="3006" spans="24:25" x14ac:dyDescent="0.2">
      <c r="X3006" s="3"/>
      <c r="Y3006" s="3"/>
    </row>
    <row r="3007" spans="24:25" x14ac:dyDescent="0.2">
      <c r="X3007" s="3"/>
      <c r="Y3007" s="3"/>
    </row>
    <row r="3008" spans="24:25" x14ac:dyDescent="0.2">
      <c r="X3008" s="3"/>
      <c r="Y3008" s="3"/>
    </row>
    <row r="3009" spans="24:25" x14ac:dyDescent="0.2">
      <c r="X3009" s="3"/>
      <c r="Y3009" s="3"/>
    </row>
    <row r="3010" spans="24:25" x14ac:dyDescent="0.2">
      <c r="X3010" s="3"/>
      <c r="Y3010" s="3"/>
    </row>
    <row r="3011" spans="24:25" x14ac:dyDescent="0.2">
      <c r="X3011" s="3"/>
      <c r="Y3011" s="3"/>
    </row>
    <row r="3012" spans="24:25" x14ac:dyDescent="0.2">
      <c r="X3012" s="3"/>
      <c r="Y3012" s="3"/>
    </row>
    <row r="3013" spans="24:25" x14ac:dyDescent="0.2">
      <c r="X3013" s="3"/>
      <c r="Y3013" s="3"/>
    </row>
    <row r="3014" spans="24:25" x14ac:dyDescent="0.2">
      <c r="X3014" s="3"/>
      <c r="Y3014" s="3"/>
    </row>
    <row r="3015" spans="24:25" x14ac:dyDescent="0.2">
      <c r="X3015" s="3"/>
      <c r="Y3015" s="3"/>
    </row>
    <row r="3016" spans="24:25" x14ac:dyDescent="0.2">
      <c r="X3016" s="3"/>
      <c r="Y3016" s="3"/>
    </row>
    <row r="3017" spans="24:25" x14ac:dyDescent="0.2">
      <c r="X3017" s="3"/>
      <c r="Y3017" s="3"/>
    </row>
    <row r="3018" spans="24:25" x14ac:dyDescent="0.2">
      <c r="X3018" s="3"/>
      <c r="Y3018" s="3"/>
    </row>
    <row r="3019" spans="24:25" x14ac:dyDescent="0.2">
      <c r="X3019" s="3"/>
      <c r="Y3019" s="3"/>
    </row>
    <row r="3020" spans="24:25" x14ac:dyDescent="0.2">
      <c r="X3020" s="3"/>
      <c r="Y3020" s="3"/>
    </row>
    <row r="3021" spans="24:25" x14ac:dyDescent="0.2">
      <c r="X3021" s="3"/>
      <c r="Y3021" s="3"/>
    </row>
    <row r="3022" spans="24:25" x14ac:dyDescent="0.2">
      <c r="X3022" s="3"/>
      <c r="Y3022" s="3"/>
    </row>
    <row r="3023" spans="24:25" x14ac:dyDescent="0.2">
      <c r="X3023" s="3"/>
      <c r="Y3023" s="3"/>
    </row>
    <row r="3024" spans="24:25" x14ac:dyDescent="0.2">
      <c r="X3024" s="3"/>
      <c r="Y3024" s="3"/>
    </row>
    <row r="3025" spans="24:25" x14ac:dyDescent="0.2">
      <c r="X3025" s="3"/>
      <c r="Y3025" s="3"/>
    </row>
    <row r="3026" spans="24:25" x14ac:dyDescent="0.2">
      <c r="X3026" s="3"/>
      <c r="Y3026" s="3"/>
    </row>
    <row r="3027" spans="24:25" x14ac:dyDescent="0.2">
      <c r="X3027" s="3"/>
      <c r="Y3027" s="3"/>
    </row>
    <row r="3028" spans="24:25" x14ac:dyDescent="0.2">
      <c r="X3028" s="3"/>
      <c r="Y3028" s="3"/>
    </row>
    <row r="3029" spans="24:25" x14ac:dyDescent="0.2">
      <c r="X3029" s="3"/>
      <c r="Y3029" s="3"/>
    </row>
    <row r="3030" spans="24:25" x14ac:dyDescent="0.2">
      <c r="X3030" s="3"/>
      <c r="Y3030" s="3"/>
    </row>
    <row r="3031" spans="24:25" x14ac:dyDescent="0.2">
      <c r="X3031" s="3"/>
      <c r="Y3031" s="3"/>
    </row>
    <row r="3032" spans="24:25" x14ac:dyDescent="0.2">
      <c r="X3032" s="3"/>
      <c r="Y3032" s="3"/>
    </row>
    <row r="3033" spans="24:25" x14ac:dyDescent="0.2">
      <c r="X3033" s="3"/>
      <c r="Y3033" s="3"/>
    </row>
    <row r="3034" spans="24:25" x14ac:dyDescent="0.2">
      <c r="X3034" s="3"/>
      <c r="Y3034" s="3"/>
    </row>
    <row r="3035" spans="24:25" x14ac:dyDescent="0.2">
      <c r="X3035" s="3"/>
      <c r="Y3035" s="3"/>
    </row>
    <row r="3036" spans="24:25" x14ac:dyDescent="0.2">
      <c r="X3036" s="3"/>
      <c r="Y3036" s="3"/>
    </row>
    <row r="3037" spans="24:25" x14ac:dyDescent="0.2">
      <c r="X3037" s="3"/>
      <c r="Y3037" s="3"/>
    </row>
    <row r="3038" spans="24:25" x14ac:dyDescent="0.2">
      <c r="X3038" s="3"/>
      <c r="Y3038" s="3"/>
    </row>
    <row r="3039" spans="24:25" x14ac:dyDescent="0.2">
      <c r="X3039" s="3"/>
      <c r="Y3039" s="3"/>
    </row>
    <row r="3040" spans="24:25" x14ac:dyDescent="0.2">
      <c r="X3040" s="3"/>
      <c r="Y3040" s="3"/>
    </row>
    <row r="3041" spans="24:25" x14ac:dyDescent="0.2">
      <c r="X3041" s="3"/>
      <c r="Y3041" s="3"/>
    </row>
    <row r="3042" spans="24:25" x14ac:dyDescent="0.2">
      <c r="X3042" s="3"/>
      <c r="Y3042" s="3"/>
    </row>
    <row r="3043" spans="24:25" x14ac:dyDescent="0.2">
      <c r="X3043" s="3"/>
      <c r="Y3043" s="3"/>
    </row>
    <row r="3044" spans="24:25" x14ac:dyDescent="0.2">
      <c r="X3044" s="3"/>
      <c r="Y3044" s="3"/>
    </row>
    <row r="3045" spans="24:25" x14ac:dyDescent="0.2">
      <c r="X3045" s="3"/>
      <c r="Y3045" s="3"/>
    </row>
    <row r="3046" spans="24:25" x14ac:dyDescent="0.2">
      <c r="X3046" s="3"/>
      <c r="Y3046" s="3"/>
    </row>
    <row r="3047" spans="24:25" x14ac:dyDescent="0.2">
      <c r="X3047" s="3"/>
      <c r="Y3047" s="3"/>
    </row>
    <row r="3048" spans="24:25" x14ac:dyDescent="0.2">
      <c r="X3048" s="3"/>
      <c r="Y3048" s="3"/>
    </row>
    <row r="3049" spans="24:25" x14ac:dyDescent="0.2">
      <c r="X3049" s="3"/>
      <c r="Y3049" s="3"/>
    </row>
    <row r="3050" spans="24:25" x14ac:dyDescent="0.2">
      <c r="X3050" s="3"/>
      <c r="Y3050" s="3"/>
    </row>
    <row r="3051" spans="24:25" x14ac:dyDescent="0.2">
      <c r="X3051" s="3"/>
      <c r="Y3051" s="3"/>
    </row>
    <row r="3052" spans="24:25" x14ac:dyDescent="0.2">
      <c r="X3052" s="3"/>
      <c r="Y3052" s="3"/>
    </row>
    <row r="3053" spans="24:25" x14ac:dyDescent="0.2">
      <c r="X3053" s="3"/>
      <c r="Y3053" s="3"/>
    </row>
    <row r="3054" spans="24:25" x14ac:dyDescent="0.2">
      <c r="X3054" s="3"/>
      <c r="Y3054" s="3"/>
    </row>
    <row r="3055" spans="24:25" x14ac:dyDescent="0.2">
      <c r="X3055" s="3"/>
      <c r="Y3055" s="3"/>
    </row>
    <row r="3056" spans="24:25" x14ac:dyDescent="0.2">
      <c r="X3056" s="3"/>
      <c r="Y3056" s="3"/>
    </row>
    <row r="3057" spans="24:25" x14ac:dyDescent="0.2">
      <c r="X3057" s="3"/>
      <c r="Y3057" s="3"/>
    </row>
    <row r="3058" spans="24:25" x14ac:dyDescent="0.2">
      <c r="X3058" s="3"/>
      <c r="Y3058" s="3"/>
    </row>
    <row r="3059" spans="24:25" x14ac:dyDescent="0.2">
      <c r="X3059" s="3"/>
      <c r="Y3059" s="3"/>
    </row>
    <row r="3060" spans="24:25" x14ac:dyDescent="0.2">
      <c r="X3060" s="3"/>
      <c r="Y3060" s="3"/>
    </row>
    <row r="3061" spans="24:25" x14ac:dyDescent="0.2">
      <c r="X3061" s="3"/>
      <c r="Y3061" s="3"/>
    </row>
    <row r="3062" spans="24:25" x14ac:dyDescent="0.2">
      <c r="X3062" s="3"/>
      <c r="Y3062" s="3"/>
    </row>
    <row r="3063" spans="24:25" x14ac:dyDescent="0.2">
      <c r="X3063" s="3"/>
      <c r="Y3063" s="3"/>
    </row>
    <row r="3064" spans="24:25" x14ac:dyDescent="0.2">
      <c r="X3064" s="3"/>
      <c r="Y3064" s="3"/>
    </row>
    <row r="3065" spans="24:25" x14ac:dyDescent="0.2">
      <c r="X3065" s="3"/>
      <c r="Y3065" s="3"/>
    </row>
    <row r="3066" spans="24:25" x14ac:dyDescent="0.2">
      <c r="X3066" s="3"/>
      <c r="Y3066" s="3"/>
    </row>
    <row r="3067" spans="24:25" x14ac:dyDescent="0.2">
      <c r="X3067" s="3"/>
      <c r="Y3067" s="3"/>
    </row>
    <row r="3068" spans="24:25" x14ac:dyDescent="0.2">
      <c r="X3068" s="3"/>
      <c r="Y3068" s="3"/>
    </row>
    <row r="3069" spans="24:25" x14ac:dyDescent="0.2">
      <c r="X3069" s="3"/>
      <c r="Y3069" s="3"/>
    </row>
    <row r="3070" spans="24:25" x14ac:dyDescent="0.2">
      <c r="X3070" s="3"/>
      <c r="Y3070" s="3"/>
    </row>
    <row r="3071" spans="24:25" x14ac:dyDescent="0.2">
      <c r="X3071" s="3"/>
      <c r="Y3071" s="3"/>
    </row>
    <row r="3072" spans="24:25" x14ac:dyDescent="0.2">
      <c r="X3072" s="3"/>
      <c r="Y3072" s="3"/>
    </row>
    <row r="3073" spans="24:25" x14ac:dyDescent="0.2">
      <c r="X3073" s="3"/>
      <c r="Y3073" s="3"/>
    </row>
    <row r="3074" spans="24:25" x14ac:dyDescent="0.2">
      <c r="X3074" s="3"/>
      <c r="Y3074" s="3"/>
    </row>
    <row r="3075" spans="24:25" x14ac:dyDescent="0.2">
      <c r="X3075" s="3"/>
      <c r="Y3075" s="3"/>
    </row>
    <row r="3076" spans="24:25" x14ac:dyDescent="0.2">
      <c r="X3076" s="3"/>
      <c r="Y3076" s="3"/>
    </row>
    <row r="3077" spans="24:25" x14ac:dyDescent="0.2">
      <c r="X3077" s="3"/>
      <c r="Y3077" s="3"/>
    </row>
    <row r="3078" spans="24:25" x14ac:dyDescent="0.2">
      <c r="X3078" s="3"/>
      <c r="Y3078" s="3"/>
    </row>
    <row r="3079" spans="24:25" x14ac:dyDescent="0.2">
      <c r="X3079" s="3"/>
      <c r="Y3079" s="3"/>
    </row>
    <row r="3080" spans="24:25" x14ac:dyDescent="0.2">
      <c r="X3080" s="3"/>
      <c r="Y3080" s="3"/>
    </row>
    <row r="3081" spans="24:25" x14ac:dyDescent="0.2">
      <c r="X3081" s="3"/>
      <c r="Y3081" s="3"/>
    </row>
    <row r="3082" spans="24:25" x14ac:dyDescent="0.2">
      <c r="X3082" s="3"/>
      <c r="Y3082" s="3"/>
    </row>
    <row r="3083" spans="24:25" x14ac:dyDescent="0.2">
      <c r="X3083" s="3"/>
      <c r="Y3083" s="3"/>
    </row>
    <row r="3084" spans="24:25" x14ac:dyDescent="0.2">
      <c r="X3084" s="3"/>
      <c r="Y3084" s="3"/>
    </row>
    <row r="3085" spans="24:25" x14ac:dyDescent="0.2">
      <c r="X3085" s="3"/>
      <c r="Y3085" s="3"/>
    </row>
    <row r="3086" spans="24:25" x14ac:dyDescent="0.2">
      <c r="X3086" s="3"/>
      <c r="Y3086" s="3"/>
    </row>
    <row r="3087" spans="24:25" x14ac:dyDescent="0.2">
      <c r="X3087" s="3"/>
      <c r="Y3087" s="3"/>
    </row>
    <row r="3088" spans="24:25" x14ac:dyDescent="0.2">
      <c r="X3088" s="3"/>
      <c r="Y3088" s="3"/>
    </row>
    <row r="3089" spans="24:25" x14ac:dyDescent="0.2">
      <c r="X3089" s="3"/>
      <c r="Y3089" s="3"/>
    </row>
    <row r="3090" spans="24:25" x14ac:dyDescent="0.2">
      <c r="X3090" s="3"/>
      <c r="Y3090" s="3"/>
    </row>
    <row r="3091" spans="24:25" x14ac:dyDescent="0.2">
      <c r="X3091" s="3"/>
      <c r="Y3091" s="3"/>
    </row>
    <row r="3092" spans="24:25" x14ac:dyDescent="0.2">
      <c r="X3092" s="3"/>
      <c r="Y3092" s="3"/>
    </row>
    <row r="3093" spans="24:25" x14ac:dyDescent="0.2">
      <c r="X3093" s="3"/>
      <c r="Y3093" s="3"/>
    </row>
    <row r="3094" spans="24:25" x14ac:dyDescent="0.2">
      <c r="X3094" s="3"/>
      <c r="Y3094" s="3"/>
    </row>
    <row r="3095" spans="24:25" x14ac:dyDescent="0.2">
      <c r="X3095" s="3"/>
      <c r="Y3095" s="3"/>
    </row>
    <row r="3096" spans="24:25" x14ac:dyDescent="0.2">
      <c r="X3096" s="3"/>
      <c r="Y3096" s="3"/>
    </row>
    <row r="3097" spans="24:25" x14ac:dyDescent="0.2">
      <c r="X3097" s="3"/>
      <c r="Y3097" s="3"/>
    </row>
    <row r="3098" spans="24:25" x14ac:dyDescent="0.2">
      <c r="X3098" s="3"/>
      <c r="Y3098" s="3"/>
    </row>
    <row r="3099" spans="24:25" x14ac:dyDescent="0.2">
      <c r="X3099" s="3"/>
      <c r="Y3099" s="3"/>
    </row>
    <row r="3100" spans="24:25" x14ac:dyDescent="0.2">
      <c r="X3100" s="3"/>
      <c r="Y3100" s="3"/>
    </row>
    <row r="3101" spans="24:25" x14ac:dyDescent="0.2">
      <c r="X3101" s="3"/>
      <c r="Y3101" s="3"/>
    </row>
    <row r="3102" spans="24:25" x14ac:dyDescent="0.2">
      <c r="X3102" s="3"/>
      <c r="Y3102" s="3"/>
    </row>
    <row r="3103" spans="24:25" x14ac:dyDescent="0.2">
      <c r="X3103" s="3"/>
      <c r="Y3103" s="3"/>
    </row>
    <row r="3104" spans="24:25" x14ac:dyDescent="0.2">
      <c r="X3104" s="3"/>
      <c r="Y3104" s="3"/>
    </row>
    <row r="3105" spans="24:25" x14ac:dyDescent="0.2">
      <c r="X3105" s="3"/>
      <c r="Y3105" s="3"/>
    </row>
    <row r="3106" spans="24:25" x14ac:dyDescent="0.2">
      <c r="X3106" s="3"/>
      <c r="Y3106" s="3"/>
    </row>
    <row r="3107" spans="24:25" x14ac:dyDescent="0.2">
      <c r="X3107" s="3"/>
      <c r="Y3107" s="3"/>
    </row>
    <row r="3108" spans="24:25" x14ac:dyDescent="0.2">
      <c r="X3108" s="3"/>
      <c r="Y3108" s="3"/>
    </row>
    <row r="3109" spans="24:25" x14ac:dyDescent="0.2">
      <c r="X3109" s="3"/>
      <c r="Y3109" s="3"/>
    </row>
    <row r="3110" spans="24:25" x14ac:dyDescent="0.2">
      <c r="X3110" s="3"/>
      <c r="Y3110" s="3"/>
    </row>
  </sheetData>
  <autoFilter ref="A1:WWG1368" xr:uid="{69B58E19-775A-42BC-9C98-03D9FA27DB41}">
    <filterColumn colId="6">
      <filters>
        <filter val="黑胡椒粉."/>
      </filters>
    </filterColumn>
    <filterColumn colId="21">
      <filters>
        <filter val="华山龙源"/>
      </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应产率辅助表</vt:lpstr>
      <vt:lpstr>应产率报表</vt:lpstr>
      <vt:lpstr>产品销售数量</vt:lpstr>
      <vt:lpstr>盘点表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2021-06-18T08:25:55Z</cp:lastPrinted>
  <dcterms:created xsi:type="dcterms:W3CDTF">2021-03-18T02:53:22Z</dcterms:created>
  <dcterms:modified xsi:type="dcterms:W3CDTF">2021-07-19T01:59:27Z</dcterms:modified>
</cp:coreProperties>
</file>